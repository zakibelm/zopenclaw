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cmtl-my.sharepoint.com/personal/louise_overbeek_hec_ca/Documents/cours HEC/40938-16 info fin intégrité et conformité/2023 Hiver/Final/2022 Aut/examen pratique/"/>
    </mc:Choice>
  </mc:AlternateContent>
  <xr:revisionPtr revIDLastSave="8" documentId="13_ncr:1_{91C5A461-12CF-48E2-B21A-6AF900F85116}" xr6:coauthVersionLast="47" xr6:coauthVersionMax="47" xr10:uidLastSave="{4D45FAA7-EBF9-4368-95B7-4C0D6248002A}"/>
  <bookViews>
    <workbookView xWindow="-110" yWindow="-110" windowWidth="19420" windowHeight="10420" xr2:uid="{105E3195-83D9-4A37-96B7-63294A05980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E30" i="1"/>
  <c r="D29" i="1"/>
  <c r="C27" i="1"/>
  <c r="H25" i="1"/>
  <c r="G24" i="1"/>
  <c r="H24" i="1" s="1"/>
  <c r="F24" i="1"/>
  <c r="E24" i="1"/>
  <c r="E13" i="1" l="1"/>
  <c r="C6" i="1"/>
  <c r="D15" i="1" s="1"/>
  <c r="E16" i="1" s="1"/>
  <c r="S3" i="1"/>
  <c r="T3" i="1" s="1"/>
  <c r="U3" i="1" s="1"/>
  <c r="V3" i="1" s="1"/>
  <c r="W3" i="1" s="1"/>
  <c r="F3" i="1"/>
  <c r="G3" i="1"/>
  <c r="H3" i="1"/>
  <c r="I3" i="1" s="1"/>
  <c r="J3" i="1" s="1"/>
  <c r="K3" i="1" s="1"/>
  <c r="L3" i="1" s="1"/>
  <c r="M3" i="1" s="1"/>
  <c r="N3" i="1" s="1"/>
  <c r="O3" i="1" s="1"/>
  <c r="P3" i="1" s="1"/>
  <c r="Q3" i="1" s="1"/>
  <c r="R3" i="1" s="1"/>
  <c r="E3" i="1"/>
  <c r="E6" i="1" l="1"/>
  <c r="D11" i="1"/>
  <c r="D12" i="1" s="1"/>
</calcChain>
</file>

<file path=xl/sharedStrings.xml><?xml version="1.0" encoding="utf-8"?>
<sst xmlns="http://schemas.openxmlformats.org/spreadsheetml/2006/main" count="8" uniqueCount="8">
  <si>
    <t>Charge d'intérêt</t>
  </si>
  <si>
    <t>Oblig locative</t>
  </si>
  <si>
    <t>@ Encaisse</t>
  </si>
  <si>
    <t>Amortissement</t>
  </si>
  <si>
    <t>@ Amort cum</t>
  </si>
  <si>
    <t>Charge frais financiers</t>
  </si>
  <si>
    <t>@ Dividendes à payer</t>
  </si>
  <si>
    <t xml:space="preserve">    Act priv. (Passif)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</si>
</sst>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164" fontId="0" fillId="0" borderId="0" xfId="1" applyNumberFormat="1" applyFont="1"/>
    <xf numFmtId="9" fontId="0" fillId="0" borderId="0" xfId="2" applyFont="1"/>
    <xf numFmtId="1" fontId="0" fillId="0" borderId="0" xfId="0" applyNumberFormat="1"/>
    <xf numFmtId="0" fontId="0" fillId="0" borderId="0" xfId="0" quotePrefix="1"/>
    <xf numFmtId="10" fontId="0" fillId="0" borderId="0" xfId="2" applyNumberFormat="1" applyFont="1"/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AB1B-5608-44AE-B9E1-62403F04C7D2}">
  <dimension ref="B3:W31"/>
  <sheetViews>
    <sheetView tabSelected="1" workbookViewId="0">
      <selection activeCell="B7" sqref="B7"/>
    </sheetView>
  </sheetViews>
  <sheetFormatPr baseColWidth="10" defaultRowHeight="14.5" x14ac:dyDescent="0.35"/>
  <cols>
    <col min="3" max="3" width="19.90625" bestFit="1" customWidth="1"/>
    <col min="4" max="4" width="11.36328125" bestFit="1" customWidth="1"/>
  </cols>
  <sheetData>
    <row r="3" spans="2:23" x14ac:dyDescent="0.35">
      <c r="C3">
        <v>0</v>
      </c>
      <c r="D3">
        <v>1</v>
      </c>
      <c r="E3">
        <f>1+D3</f>
        <v>2</v>
      </c>
      <c r="F3">
        <f t="shared" ref="F3:W3" si="0">1+E3</f>
        <v>3</v>
      </c>
      <c r="G3">
        <f t="shared" si="0"/>
        <v>4</v>
      </c>
      <c r="H3">
        <f t="shared" si="0"/>
        <v>5</v>
      </c>
      <c r="I3">
        <f t="shared" si="0"/>
        <v>6</v>
      </c>
      <c r="J3">
        <f t="shared" si="0"/>
        <v>7</v>
      </c>
      <c r="K3">
        <f t="shared" si="0"/>
        <v>8</v>
      </c>
      <c r="L3">
        <f t="shared" si="0"/>
        <v>9</v>
      </c>
      <c r="M3">
        <f t="shared" si="0"/>
        <v>10</v>
      </c>
      <c r="N3">
        <f t="shared" si="0"/>
        <v>11</v>
      </c>
      <c r="O3">
        <f t="shared" si="0"/>
        <v>12</v>
      </c>
      <c r="P3">
        <f t="shared" si="0"/>
        <v>13</v>
      </c>
      <c r="Q3">
        <f t="shared" si="0"/>
        <v>14</v>
      </c>
      <c r="R3">
        <f t="shared" si="0"/>
        <v>15</v>
      </c>
      <c r="S3">
        <f>1+R3</f>
        <v>16</v>
      </c>
      <c r="T3">
        <f t="shared" si="0"/>
        <v>17</v>
      </c>
      <c r="U3">
        <f t="shared" si="0"/>
        <v>18</v>
      </c>
      <c r="V3">
        <f t="shared" si="0"/>
        <v>19</v>
      </c>
      <c r="W3">
        <f t="shared" si="0"/>
        <v>20</v>
      </c>
    </row>
    <row r="4" spans="2:23" x14ac:dyDescent="0.35">
      <c r="C4">
        <v>55000</v>
      </c>
      <c r="D4">
        <v>55000</v>
      </c>
      <c r="E4">
        <v>55000</v>
      </c>
      <c r="F4">
        <v>55000</v>
      </c>
      <c r="G4">
        <v>55000</v>
      </c>
      <c r="H4">
        <v>55000</v>
      </c>
      <c r="I4">
        <v>55000</v>
      </c>
      <c r="J4">
        <v>55000</v>
      </c>
      <c r="K4">
        <v>55000</v>
      </c>
      <c r="L4">
        <v>55000</v>
      </c>
      <c r="M4">
        <v>55000</v>
      </c>
      <c r="N4">
        <v>55000</v>
      </c>
      <c r="O4">
        <v>55000</v>
      </c>
      <c r="P4">
        <v>55000</v>
      </c>
      <c r="Q4">
        <v>55000</v>
      </c>
      <c r="R4">
        <v>55000</v>
      </c>
      <c r="S4">
        <v>55000</v>
      </c>
      <c r="T4">
        <v>55000</v>
      </c>
      <c r="U4">
        <v>55000</v>
      </c>
      <c r="V4">
        <v>55000</v>
      </c>
    </row>
    <row r="6" spans="2:23" x14ac:dyDescent="0.35">
      <c r="B6" s="1">
        <v>0.08</v>
      </c>
      <c r="C6" s="2">
        <f>NPV(B6,D4:W4)+C4</f>
        <v>583197.95600248768</v>
      </c>
      <c r="D6">
        <v>725000</v>
      </c>
      <c r="E6" s="3">
        <f>+C6/D6</f>
        <v>0.8044109737965347</v>
      </c>
    </row>
    <row r="7" spans="2:23" x14ac:dyDescent="0.35">
      <c r="B7" s="1"/>
      <c r="C7" s="2"/>
      <c r="E7" s="3"/>
    </row>
    <row r="11" spans="2:23" x14ac:dyDescent="0.35">
      <c r="C11" t="s">
        <v>0</v>
      </c>
      <c r="D11" s="4">
        <f>+(C6-C4)*B6</f>
        <v>42255.836480199017</v>
      </c>
    </row>
    <row r="12" spans="2:23" x14ac:dyDescent="0.35">
      <c r="C12" t="s">
        <v>1</v>
      </c>
      <c r="D12" s="4">
        <f>+E13-D11</f>
        <v>12744.163519800983</v>
      </c>
    </row>
    <row r="13" spans="2:23" x14ac:dyDescent="0.35">
      <c r="C13" s="5" t="s">
        <v>2</v>
      </c>
      <c r="E13">
        <f>+C4</f>
        <v>55000</v>
      </c>
    </row>
    <row r="15" spans="2:23" x14ac:dyDescent="0.35">
      <c r="C15" t="s">
        <v>3</v>
      </c>
      <c r="D15" s="4">
        <f>+C6/20</f>
        <v>29159.897800124385</v>
      </c>
    </row>
    <row r="16" spans="2:23" x14ac:dyDescent="0.35">
      <c r="C16" s="5" t="s">
        <v>4</v>
      </c>
      <c r="E16" s="4">
        <f>+D15</f>
        <v>29159.897800124385</v>
      </c>
    </row>
    <row r="24" spans="2:8" x14ac:dyDescent="0.35">
      <c r="C24">
        <v>0</v>
      </c>
      <c r="D24">
        <v>1</v>
      </c>
      <c r="E24">
        <f>1+D24</f>
        <v>2</v>
      </c>
      <c r="F24">
        <f t="shared" ref="F24:H24" si="1">1+E24</f>
        <v>3</v>
      </c>
      <c r="G24">
        <f t="shared" si="1"/>
        <v>4</v>
      </c>
      <c r="H24">
        <f t="shared" si="1"/>
        <v>5</v>
      </c>
    </row>
    <row r="25" spans="2:8" x14ac:dyDescent="0.35">
      <c r="C25">
        <v>-500000</v>
      </c>
      <c r="D25">
        <v>19000</v>
      </c>
      <c r="E25">
        <v>19000</v>
      </c>
      <c r="F25">
        <v>19000</v>
      </c>
      <c r="G25">
        <v>19000</v>
      </c>
      <c r="H25">
        <f>19000+655600</f>
        <v>674600</v>
      </c>
    </row>
    <row r="27" spans="2:8" x14ac:dyDescent="0.35">
      <c r="B27" s="1"/>
      <c r="C27" s="6">
        <f>IRR(C25:H25)</f>
        <v>8.9999250281323606E-2</v>
      </c>
      <c r="E27" s="3"/>
    </row>
    <row r="28" spans="2:8" x14ac:dyDescent="0.35">
      <c r="B28" s="1"/>
      <c r="C28" s="2"/>
      <c r="E28" s="3"/>
    </row>
    <row r="29" spans="2:8" x14ac:dyDescent="0.35">
      <c r="C29" t="s">
        <v>5</v>
      </c>
      <c r="D29" s="4">
        <f>-C25*C27</f>
        <v>44999.625140661803</v>
      </c>
    </row>
    <row r="30" spans="2:8" x14ac:dyDescent="0.35">
      <c r="C30" s="5" t="s">
        <v>6</v>
      </c>
      <c r="E30" s="4">
        <f>+D25</f>
        <v>19000</v>
      </c>
    </row>
    <row r="31" spans="2:8" x14ac:dyDescent="0.35">
      <c r="C31" t="s">
        <v>7</v>
      </c>
      <c r="E31" s="4">
        <f>+D29-E30</f>
        <v>25999.625140661803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overbeek</dc:creator>
  <cp:lastModifiedBy>Louise Overbeek</cp:lastModifiedBy>
  <dcterms:created xsi:type="dcterms:W3CDTF">2022-12-10T12:30:24Z</dcterms:created>
  <dcterms:modified xsi:type="dcterms:W3CDTF">2023-04-12T18:10:21Z</dcterms:modified>
</cp:coreProperties>
</file>