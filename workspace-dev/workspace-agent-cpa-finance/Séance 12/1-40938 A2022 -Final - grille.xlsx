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hecmtl-my.sharepoint.com/personal/louise_overbeek_hec_ca/Documents/cours HEC/40938-16 info fin intégrité et conformité/2023 Hiver/Final/2022 Aut/examen pratique/"/>
    </mc:Choice>
  </mc:AlternateContent>
  <xr:revisionPtr revIDLastSave="8" documentId="13_ncr:1_{A09A49A5-EFE5-465E-A589-D579E6C2C0DE}" xr6:coauthVersionLast="47" xr6:coauthVersionMax="47" xr10:uidLastSave="{C83D87AB-2481-4FDA-B650-3000F040CABC}"/>
  <bookViews>
    <workbookView xWindow="-110" yWindow="-110" windowWidth="19420" windowHeight="10420" xr2:uid="{7BDA1151-04B3-4443-AFC6-51041D9F83F9}"/>
  </bookViews>
  <sheets>
    <sheet name="Grille de compétence" sheetId="1" r:id="rId1"/>
    <sheet name="Compila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7" i="1" l="1"/>
  <c r="I2" i="2" l="1"/>
  <c r="H2" i="2" l="1"/>
  <c r="G2" i="2"/>
  <c r="F2" i="2"/>
  <c r="E2" i="2"/>
  <c r="D2" i="2"/>
  <c r="C2" i="2"/>
  <c r="B2" i="2"/>
  <c r="K2" i="2" l="1"/>
</calcChain>
</file>

<file path=xl/sharedStrings.xml><?xml version="1.0" encoding="utf-8"?>
<sst xmlns="http://schemas.openxmlformats.org/spreadsheetml/2006/main" count="255" uniqueCount="180">
  <si>
    <t>Nom</t>
  </si>
  <si>
    <t>Cote</t>
  </si>
  <si>
    <t>Commentaires</t>
  </si>
  <si>
    <t>1.1</t>
  </si>
  <si>
    <t>1.2</t>
  </si>
  <si>
    <t>1.3</t>
  </si>
  <si>
    <t>1.4</t>
  </si>
  <si>
    <t>Résultat compétence 1</t>
  </si>
  <si>
    <t>NT</t>
  </si>
  <si>
    <t>Ne traite pas de cette compétence. </t>
  </si>
  <si>
    <t>CM</t>
  </si>
  <si>
    <t>EVC</t>
  </si>
  <si>
    <t>C</t>
  </si>
  <si>
    <t>CD</t>
  </si>
  <si>
    <t>Compétence 2 – L’équipe prépare un plan pour l’option 2 : Division service conseil</t>
  </si>
  <si>
    <t>2.1</t>
  </si>
  <si>
    <t>2.2</t>
  </si>
  <si>
    <t>2.4</t>
  </si>
  <si>
    <t>2.5</t>
  </si>
  <si>
    <t>Résultat compétence 2</t>
  </si>
  <si>
    <t>3.1</t>
  </si>
  <si>
    <t>3.2</t>
  </si>
  <si>
    <t>3.3</t>
  </si>
  <si>
    <t>3.4</t>
  </si>
  <si>
    <t>3.5</t>
  </si>
  <si>
    <t>Résultat compétence 3</t>
  </si>
  <si>
    <t>4.1</t>
  </si>
  <si>
    <t>4.2</t>
  </si>
  <si>
    <t>4.3</t>
  </si>
  <si>
    <t>4.4</t>
  </si>
  <si>
    <t>Résultat compétence 4</t>
  </si>
  <si>
    <t>Résultat compétence 5</t>
  </si>
  <si>
    <t>Résultat global</t>
  </si>
  <si>
    <t>Oui</t>
  </si>
  <si>
    <t>Partiel</t>
  </si>
  <si>
    <t>2.3</t>
  </si>
  <si>
    <t>2.6</t>
  </si>
  <si>
    <t>4.5</t>
  </si>
  <si>
    <t>6.1</t>
  </si>
  <si>
    <t>6.2</t>
  </si>
  <si>
    <t>6.3</t>
  </si>
  <si>
    <t>6.4</t>
  </si>
  <si>
    <t>7.1</t>
  </si>
  <si>
    <t>7.2</t>
  </si>
  <si>
    <t>7.3</t>
  </si>
  <si>
    <t>7.4</t>
  </si>
  <si>
    <t>7.5</t>
  </si>
  <si>
    <t>Résultat compétence 7</t>
  </si>
  <si>
    <t>Information financière</t>
  </si>
  <si>
    <t>Gr</t>
  </si>
  <si>
    <t>Non - incorrect</t>
  </si>
  <si>
    <t>Non traité</t>
  </si>
  <si>
    <t>2.7</t>
  </si>
  <si>
    <t>2.8</t>
  </si>
  <si>
    <t>4.6</t>
  </si>
  <si>
    <t>6.5</t>
  </si>
  <si>
    <t>3.6</t>
  </si>
  <si>
    <t>5.1</t>
  </si>
  <si>
    <t>5.2</t>
  </si>
  <si>
    <t>5.3</t>
  </si>
  <si>
    <t>5.4</t>
  </si>
  <si>
    <t>5.5</t>
  </si>
  <si>
    <t>5.6</t>
  </si>
  <si>
    <t>5.7</t>
  </si>
  <si>
    <t>5.8</t>
  </si>
  <si>
    <t>8.1</t>
  </si>
  <si>
    <t>8.2</t>
  </si>
  <si>
    <t>8.3</t>
  </si>
  <si>
    <t>8.4</t>
  </si>
  <si>
    <t>8.5</t>
  </si>
  <si>
    <t>Résultat compétence 8</t>
  </si>
  <si>
    <t>40938 Hiver 2022 : Marc Suppléments inc.</t>
  </si>
  <si>
    <t>1- Stocks de suppléments EFFORT+</t>
  </si>
  <si>
    <t>Mesure : application au cas - dépréciation de 287 $ au BN</t>
  </si>
  <si>
    <t>Conclusion : comptabilisation à la valeur comptable</t>
  </si>
  <si>
    <t>3- Produits liés à la franchise</t>
  </si>
  <si>
    <t>3.7</t>
  </si>
  <si>
    <t>3.8</t>
  </si>
  <si>
    <t>3.9</t>
  </si>
  <si>
    <t>Présentation : stocks achetés auprès des fournisseurs - écriture de correction pour réduire les ventes et la CMV (achat) du même montant)</t>
  </si>
  <si>
    <t>4- Contrat de location</t>
  </si>
  <si>
    <t>4.7</t>
  </si>
  <si>
    <t>4.8</t>
  </si>
  <si>
    <t>4.9</t>
  </si>
  <si>
    <t>Évaluation ultérieure : application au cas - sur la durée du bail, car pas de transfert prévu</t>
  </si>
  <si>
    <t>5 - Travaux effectués dans la succursale à Laval</t>
  </si>
  <si>
    <t>Nature : application au cas - erreur de ne pas avoir amorti séparément par le passé, il faudra : 1) faire des écritures d'ajustement pour l'amortissement du toit pour la période en cours, 2) pour les périodes précédentes et 3) décomptabiliser la valeur comptable (pas 0$, car décomptabilisation après 4 ans)</t>
  </si>
  <si>
    <t>Nature : application au cas - agrandissement pour avoir un plus grand entrepôt, soit un meilleur potentiel de service, donc c'est une amélioration et c'est approprié d'avoir capitalisé le coût de 75 000$</t>
  </si>
  <si>
    <t>6- Subvention pour les travaux effectués sur la succursale à Laval</t>
  </si>
  <si>
    <t>Conclusion/écritures d'ajustement : 1) comptabiliser l'aide gouvernementale en réduction du coût du toit et du bâtiment OU en produits différés, 2) amortissement de la portion pour l'agrandissement sur 20 ans et 3) amortissement de la portion pour le toit sur 10 ans</t>
  </si>
  <si>
    <t>7- Placement dans PurEnergie</t>
  </si>
  <si>
    <t>Nature : conclusion influence notable, donc application de 3051</t>
  </si>
  <si>
    <t>7.6</t>
  </si>
  <si>
    <t>7.7</t>
  </si>
  <si>
    <t>7.8</t>
  </si>
  <si>
    <t>8- Actions privilégiées</t>
  </si>
  <si>
    <t>8.6</t>
  </si>
  <si>
    <t>8.7</t>
  </si>
  <si>
    <t>Ne satisfait pas à la norme En voie vers la compétence.</t>
  </si>
  <si>
    <t>Mesure - norme : 1651 conversion élément d'actif non monétaire au cours de clôture si évaluation pour sa valeur de marché</t>
  </si>
  <si>
    <t>Mesure - norme : 3031 stocks au moindre du coût et de la VNR, (et définition de VNR)</t>
  </si>
  <si>
    <t>Conclusion/écriture de correction pour réduire les stocks de 287 $ et les ramener à 9 697 $ (suivi erreur)</t>
  </si>
  <si>
    <t>Lien partie prenante : réduction (mineure) du BN et Marc souhaite maximiser le bénéfice net</t>
  </si>
  <si>
    <t>Mesure correctement l'évaluation ultérieure des stocks 
ET fait l'écriture de correction OU fait un lien avec les parties prenantes.</t>
  </si>
  <si>
    <t>2– Échange de barres Sélect contre des barres d'autres marques</t>
  </si>
  <si>
    <t>Nature - norme : 3831 définition d'opérations non monétaires</t>
  </si>
  <si>
    <t>Nature - application au cas : analyse de la définition ONM pour l'échange avec la contrepartie monétaire de 500 $ (négligeable)</t>
  </si>
  <si>
    <t>Évaluation - norme : 3831 critères pour déterminer base de mesure (évaluation à la JV, sauf si 1 critère non respecté)</t>
  </si>
  <si>
    <t>Lien partie prenante : réduction du BN et Marc souhaite maximiser le bénéfice net</t>
  </si>
  <si>
    <r>
      <t xml:space="preserve">Mesure </t>
    </r>
    <r>
      <rPr>
        <b/>
        <sz val="9"/>
        <color rgb="FF00B0F0"/>
        <rFont val="Arial"/>
        <family val="2"/>
      </rPr>
      <t>adéquatement</t>
    </r>
    <r>
      <rPr>
        <b/>
        <sz val="9"/>
        <rFont val="Arial"/>
        <family val="2"/>
      </rPr>
      <t xml:space="preserve"> l'évaluation ultérieure des stocks.</t>
    </r>
  </si>
  <si>
    <r>
      <t xml:space="preserve">Mesure </t>
    </r>
    <r>
      <rPr>
        <b/>
        <sz val="9"/>
        <color rgb="FF00B0F0"/>
        <rFont val="Arial"/>
        <family val="2"/>
      </rPr>
      <t>correctement</t>
    </r>
    <r>
      <rPr>
        <b/>
        <sz val="9"/>
        <rFont val="Arial"/>
        <family val="2"/>
      </rPr>
      <t xml:space="preserve"> l'évaluation ultérieure des stocks, incluant traitement devise.</t>
    </r>
  </si>
  <si>
    <r>
      <t xml:space="preserve">Analyse </t>
    </r>
    <r>
      <rPr>
        <b/>
        <sz val="9"/>
        <color rgb="FF00B0F0"/>
        <rFont val="Arial"/>
        <family val="2"/>
      </rPr>
      <t>adéquatement</t>
    </r>
    <r>
      <rPr>
        <b/>
        <sz val="9"/>
        <rFont val="Arial"/>
        <family val="2"/>
      </rPr>
      <t xml:space="preserve"> la nature et la mesure de l'opération non monétaire.</t>
    </r>
  </si>
  <si>
    <r>
      <t xml:space="preserve">Analyse </t>
    </r>
    <r>
      <rPr>
        <b/>
        <sz val="9"/>
        <color rgb="FF00B0F0"/>
        <rFont val="Arial"/>
        <family val="2"/>
      </rPr>
      <t>correctement</t>
    </r>
    <r>
      <rPr>
        <b/>
        <sz val="9"/>
        <rFont val="Arial"/>
        <family val="2"/>
      </rPr>
      <t xml:space="preserve"> la nature ET la mesure de l'opération non monétaire.</t>
    </r>
  </si>
  <si>
    <t>Analyse en profondeur la nature de l'opération non monétaire ET la mesure 
ET écriture de correction</t>
  </si>
  <si>
    <t xml:space="preserve">Classement - norme : 3065 - critères pour déterminer le transfert des avantages et risques, soit : a) transfert de la propriété à la fin du bail / OAPF, b) durée du bail au moins 75% de la durée de vie utile du bien et c) VA des PME représente au moins 90% de la JV du bien loué </t>
  </si>
  <si>
    <t>Classement - norme : 3065 terrain à comptabiliser comme le bâtiment si la JV du terrain est négligeable vs la JV totale de la propriété louée</t>
  </si>
  <si>
    <t>Classement - application : conclusion - respect d'au moins 1 des critères (2 ici), donc classement comme contrat de location-acquisition</t>
  </si>
  <si>
    <r>
      <t xml:space="preserve">Analyse </t>
    </r>
    <r>
      <rPr>
        <b/>
        <sz val="9"/>
        <color rgb="FF00B0F0"/>
        <rFont val="Arial"/>
        <family val="2"/>
      </rPr>
      <t>adéquatement</t>
    </r>
    <r>
      <rPr>
        <b/>
        <sz val="9"/>
        <rFont val="Arial"/>
        <family val="2"/>
      </rPr>
      <t xml:space="preserve"> le classement du contrat de location ET l'évaluation initiale de l'actif loué et de l'obligation locative.</t>
    </r>
  </si>
  <si>
    <r>
      <t xml:space="preserve">Analyse </t>
    </r>
    <r>
      <rPr>
        <b/>
        <sz val="9"/>
        <color rgb="FF00B0F0"/>
        <rFont val="Arial"/>
        <family val="2"/>
      </rPr>
      <t>correctement</t>
    </r>
    <r>
      <rPr>
        <b/>
        <sz val="9"/>
        <rFont val="Arial"/>
        <family val="2"/>
      </rPr>
      <t xml:space="preserve"> le classement du contrat de location ET l'évaluation initiale de l'actif loué et de l'obligation locative ET adéquatement l'évaluation ultérieure.</t>
    </r>
  </si>
  <si>
    <t>Analyse correctement le classement du contrat de location ET l'évaluation initiale de l'actif loué et de l'obligation locative 
ET correctement l'évaluation ultérieure ET écritures de correction</t>
  </si>
  <si>
    <t>Moment - application au cas : redevance initiale - on ne peut constater 100 % des produits, car redevance initiale trop importante, il faut plutôt constater 60 000 $ (pour les services initiaux) et reporter le reste des produits sur la durée du contrat de franchisage</t>
  </si>
  <si>
    <t>Conclusion : écriture de correction pour réduire les autres produits de 112 000 $ (120 000 x (120 -8)/120</t>
  </si>
  <si>
    <t>Moment - norme : redevance périodique - selon NOC 2 (condition par 12)
OU selon 3400 (recouvrement sûr par. 4, services rendus et évaluation sûre par.6)</t>
  </si>
  <si>
    <t>Moment - norme : redevance initiale selon NOC 2 (exception par. 9)
OU selon 3400 (frais initiaux comme un paiement anticipé au titre de services futurs par. A47, produits correspondants gagnés au fur et à mesure que les services fournis et constater de façon systématique par. A48)</t>
  </si>
  <si>
    <t>Moment - application au cas : les services liés aux redevances périodiques sont rendus, montant et recouvrement sûr, donc on peut constater les produits (traitement actuel adéquat)</t>
  </si>
  <si>
    <t>Présentation - norme : stocks achetés auprès des fournisseurs selon NOC 2 (par. 13, à traiter comme comptes clients et comptes fournisseurs, et non à titre de produits et de charges)
OU selon 3400 (relation de mandataire par. 23)</t>
  </si>
  <si>
    <t>Présentation - application au cas : stocks achetés auprès des fournisseurs - réduire les ventes et le CMV (achats)/présenter les ventes nettes des achats (0 $)</t>
  </si>
  <si>
    <t>Analyse correctement le moment pour la redevance initiale ET le moment pour la redevance périodique 
ET la présentation pour les stocks ET écriture de correction.</t>
  </si>
  <si>
    <r>
      <t xml:space="preserve">Analyse </t>
    </r>
    <r>
      <rPr>
        <b/>
        <sz val="9"/>
        <color rgb="FF00B0F0"/>
        <rFont val="Arial"/>
        <family val="2"/>
      </rPr>
      <t>correctement</t>
    </r>
    <r>
      <rPr>
        <b/>
        <sz val="9"/>
        <rFont val="Arial"/>
        <family val="2"/>
      </rPr>
      <t xml:space="preserve"> le moment pour la redevance initiale OU le moment pour la redevance périodique OU la présentation pour les achats/ventes de marchandies 
OU analyse </t>
    </r>
    <r>
      <rPr>
        <b/>
        <sz val="9"/>
        <color rgb="FF00B0F0"/>
        <rFont val="Arial"/>
        <family val="2"/>
      </rPr>
      <t>adéquatement</t>
    </r>
    <r>
      <rPr>
        <b/>
        <sz val="9"/>
        <rFont val="Arial"/>
        <family val="2"/>
      </rPr>
      <t xml:space="preserve"> deux éléments.</t>
    </r>
  </si>
  <si>
    <r>
      <t xml:space="preserve">Analyse </t>
    </r>
    <r>
      <rPr>
        <b/>
        <sz val="9"/>
        <color rgb="FF00B0F0"/>
        <rFont val="Arial"/>
        <family val="2"/>
      </rPr>
      <t>correctement</t>
    </r>
    <r>
      <rPr>
        <b/>
        <sz val="9"/>
        <rFont val="Arial"/>
        <family val="2"/>
      </rPr>
      <t xml:space="preserve"> le moment pour la redevance initiale ET le moment pour la redevance périodique </t>
    </r>
  </si>
  <si>
    <t>Nature - norme : 3061 - amortissement des composantes significatives d'une immobilisation corporelle sur leur durée de vie respective</t>
  </si>
  <si>
    <t>Nature : application au cas - le toit est une composante significative, on devrait amortir le toit sur 10 ans</t>
  </si>
  <si>
    <t>Nature - norme : 3061 - coûts engagés pour le maintien du potentiel de service représentent une réparation / ou explique concept amélioration</t>
  </si>
  <si>
    <t>Nature - application au cas : travaux de peinture pour remettre en état les murs, donc réparation ici, à passer en charges</t>
  </si>
  <si>
    <t>Conclusion/écritures de correction pour : 1) réduire le coût du bâtiment de la charge d'entretien - peinture, 2) ajuster l'amortissement à cause de la réduction du coût et 3) ajuster l'amortissement à cause du toit</t>
  </si>
  <si>
    <r>
      <t xml:space="preserve">Analyse </t>
    </r>
    <r>
      <rPr>
        <b/>
        <sz val="9"/>
        <color rgb="FF00B0F0"/>
        <rFont val="Arial"/>
        <family val="2"/>
      </rPr>
      <t>correctement</t>
    </r>
    <r>
      <rPr>
        <b/>
        <sz val="9"/>
        <rFont val="Arial"/>
        <family val="2"/>
      </rPr>
      <t xml:space="preserve"> 2 des 3 éléments suivants : le toit OU les travaux de peinture OU l'agrandissement</t>
    </r>
  </si>
  <si>
    <r>
      <t xml:space="preserve">Analyse </t>
    </r>
    <r>
      <rPr>
        <b/>
        <sz val="9"/>
        <color rgb="FF00B0F0"/>
        <rFont val="Arial"/>
        <family val="2"/>
      </rPr>
      <t>correctement</t>
    </r>
    <r>
      <rPr>
        <b/>
        <sz val="9"/>
        <rFont val="Arial"/>
        <family val="2"/>
      </rPr>
      <t xml:space="preserve"> le toit ET les travaux de peinture ET l'agrandissement ET conclut sur la correction OU fait les bonnes écritures de correction</t>
    </r>
  </si>
  <si>
    <t>Analyse correctement le toit ET les travaux de peinture ET l'agrandissement ET conclut sur la correction OU fait les bonnes écritures de correction 
ET fait le lien avec les parties prenantes.</t>
  </si>
  <si>
    <t>Moment - norme : 3800 comptabiliser l'aide gouvernementale que l'on compte recevoir, si l'entreprise se conforme aux conditions se rattachant à l'octroi / par. Critères</t>
  </si>
  <si>
    <t>Présentation - norme : 3800 subvention gouvernementale pour l'achat d'immobilisation en déduction du coût des immobilisations ou reportée pour être amortie au même rythme que les immobilisations</t>
  </si>
  <si>
    <t>Présentation - application au cas : pour l'achat d'immobilisation (car selon analyse précédente, ce sont des immos et non des réparations), donc choix entre les deux méthodes et conclusion sur une méthode, avec justification cohérente</t>
  </si>
  <si>
    <t>Lien partie prenante - diminution des charges d'environ 2k$, donc augmentation du BN et Marc souhaite maximiser le bénéfice net</t>
  </si>
  <si>
    <r>
      <t xml:space="preserve">Analyse </t>
    </r>
    <r>
      <rPr>
        <b/>
        <sz val="9"/>
        <color rgb="FF00B0F0"/>
        <rFont val="Arial"/>
        <family val="2"/>
      </rPr>
      <t>correctement</t>
    </r>
    <r>
      <rPr>
        <b/>
        <sz val="9"/>
        <rFont val="Arial"/>
        <family val="2"/>
      </rPr>
      <t xml:space="preserve"> le moment OU la présentation de l'aide gouvernementale 
OU </t>
    </r>
    <r>
      <rPr>
        <b/>
        <sz val="9"/>
        <color rgb="FF00B0F0"/>
        <rFont val="Arial"/>
        <family val="2"/>
      </rPr>
      <t>adéquatement</t>
    </r>
    <r>
      <rPr>
        <b/>
        <sz val="9"/>
        <rFont val="Arial"/>
        <family val="2"/>
      </rPr>
      <t xml:space="preserve"> le moment et la présentation.</t>
    </r>
  </si>
  <si>
    <r>
      <t xml:space="preserve">Analyse </t>
    </r>
    <r>
      <rPr>
        <b/>
        <sz val="9"/>
        <color rgb="FF00B0F0"/>
        <rFont val="Arial"/>
        <family val="2"/>
      </rPr>
      <t>correctement</t>
    </r>
    <r>
      <rPr>
        <b/>
        <sz val="9"/>
        <rFont val="Arial"/>
        <family val="2"/>
      </rPr>
      <t xml:space="preserve"> le moment ET la présentation de l'aide gouvernementale.</t>
    </r>
  </si>
  <si>
    <t>Nature - norme : 3051 influence notable présomption 20%, certains critères dont représentation au CA, participation aux politiques, échanges importants entre les entités, etc.</t>
  </si>
  <si>
    <t>Évaluation - norme : 3051 choix méthode de la comptabilisation à la valeur d'acquisition OU à la valeur de consolidation</t>
  </si>
  <si>
    <t>Évaluation : méthode de la comptabilisation à la valeur d'acquisition - soit au coût et dividendes en revenus quand deviennent exigibles - donc à 310 000 $ et dividendes de 45 000 $ au RN, comme le traitement actuel</t>
  </si>
  <si>
    <t>Évaluation : méthode de la comptabilisation à la valeur de consolidation - participation : au coût + QP résultat net - QP des dividendes
Revenu de participation : QP du BN + ajustements de consolidation le cas échéant</t>
  </si>
  <si>
    <t>Évaluation : application au cas - donc à 316 500 $ (300 000 + 61 400 - 45 000) et revenu de participation de 61 500 $ au RN (410 000 x 18 % x 10/12 mois)</t>
  </si>
  <si>
    <t>Évaluation : conclusion - recommande la méthode de la comptabilisation à la valeur de consolidation, en lien avec l'objectif de Marc de maximiser le bénéfice net</t>
  </si>
  <si>
    <r>
      <t xml:space="preserve">Analyse </t>
    </r>
    <r>
      <rPr>
        <b/>
        <sz val="9"/>
        <color rgb="FF00B0F0"/>
        <rFont val="Arial"/>
        <family val="2"/>
      </rPr>
      <t>correctement</t>
    </r>
    <r>
      <rPr>
        <b/>
        <sz val="9"/>
        <rFont val="Arial"/>
        <family val="2"/>
      </rPr>
      <t xml:space="preserve"> la nature ET l'évaluation ultérieure du placement.</t>
    </r>
  </si>
  <si>
    <r>
      <t xml:space="preserve">Analyse </t>
    </r>
    <r>
      <rPr>
        <b/>
        <sz val="9"/>
        <color rgb="FF00B0F0"/>
        <rFont val="Arial"/>
        <family val="2"/>
      </rPr>
      <t>correctement</t>
    </r>
    <r>
      <rPr>
        <b/>
        <sz val="9"/>
        <rFont val="Arial"/>
        <family val="2"/>
      </rPr>
      <t xml:space="preserve"> la nature OU l'évaluation ultérieure du placement
OU analyse </t>
    </r>
    <r>
      <rPr>
        <b/>
        <sz val="9"/>
        <color rgb="FF00B0F0"/>
        <rFont val="Arial"/>
        <family val="2"/>
      </rPr>
      <t>adéquatement</t>
    </r>
    <r>
      <rPr>
        <b/>
        <sz val="9"/>
        <rFont val="Arial"/>
        <family val="2"/>
      </rPr>
      <t xml:space="preserve"> la nature et l'évaluation ultérieure</t>
    </r>
  </si>
  <si>
    <t>Écritures de correction¸: corriger la participation, enlever le dividende du résultat net et remplacer par QP résultat net</t>
  </si>
  <si>
    <t>Analyse correctement la nature ET l'évaluation ultérieure du placement 
ET fait une recommandation en lien avec les parties prenantes ET écritures de correction correctes.</t>
  </si>
  <si>
    <t>Nature - norme : 3856 définition passif financier</t>
  </si>
  <si>
    <t>Nature - application au cas : rachat dans 5 ans en trésorerie et dividendes annuels à verser annuellement</t>
  </si>
  <si>
    <t>Évaluation ultérieure - norme : 3856 au coût après amortissement (rachat à un prix plus élevé)</t>
  </si>
  <si>
    <t>Nature : conclusion - passif financier, ET dividende au résultat net (frais financiers)</t>
  </si>
  <si>
    <t>Évaluation ultérieure : application au cas - calcul du TIE, puis calcul de la VC en date de fin d'exercice (calcul des "frais financiers" selon TIE, et diminution des dividendes versés, soit 19 000 $)</t>
  </si>
  <si>
    <t>Présentation : 3856 l'entreprise doit présenter en RN à titre de charges, les intérêts rattachés à un instrument financier classé comme passif financier</t>
  </si>
  <si>
    <t>Écritures de correction</t>
  </si>
  <si>
    <t>Analyse correctement la nature ET l'évaluation initiale ET l'évaluation ultérieure 
ET écritures de correction.</t>
  </si>
  <si>
    <r>
      <t xml:space="preserve">Analyse </t>
    </r>
    <r>
      <rPr>
        <b/>
        <sz val="9"/>
        <color rgb="FF00B0F0"/>
        <rFont val="Arial"/>
        <family val="2"/>
      </rPr>
      <t>correctement</t>
    </r>
    <r>
      <rPr>
        <b/>
        <sz val="9"/>
        <rFont val="Arial"/>
        <family val="2"/>
      </rPr>
      <t xml:space="preserve"> la nature OU l'évaluation initiale OU l'évaluation ultérieure
OU </t>
    </r>
    <r>
      <rPr>
        <b/>
        <sz val="9"/>
        <color rgb="FF00B0F0"/>
        <rFont val="Arial"/>
        <family val="2"/>
      </rPr>
      <t>adéquatement</t>
    </r>
    <r>
      <rPr>
        <b/>
        <sz val="9"/>
        <rFont val="Arial"/>
        <family val="2"/>
      </rPr>
      <t xml:space="preserve"> deux éléments.</t>
    </r>
  </si>
  <si>
    <r>
      <t xml:space="preserve">Analyse </t>
    </r>
    <r>
      <rPr>
        <b/>
        <sz val="9"/>
        <color rgb="FF00B0F0"/>
        <rFont val="Arial"/>
        <family val="2"/>
      </rPr>
      <t>correctement</t>
    </r>
    <r>
      <rPr>
        <b/>
        <sz val="9"/>
        <rFont val="Arial"/>
        <family val="2"/>
      </rPr>
      <t xml:space="preserve"> la nature ET l'évaluation initiale ET l'évaluation ultérieure </t>
    </r>
  </si>
  <si>
    <t>TOTAL</t>
  </si>
  <si>
    <r>
      <t>Mesure : application au cas : coût (9 984 $) et VNR (105 CNY x 416 pots</t>
    </r>
    <r>
      <rPr>
        <b/>
        <sz val="9"/>
        <rFont val="Arial"/>
        <family val="2"/>
      </rPr>
      <t xml:space="preserve"> - 1500 CNY =</t>
    </r>
    <r>
      <rPr>
        <sz val="9"/>
        <rFont val="Arial"/>
        <family val="2"/>
      </rPr>
      <t xml:space="preserve"> 42 180 CN</t>
    </r>
    <r>
      <rPr>
        <b/>
        <sz val="9"/>
        <rFont val="Arial"/>
        <family val="2"/>
      </rPr>
      <t>Y</t>
    </r>
    <r>
      <rPr>
        <sz val="9"/>
        <rFont val="Arial"/>
        <family val="2"/>
      </rPr>
      <t>)</t>
    </r>
  </si>
  <si>
    <t>Mesure : application au cas - conversion au cours de 4,35 CNY pour 1 CAD (= 9 697 $CAN)</t>
  </si>
  <si>
    <t>Évaluation - application : critère a) OUI aucune substance commerciale, car produits similaires qui seront vendus sur un temps similaire et avec une valeur spécifique similaire</t>
  </si>
  <si>
    <t>Évaluation - application au cas : critère b)  OUI échange de stocks car échange de barres contre des barres</t>
  </si>
  <si>
    <t>Conclusion/écriture de correction pour réduire les stocks et les ventes de 12 500 $</t>
  </si>
  <si>
    <t>Lien partie prenante : réduction du bénéfice net importante de 112k$ (red initiale), et Marc souhaite maximiser le bénéfice net</t>
  </si>
  <si>
    <t>Évaluation ultérieure : 3065 obligation locative diminuée des paiements et augmentée des intérêts (ou dans intérêts courus à payer)</t>
  </si>
  <si>
    <t>Moment - application au cas : condition respectée d'avoir utilisé les fonds pour l'agrandissement de l'entrepôt et subvention sera reçue le mois prochain, donc on peut comptabiliser la subvention au moment des travaux, soit lorsque les travaux ont pris fin en cours d'exercice</t>
  </si>
  <si>
    <t>Analyse correctement le moment ET la présentation de l'aide gouvernementale 
ET écritures de correction ET fait le lien avec les parties prenantes.</t>
  </si>
  <si>
    <t>Résultat compétence 6</t>
  </si>
  <si>
    <t>Nature - application au cas : 18 % donc moins de 20 % ; examen des critères : 1) représentation au CA, car Marc 2) Participation à l'établissement des politiques, car politique d'approvisionnement influencée par Marc 3) Opérations intersociétés importantes, car MSI achète la gelée de PurEnergie - nécessite 2 éléments</t>
  </si>
  <si>
    <t xml:space="preserve">Classement - application au cas : critère a) non respecté, crtière b) respecté car 80 % (20 ans/25 ans), critère c) respecté car 80 % </t>
  </si>
  <si>
    <t>Classement - application au cas : JV du terrain est 7 % de la JV totale de la propriété louée (50 000/725 000), donc classement du terrain comme la bâtiment / ou comptabilise séparément</t>
  </si>
  <si>
    <t>Évaluation initiale : application au cas - calcul de la VA des PME selon le taux de 8% OU calcul de la portion bâtiment uniquement si terrait location exploitation</t>
  </si>
  <si>
    <t>Conclusion/écritures de correction : actif loué et obligation locative (ou portion terrain en location exploitation) ; amortissement de l'actif loué (sur durée bail) ; augmentation de l'OL des intérêts / réduction de l'OL des loyers payés (réduction des autres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</si>
</sst>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b/>
      <sz val="9"/>
      <color rgb="FFFFFFFF"/>
      <name val="Arial"/>
      <family val="2"/>
    </font>
    <font>
      <sz val="8"/>
      <name val="Calibri"/>
      <family val="2"/>
      <scheme val="minor"/>
    </font>
    <font>
      <sz val="9"/>
      <color theme="1"/>
      <name val="Calibri"/>
      <family val="2"/>
      <scheme val="minor"/>
    </font>
    <font>
      <b/>
      <sz val="9"/>
      <name val="Arial"/>
      <family val="2"/>
    </font>
    <font>
      <sz val="9"/>
      <name val="Arial"/>
      <family val="2"/>
    </font>
    <font>
      <b/>
      <sz val="9"/>
      <color rgb="FFFF0000"/>
      <name val="Arial"/>
      <family val="2"/>
    </font>
    <font>
      <sz val="14"/>
      <color theme="1"/>
      <name val="Calibri"/>
      <family val="2"/>
      <scheme val="minor"/>
    </font>
    <font>
      <b/>
      <sz val="11"/>
      <color theme="1"/>
      <name val="Arial"/>
      <family val="2"/>
    </font>
    <font>
      <b/>
      <sz val="11"/>
      <name val="Arial"/>
      <family val="2"/>
    </font>
    <font>
      <sz val="11"/>
      <name val="Arial"/>
      <family val="2"/>
    </font>
    <font>
      <b/>
      <sz val="12"/>
      <color rgb="FFFFFFFF"/>
      <name val="Arial"/>
      <family val="2"/>
    </font>
    <font>
      <b/>
      <sz val="14"/>
      <color rgb="FFFFFFFF"/>
      <name val="Arial"/>
      <family val="2"/>
    </font>
    <font>
      <b/>
      <sz val="11"/>
      <color rgb="FF0070C0"/>
      <name val="Calibri"/>
      <family val="2"/>
      <scheme val="minor"/>
    </font>
    <font>
      <b/>
      <sz val="10"/>
      <color theme="1"/>
      <name val="Calibri"/>
      <family val="2"/>
      <scheme val="minor"/>
    </font>
    <font>
      <b/>
      <sz val="16"/>
      <name val="Arial"/>
      <family val="2"/>
    </font>
    <font>
      <b/>
      <sz val="16"/>
      <color rgb="FF0070C0"/>
      <name val="Calibri"/>
      <family val="2"/>
      <scheme val="minor"/>
    </font>
    <font>
      <sz val="14"/>
      <color rgb="FFFF0000"/>
      <name val="Calibri"/>
      <family val="2"/>
      <scheme val="minor"/>
    </font>
    <font>
      <b/>
      <sz val="12"/>
      <color theme="1"/>
      <name val="Arial"/>
      <family val="2"/>
    </font>
    <font>
      <b/>
      <sz val="9"/>
      <color rgb="FF00B0F0"/>
      <name val="Arial"/>
      <family val="2"/>
    </font>
    <font>
      <b/>
      <sz val="12"/>
      <color theme="1"/>
      <name val="Calibri"/>
      <family val="2"/>
      <scheme val="minor"/>
    </font>
  </fonts>
  <fills count="8">
    <fill>
      <patternFill patternType="none"/>
    </fill>
    <fill>
      <patternFill patternType="gray125"/>
    </fill>
    <fill>
      <patternFill patternType="solid">
        <fgColor rgb="FF43B02A"/>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s>
  <cellStyleXfs count="1">
    <xf numFmtId="0" fontId="0" fillId="0" borderId="0"/>
  </cellStyleXfs>
  <cellXfs count="74">
    <xf numFmtId="0" fontId="0" fillId="0" borderId="0" xfId="0"/>
    <xf numFmtId="0" fontId="3" fillId="0" borderId="0" xfId="0" applyFont="1" applyAlignment="1">
      <alignment wrapText="1"/>
    </xf>
    <xf numFmtId="0" fontId="1" fillId="0" borderId="0" xfId="0" applyFont="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wrapText="1"/>
    </xf>
    <xf numFmtId="0" fontId="4" fillId="0" borderId="1" xfId="0" applyFont="1" applyBorder="1" applyAlignment="1" applyProtection="1">
      <alignment horizontal="center" vertical="center" wrapText="1"/>
      <protection locked="0"/>
    </xf>
    <xf numFmtId="0" fontId="9" fillId="0" borderId="1" xfId="0" applyFont="1" applyBorder="1" applyAlignment="1">
      <alignment horizontal="left" vertical="center" wrapText="1"/>
    </xf>
    <xf numFmtId="0" fontId="0" fillId="0" borderId="1" xfId="0" applyBorder="1" applyAlignment="1">
      <alignment wrapText="1"/>
    </xf>
    <xf numFmtId="0" fontId="9" fillId="0" borderId="1" xfId="0" applyFont="1" applyBorder="1" applyAlignment="1" applyProtection="1">
      <alignment horizontal="center" vertical="center" wrapText="1"/>
      <protection locked="0"/>
    </xf>
    <xf numFmtId="2" fontId="0" fillId="0" borderId="1" xfId="0" applyNumberFormat="1" applyBorder="1" applyAlignment="1">
      <alignment wrapText="1"/>
    </xf>
    <xf numFmtId="0" fontId="10" fillId="0" borderId="1" xfId="0" applyFont="1" applyBorder="1" applyAlignment="1">
      <alignment horizontal="left" vertical="center" wrapText="1"/>
    </xf>
    <xf numFmtId="2" fontId="0" fillId="3" borderId="1" xfId="0" applyNumberFormat="1" applyFill="1" applyBorder="1" applyAlignment="1">
      <alignment wrapText="1"/>
    </xf>
    <xf numFmtId="0" fontId="10" fillId="0" borderId="1" xfId="0" applyFont="1" applyBorder="1" applyAlignment="1">
      <alignment vertical="center" wrapText="1"/>
    </xf>
    <xf numFmtId="0" fontId="9" fillId="0" borderId="1" xfId="0" applyFont="1" applyBorder="1" applyAlignment="1">
      <alignment vertical="center"/>
    </xf>
    <xf numFmtId="0" fontId="7" fillId="3" borderId="2" xfId="0" applyFont="1" applyFill="1" applyBorder="1" applyAlignment="1">
      <alignment horizontal="left" wrapText="1"/>
    </xf>
    <xf numFmtId="0" fontId="11" fillId="2" borderId="1"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6" fillId="0" borderId="15"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6" xfId="0" applyFont="1" applyBorder="1" applyAlignment="1">
      <alignment horizontal="center"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1" fontId="14" fillId="4" borderId="8" xfId="0" applyNumberFormat="1" applyFont="1" applyFill="1" applyBorder="1" applyAlignment="1" applyProtection="1">
      <alignment horizontal="center" vertical="center" wrapText="1"/>
      <protection locked="0"/>
    </xf>
    <xf numFmtId="1" fontId="14" fillId="4" borderId="10" xfId="0" applyNumberFormat="1" applyFont="1" applyFill="1" applyBorder="1" applyAlignment="1" applyProtection="1">
      <alignment horizontal="center" vertical="center" wrapText="1"/>
      <protection locked="0"/>
    </xf>
    <xf numFmtId="1" fontId="14" fillId="4" borderId="12" xfId="0" applyNumberFormat="1" applyFont="1" applyFill="1" applyBorder="1" applyAlignment="1" applyProtection="1">
      <alignment horizontal="center" vertical="center" wrapText="1"/>
      <protection locked="0"/>
    </xf>
    <xf numFmtId="0" fontId="10" fillId="0" borderId="5" xfId="0" applyFont="1" applyBorder="1" applyAlignment="1">
      <alignment horizontal="left" vertical="center" wrapText="1" indent="1"/>
    </xf>
    <xf numFmtId="0" fontId="9" fillId="0" borderId="5" xfId="0" applyFont="1" applyBorder="1" applyAlignment="1" applyProtection="1">
      <alignment horizontal="center" vertical="center" wrapText="1"/>
      <protection locked="0"/>
    </xf>
    <xf numFmtId="2" fontId="0" fillId="0" borderId="5" xfId="0" applyNumberFormat="1" applyBorder="1" applyAlignment="1">
      <alignment wrapText="1"/>
    </xf>
    <xf numFmtId="0" fontId="10" fillId="0" borderId="18" xfId="0" applyFont="1" applyBorder="1" applyAlignment="1">
      <alignment horizontal="left" vertical="center" wrapText="1" indent="1"/>
    </xf>
    <xf numFmtId="0" fontId="9" fillId="0" borderId="18" xfId="0" applyFont="1" applyBorder="1" applyAlignment="1" applyProtection="1">
      <alignment horizontal="center" vertical="center" wrapText="1"/>
      <protection locked="0"/>
    </xf>
    <xf numFmtId="164" fontId="13" fillId="0" borderId="18" xfId="0" applyNumberFormat="1" applyFont="1" applyBorder="1" applyAlignment="1">
      <alignment horizontal="center" wrapText="1"/>
    </xf>
    <xf numFmtId="0" fontId="10" fillId="0" borderId="19" xfId="0" applyFont="1" applyBorder="1" applyAlignment="1">
      <alignment horizontal="left" vertical="center" wrapText="1"/>
    </xf>
    <xf numFmtId="0" fontId="10" fillId="0" borderId="5" xfId="0" applyFont="1" applyBorder="1" applyAlignment="1">
      <alignment horizontal="left" vertical="center" wrapText="1"/>
    </xf>
    <xf numFmtId="0" fontId="6" fillId="5" borderId="20" xfId="0" applyFont="1" applyFill="1" applyBorder="1" applyAlignment="1">
      <alignment horizontal="center" vertical="center" wrapText="1"/>
    </xf>
    <xf numFmtId="0" fontId="6" fillId="5" borderId="21" xfId="0" applyFont="1" applyFill="1" applyBorder="1" applyAlignment="1">
      <alignment vertical="center" wrapText="1"/>
    </xf>
    <xf numFmtId="0" fontId="6" fillId="5" borderId="22" xfId="0" applyFont="1" applyFill="1" applyBorder="1" applyAlignment="1">
      <alignment horizontal="left" vertical="center" wrapText="1"/>
    </xf>
    <xf numFmtId="0" fontId="7" fillId="0" borderId="2" xfId="0" applyFont="1" applyBorder="1" applyAlignment="1">
      <alignment wrapText="1"/>
    </xf>
    <xf numFmtId="0" fontId="1" fillId="2" borderId="1" xfId="0" applyFont="1" applyFill="1" applyBorder="1" applyAlignment="1">
      <alignment vertical="center" wrapText="1"/>
    </xf>
    <xf numFmtId="0" fontId="9" fillId="0" borderId="17" xfId="0" applyFont="1" applyBorder="1" applyAlignment="1">
      <alignment vertical="center"/>
    </xf>
    <xf numFmtId="0" fontId="9" fillId="0" borderId="5" xfId="0" applyFont="1" applyBorder="1" applyAlignment="1">
      <alignment vertical="center"/>
    </xf>
    <xf numFmtId="0" fontId="4" fillId="0" borderId="7" xfId="0" applyFont="1" applyBorder="1" applyAlignment="1">
      <alignment vertical="center" wrapText="1"/>
    </xf>
    <xf numFmtId="0" fontId="4" fillId="0" borderId="9" xfId="0" applyFont="1" applyBorder="1" applyAlignment="1">
      <alignment vertical="center" wrapText="1"/>
    </xf>
    <xf numFmtId="0" fontId="4" fillId="0" borderId="11" xfId="0" applyFont="1" applyBorder="1" applyAlignment="1">
      <alignment vertical="center" wrapText="1"/>
    </xf>
    <xf numFmtId="0" fontId="1" fillId="2" borderId="2" xfId="0" applyFont="1" applyFill="1" applyBorder="1" applyAlignment="1">
      <alignment vertical="center" wrapText="1"/>
    </xf>
    <xf numFmtId="0" fontId="15" fillId="0" borderId="17" xfId="0" applyFont="1" applyBorder="1" applyAlignment="1">
      <alignment vertical="center"/>
    </xf>
    <xf numFmtId="0" fontId="10" fillId="0" borderId="18" xfId="0" applyFont="1" applyBorder="1" applyAlignment="1" applyProtection="1">
      <alignment horizontal="center" vertical="center" wrapText="1"/>
      <protection locked="0"/>
    </xf>
    <xf numFmtId="0" fontId="12" fillId="2" borderId="0" xfId="0" applyFont="1" applyFill="1" applyAlignment="1">
      <alignment vertical="center" wrapText="1"/>
    </xf>
    <xf numFmtId="0" fontId="7" fillId="0" borderId="2" xfId="0" applyFont="1" applyBorder="1" applyAlignment="1">
      <alignment horizontal="left" wrapText="1"/>
    </xf>
    <xf numFmtId="0" fontId="6" fillId="0" borderId="4" xfId="0" applyFont="1" applyBorder="1" applyAlignment="1">
      <alignment vertical="center" wrapText="1"/>
    </xf>
    <xf numFmtId="0" fontId="6" fillId="0" borderId="6" xfId="0" applyFont="1" applyBorder="1" applyAlignment="1">
      <alignment vertical="center" wrapText="1"/>
    </xf>
    <xf numFmtId="0" fontId="0" fillId="6" borderId="0" xfId="0" applyFill="1"/>
    <xf numFmtId="164" fontId="16" fillId="0" borderId="18" xfId="0" applyNumberFormat="1" applyFont="1" applyBorder="1" applyAlignment="1">
      <alignment horizontal="center" wrapText="1"/>
    </xf>
    <xf numFmtId="0" fontId="12" fillId="2" borderId="0" xfId="0" applyFont="1" applyFill="1" applyAlignment="1">
      <alignment vertical="center"/>
    </xf>
    <xf numFmtId="0" fontId="5" fillId="0" borderId="1" xfId="0" applyFont="1" applyBorder="1" applyAlignment="1">
      <alignment horizontal="left" vertical="center" wrapText="1" indent="1"/>
    </xf>
    <xf numFmtId="0" fontId="17" fillId="0" borderId="0" xfId="0" applyFont="1" applyAlignment="1">
      <alignment wrapText="1"/>
    </xf>
    <xf numFmtId="0" fontId="0" fillId="0" borderId="5" xfId="0" applyBorder="1" applyAlignment="1">
      <alignment wrapText="1"/>
    </xf>
    <xf numFmtId="2" fontId="0" fillId="3" borderId="5" xfId="0" applyNumberFormat="1" applyFill="1" applyBorder="1" applyAlignment="1">
      <alignment wrapText="1"/>
    </xf>
    <xf numFmtId="0" fontId="10" fillId="0" borderId="23" xfId="0" applyFont="1" applyBorder="1" applyAlignment="1">
      <alignment vertical="center" wrapText="1"/>
    </xf>
    <xf numFmtId="0" fontId="5" fillId="5" borderId="1" xfId="0" applyFont="1" applyFill="1" applyBorder="1" applyAlignment="1">
      <alignment horizontal="left" vertical="center" wrapText="1" indent="1"/>
    </xf>
    <xf numFmtId="0" fontId="5" fillId="5" borderId="5" xfId="0" applyFont="1" applyFill="1" applyBorder="1" applyAlignment="1">
      <alignment horizontal="left" vertical="center" wrapText="1" indent="1"/>
    </xf>
    <xf numFmtId="0" fontId="4" fillId="0" borderId="1" xfId="0" applyFont="1" applyBorder="1" applyAlignment="1">
      <alignment vertical="center"/>
    </xf>
    <xf numFmtId="0" fontId="9" fillId="5" borderId="1" xfId="0" applyFont="1" applyFill="1" applyBorder="1" applyAlignment="1">
      <alignment horizontal="left" vertical="center"/>
    </xf>
    <xf numFmtId="0" fontId="9" fillId="5" borderId="1" xfId="0" applyFont="1" applyFill="1" applyBorder="1" applyAlignment="1">
      <alignment vertical="center"/>
    </xf>
    <xf numFmtId="0" fontId="0" fillId="5" borderId="1" xfId="0" applyFill="1" applyBorder="1" applyAlignment="1">
      <alignment wrapText="1"/>
    </xf>
    <xf numFmtId="0" fontId="10" fillId="5" borderId="1" xfId="0" applyFont="1" applyFill="1" applyBorder="1" applyAlignment="1">
      <alignment vertical="center" wrapText="1"/>
    </xf>
    <xf numFmtId="0" fontId="10" fillId="0" borderId="24" xfId="0" applyFont="1" applyBorder="1" applyAlignment="1">
      <alignment vertical="center" wrapText="1"/>
    </xf>
    <xf numFmtId="0" fontId="4" fillId="0" borderId="23" xfId="0" applyFont="1" applyBorder="1" applyAlignment="1">
      <alignment horizontal="left" vertical="center" wrapText="1"/>
    </xf>
    <xf numFmtId="0" fontId="20" fillId="7" borderId="0" xfId="0" applyFont="1" applyFill="1"/>
    <xf numFmtId="0" fontId="12" fillId="2" borderId="1" xfId="0" applyFont="1" applyFill="1" applyBorder="1" applyAlignment="1">
      <alignment horizontal="center" vertical="center" wrapText="1"/>
    </xf>
    <xf numFmtId="0" fontId="8" fillId="0" borderId="1" xfId="0" applyFont="1" applyBorder="1" applyAlignment="1">
      <alignment horizontal="center" wrapText="1"/>
    </xf>
    <xf numFmtId="0" fontId="8" fillId="5" borderId="1" xfId="0" quotePrefix="1" applyFont="1" applyFill="1" applyBorder="1" applyAlignment="1">
      <alignment horizontal="center" wrapText="1"/>
    </xf>
    <xf numFmtId="0" fontId="8" fillId="5" borderId="1" xfId="0" applyFont="1" applyFill="1" applyBorder="1" applyAlignment="1">
      <alignment horizontal="center" wrapText="1"/>
    </xf>
    <xf numFmtId="0" fontId="18" fillId="0" borderId="1" xfId="0" applyFont="1" applyBorder="1" applyAlignment="1">
      <alignment horizontal="center" wrapText="1"/>
    </xf>
    <xf numFmtId="0" fontId="18" fillId="5" borderId="1" xfId="0" applyFont="1" applyFill="1" applyBorder="1" applyAlignment="1">
      <alignment horizontal="center" wrapText="1"/>
    </xf>
  </cellXfs>
  <cellStyles count="1">
    <cellStyle name="Normal" xfId="0" builtinId="0"/>
  </cellStyles>
  <dxfs count="12">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3CF5D-7661-4756-B9DE-DD7CF100CD57}">
  <sheetPr>
    <pageSetUpPr fitToPage="1"/>
  </sheetPr>
  <dimension ref="A1:G179"/>
  <sheetViews>
    <sheetView showGridLines="0" tabSelected="1" zoomScaleNormal="100" workbookViewId="0">
      <selection activeCell="F5" sqref="F5"/>
    </sheetView>
  </sheetViews>
  <sheetFormatPr baseColWidth="10" defaultColWidth="10.81640625" defaultRowHeight="12" x14ac:dyDescent="0.3"/>
  <cols>
    <col min="1" max="1" width="7.453125" style="1" customWidth="1"/>
    <col min="2" max="2" width="68.453125" style="1" customWidth="1"/>
    <col min="3" max="3" width="6.1796875" style="1" customWidth="1"/>
    <col min="4" max="4" width="8" style="1" customWidth="1"/>
    <col min="5" max="5" width="46.54296875" style="1" customWidth="1"/>
    <col min="6" max="7" width="34.453125" style="1" customWidth="1"/>
    <col min="8" max="16384" width="10.81640625" style="1"/>
  </cols>
  <sheetData>
    <row r="1" spans="1:7" ht="18" customHeight="1" x14ac:dyDescent="0.3">
      <c r="A1" s="52" t="s">
        <v>71</v>
      </c>
      <c r="B1" s="46"/>
      <c r="C1" s="46"/>
      <c r="D1" s="46"/>
      <c r="E1" s="46"/>
      <c r="F1" s="2"/>
      <c r="G1" s="2"/>
    </row>
    <row r="2" spans="1:7" ht="18.5" x14ac:dyDescent="0.45">
      <c r="A2" s="36" t="s">
        <v>0</v>
      </c>
      <c r="B2" s="14"/>
      <c r="D2" s="47" t="s">
        <v>49</v>
      </c>
      <c r="E2" s="14"/>
      <c r="F2" s="54"/>
    </row>
    <row r="3" spans="1:7" ht="18" x14ac:dyDescent="0.3">
      <c r="A3" s="37"/>
      <c r="B3" s="68" t="s">
        <v>48</v>
      </c>
      <c r="C3" s="68"/>
      <c r="D3" s="15" t="s">
        <v>1</v>
      </c>
      <c r="E3" s="15" t="s">
        <v>2</v>
      </c>
    </row>
    <row r="4" spans="1:7" ht="31" customHeight="1" x14ac:dyDescent="0.35">
      <c r="A4" s="72" t="s">
        <v>72</v>
      </c>
      <c r="B4" s="72"/>
      <c r="C4" s="61"/>
      <c r="D4" s="7"/>
      <c r="E4" s="6"/>
    </row>
    <row r="5" spans="1:7" ht="14.5" x14ac:dyDescent="0.35">
      <c r="A5" s="13"/>
      <c r="B5" s="7"/>
      <c r="C5" s="8"/>
      <c r="D5" s="9"/>
      <c r="E5" s="10"/>
    </row>
    <row r="6" spans="1:7" ht="14.5" x14ac:dyDescent="0.35">
      <c r="A6" s="12" t="s">
        <v>3</v>
      </c>
      <c r="B6" s="53" t="s">
        <v>100</v>
      </c>
      <c r="C6" s="7"/>
      <c r="D6" s="11"/>
      <c r="E6" s="12"/>
    </row>
    <row r="7" spans="1:7" ht="23" x14ac:dyDescent="0.35">
      <c r="A7" s="12" t="s">
        <v>4</v>
      </c>
      <c r="B7" s="58" t="s">
        <v>165</v>
      </c>
      <c r="C7" s="8"/>
      <c r="D7" s="11"/>
      <c r="E7" s="12"/>
    </row>
    <row r="8" spans="1:7" ht="23" x14ac:dyDescent="0.35">
      <c r="A8" s="12" t="s">
        <v>5</v>
      </c>
      <c r="B8" s="58" t="s">
        <v>99</v>
      </c>
      <c r="C8" s="8"/>
      <c r="D8" s="11"/>
      <c r="E8" s="12"/>
    </row>
    <row r="9" spans="1:7" ht="23" x14ac:dyDescent="0.35">
      <c r="A9" s="12" t="s">
        <v>6</v>
      </c>
      <c r="B9" s="58" t="s">
        <v>166</v>
      </c>
      <c r="C9" s="8"/>
      <c r="D9" s="11"/>
      <c r="E9" s="12"/>
    </row>
    <row r="10" spans="1:7" ht="14.5" x14ac:dyDescent="0.35">
      <c r="A10" s="10">
        <v>1.5</v>
      </c>
      <c r="B10" s="58" t="s">
        <v>73</v>
      </c>
      <c r="C10" s="8"/>
      <c r="D10" s="11"/>
      <c r="E10" s="12"/>
    </row>
    <row r="11" spans="1:7" ht="23" x14ac:dyDescent="0.35">
      <c r="A11" s="10">
        <v>1.6</v>
      </c>
      <c r="B11" s="58" t="s">
        <v>101</v>
      </c>
      <c r="C11" s="8"/>
      <c r="D11" s="11"/>
      <c r="E11" s="65"/>
    </row>
    <row r="12" spans="1:7" ht="22.5" customHeight="1" thickBot="1" x14ac:dyDescent="0.4">
      <c r="A12" s="10">
        <v>1.7</v>
      </c>
      <c r="B12" s="59" t="s">
        <v>102</v>
      </c>
      <c r="C12" s="26"/>
      <c r="D12" s="56"/>
      <c r="E12" s="57"/>
    </row>
    <row r="13" spans="1:7" ht="15" thickBot="1" x14ac:dyDescent="0.4">
      <c r="A13" s="38" t="s">
        <v>7</v>
      </c>
      <c r="B13" s="28"/>
      <c r="C13" s="29"/>
      <c r="D13" s="30"/>
      <c r="E13" s="31"/>
    </row>
    <row r="14" spans="1:7" ht="15" thickBot="1" x14ac:dyDescent="0.4">
      <c r="A14" s="39"/>
      <c r="B14" s="25"/>
      <c r="C14" s="26"/>
      <c r="D14" s="27"/>
      <c r="E14" s="32"/>
    </row>
    <row r="15" spans="1:7" ht="13" x14ac:dyDescent="0.3">
      <c r="A15" s="40" t="s">
        <v>8</v>
      </c>
      <c r="B15" s="20" t="s">
        <v>9</v>
      </c>
      <c r="C15" s="17"/>
      <c r="D15" s="22">
        <v>0</v>
      </c>
      <c r="E15" s="33"/>
    </row>
    <row r="16" spans="1:7" ht="13" x14ac:dyDescent="0.3">
      <c r="A16" s="41" t="s">
        <v>10</v>
      </c>
      <c r="B16" s="21" t="s">
        <v>98</v>
      </c>
      <c r="C16" s="18"/>
      <c r="D16" s="23">
        <v>1</v>
      </c>
      <c r="E16" s="34"/>
    </row>
    <row r="17" spans="1:5" ht="13" x14ac:dyDescent="0.3">
      <c r="A17" s="41" t="s">
        <v>11</v>
      </c>
      <c r="B17" s="21" t="s">
        <v>109</v>
      </c>
      <c r="C17" s="18"/>
      <c r="D17" s="23">
        <v>3</v>
      </c>
      <c r="E17" s="34"/>
    </row>
    <row r="18" spans="1:5" ht="13" x14ac:dyDescent="0.3">
      <c r="A18" s="41" t="s">
        <v>12</v>
      </c>
      <c r="B18" s="21" t="s">
        <v>110</v>
      </c>
      <c r="C18" s="49"/>
      <c r="D18" s="23">
        <v>5</v>
      </c>
      <c r="E18" s="34"/>
    </row>
    <row r="19" spans="1:5" ht="23.5" thickBot="1" x14ac:dyDescent="0.35">
      <c r="A19" s="42" t="s">
        <v>13</v>
      </c>
      <c r="B19" s="21" t="s">
        <v>103</v>
      </c>
      <c r="C19" s="19"/>
      <c r="D19" s="24">
        <v>6</v>
      </c>
      <c r="E19" s="35"/>
    </row>
    <row r="20" spans="1:5" ht="18" x14ac:dyDescent="0.3">
      <c r="A20" s="43"/>
      <c r="B20" s="68" t="s">
        <v>48</v>
      </c>
      <c r="C20" s="68"/>
      <c r="D20" s="16" t="s">
        <v>1</v>
      </c>
      <c r="E20" s="16" t="s">
        <v>2</v>
      </c>
    </row>
    <row r="21" spans="1:5" ht="14.5" customHeight="1" x14ac:dyDescent="0.35">
      <c r="A21" s="73" t="s">
        <v>104</v>
      </c>
      <c r="B21" s="73" t="s">
        <v>14</v>
      </c>
      <c r="C21" s="3"/>
      <c r="D21" s="4"/>
      <c r="E21" s="3"/>
    </row>
    <row r="22" spans="1:5" ht="14.5" x14ac:dyDescent="0.35">
      <c r="A22" s="13"/>
      <c r="B22" s="7"/>
      <c r="C22" s="8"/>
      <c r="D22" s="9"/>
      <c r="E22" s="10"/>
    </row>
    <row r="23" spans="1:5" ht="14.5" x14ac:dyDescent="0.35">
      <c r="A23" s="12" t="s">
        <v>15</v>
      </c>
      <c r="B23" s="58" t="s">
        <v>105</v>
      </c>
      <c r="C23" s="7"/>
      <c r="D23" s="11"/>
      <c r="E23" s="12"/>
    </row>
    <row r="24" spans="1:5" ht="23" x14ac:dyDescent="0.35">
      <c r="A24" s="12" t="s">
        <v>16</v>
      </c>
      <c r="B24" s="58" t="s">
        <v>106</v>
      </c>
      <c r="C24" s="7"/>
      <c r="D24" s="11"/>
      <c r="E24" s="12"/>
    </row>
    <row r="25" spans="1:5" ht="23" x14ac:dyDescent="0.35">
      <c r="A25" s="12" t="s">
        <v>35</v>
      </c>
      <c r="B25" s="58" t="s">
        <v>107</v>
      </c>
      <c r="C25" s="7"/>
      <c r="D25" s="11"/>
      <c r="E25" s="12"/>
    </row>
    <row r="26" spans="1:5" ht="35.5" customHeight="1" x14ac:dyDescent="0.35">
      <c r="A26" s="12" t="s">
        <v>17</v>
      </c>
      <c r="B26" s="58" t="s">
        <v>167</v>
      </c>
      <c r="C26" s="7"/>
      <c r="D26" s="11"/>
      <c r="E26" s="12"/>
    </row>
    <row r="27" spans="1:5" ht="23" x14ac:dyDescent="0.35">
      <c r="A27" s="12" t="s">
        <v>18</v>
      </c>
      <c r="B27" s="58" t="s">
        <v>168</v>
      </c>
      <c r="C27" s="7"/>
      <c r="D27" s="11"/>
      <c r="E27" s="12"/>
    </row>
    <row r="28" spans="1:5" ht="14.5" x14ac:dyDescent="0.35">
      <c r="A28" s="12" t="s">
        <v>36</v>
      </c>
      <c r="B28" s="58" t="s">
        <v>74</v>
      </c>
      <c r="C28" s="7"/>
      <c r="D28" s="11"/>
      <c r="E28" s="12"/>
    </row>
    <row r="29" spans="1:5" ht="14.5" x14ac:dyDescent="0.35">
      <c r="A29" s="12" t="s">
        <v>52</v>
      </c>
      <c r="B29" s="58" t="s">
        <v>169</v>
      </c>
      <c r="C29" s="7"/>
      <c r="D29" s="11"/>
      <c r="E29" s="12"/>
    </row>
    <row r="30" spans="1:5" ht="15" thickBot="1" x14ac:dyDescent="0.4">
      <c r="A30" s="12" t="s">
        <v>53</v>
      </c>
      <c r="B30" s="59" t="s">
        <v>108</v>
      </c>
      <c r="C30" s="7"/>
      <c r="D30" s="11"/>
      <c r="E30" s="12"/>
    </row>
    <row r="31" spans="1:5" ht="15" customHeight="1" thickBot="1" x14ac:dyDescent="0.4">
      <c r="A31" s="38" t="s">
        <v>19</v>
      </c>
      <c r="B31" s="28"/>
      <c r="C31" s="29"/>
      <c r="D31" s="30"/>
      <c r="E31" s="31"/>
    </row>
    <row r="32" spans="1:5" ht="15" customHeight="1" thickBot="1" x14ac:dyDescent="0.4">
      <c r="A32" s="39"/>
      <c r="B32" s="25"/>
      <c r="C32" s="26"/>
      <c r="D32" s="27"/>
      <c r="E32" s="32"/>
    </row>
    <row r="33" spans="1:5" ht="15" customHeight="1" x14ac:dyDescent="0.3">
      <c r="A33" s="40" t="s">
        <v>8</v>
      </c>
      <c r="B33" s="20" t="s">
        <v>9</v>
      </c>
      <c r="C33" s="17"/>
      <c r="D33" s="22">
        <v>0</v>
      </c>
      <c r="E33" s="33"/>
    </row>
    <row r="34" spans="1:5" ht="15" customHeight="1" x14ac:dyDescent="0.3">
      <c r="A34" s="41" t="s">
        <v>10</v>
      </c>
      <c r="B34" s="21" t="s">
        <v>98</v>
      </c>
      <c r="C34" s="18"/>
      <c r="D34" s="23">
        <v>1</v>
      </c>
      <c r="E34" s="34"/>
    </row>
    <row r="35" spans="1:5" ht="13" x14ac:dyDescent="0.3">
      <c r="A35" s="41" t="s">
        <v>11</v>
      </c>
      <c r="B35" s="21" t="s">
        <v>111</v>
      </c>
      <c r="C35" s="48"/>
      <c r="D35" s="23">
        <v>3</v>
      </c>
      <c r="E35" s="34"/>
    </row>
    <row r="36" spans="1:5" ht="13" x14ac:dyDescent="0.3">
      <c r="A36" s="41" t="s">
        <v>12</v>
      </c>
      <c r="B36" s="21" t="s">
        <v>112</v>
      </c>
      <c r="C36" s="18"/>
      <c r="D36" s="23">
        <v>5</v>
      </c>
      <c r="E36" s="34"/>
    </row>
    <row r="37" spans="1:5" ht="23.5" thickBot="1" x14ac:dyDescent="0.35">
      <c r="A37" s="42" t="s">
        <v>13</v>
      </c>
      <c r="B37" s="21" t="s">
        <v>113</v>
      </c>
      <c r="C37" s="19"/>
      <c r="D37" s="24">
        <v>6</v>
      </c>
      <c r="E37" s="35"/>
    </row>
    <row r="38" spans="1:5" ht="18" x14ac:dyDescent="0.3">
      <c r="A38" s="43"/>
      <c r="B38" s="68" t="s">
        <v>48</v>
      </c>
      <c r="C38" s="68"/>
      <c r="D38" s="16" t="s">
        <v>1</v>
      </c>
      <c r="E38" s="16" t="s">
        <v>2</v>
      </c>
    </row>
    <row r="39" spans="1:5" ht="14.5" customHeight="1" x14ac:dyDescent="0.3">
      <c r="A39" s="69" t="s">
        <v>75</v>
      </c>
      <c r="B39" s="69" t="s">
        <v>14</v>
      </c>
      <c r="C39" s="3"/>
      <c r="D39" s="4"/>
      <c r="E39" s="3"/>
    </row>
    <row r="40" spans="1:5" ht="14.5" x14ac:dyDescent="0.35">
      <c r="A40" s="13"/>
      <c r="B40" s="7"/>
      <c r="C40" s="8"/>
      <c r="D40" s="9"/>
      <c r="E40" s="10"/>
    </row>
    <row r="41" spans="1:5" ht="46" x14ac:dyDescent="0.35">
      <c r="A41" s="12" t="s">
        <v>20</v>
      </c>
      <c r="B41" s="58" t="s">
        <v>123</v>
      </c>
      <c r="C41" s="7"/>
      <c r="D41" s="11"/>
      <c r="E41" s="12"/>
    </row>
    <row r="42" spans="1:5" ht="34.5" x14ac:dyDescent="0.35">
      <c r="A42" s="12" t="s">
        <v>21</v>
      </c>
      <c r="B42" s="58" t="s">
        <v>120</v>
      </c>
      <c r="C42" s="7"/>
      <c r="D42" s="11"/>
      <c r="E42" s="12"/>
    </row>
    <row r="43" spans="1:5" ht="23" x14ac:dyDescent="0.35">
      <c r="A43" s="12" t="s">
        <v>22</v>
      </c>
      <c r="B43" s="58" t="s">
        <v>121</v>
      </c>
      <c r="C43" s="7"/>
      <c r="D43" s="11"/>
      <c r="E43" s="12"/>
    </row>
    <row r="44" spans="1:5" ht="31" customHeight="1" x14ac:dyDescent="0.35">
      <c r="A44" s="12" t="s">
        <v>23</v>
      </c>
      <c r="B44" s="58" t="s">
        <v>122</v>
      </c>
      <c r="C44" s="7"/>
      <c r="D44" s="11"/>
      <c r="E44" s="12"/>
    </row>
    <row r="45" spans="1:5" ht="34.5" x14ac:dyDescent="0.35">
      <c r="A45" s="12" t="s">
        <v>24</v>
      </c>
      <c r="B45" s="58" t="s">
        <v>124</v>
      </c>
      <c r="C45" s="7"/>
      <c r="D45" s="11"/>
      <c r="E45" s="12"/>
    </row>
    <row r="46" spans="1:5" ht="43.5" customHeight="1" x14ac:dyDescent="0.35">
      <c r="A46" s="12" t="s">
        <v>56</v>
      </c>
      <c r="B46" s="58" t="s">
        <v>125</v>
      </c>
      <c r="C46" s="7"/>
      <c r="D46" s="11"/>
      <c r="E46" s="12"/>
    </row>
    <row r="47" spans="1:5" ht="23" x14ac:dyDescent="0.35">
      <c r="A47" s="12" t="s">
        <v>76</v>
      </c>
      <c r="B47" s="58" t="s">
        <v>126</v>
      </c>
      <c r="C47" s="7"/>
      <c r="D47" s="11"/>
      <c r="E47" s="12"/>
    </row>
    <row r="48" spans="1:5" ht="23" x14ac:dyDescent="0.35">
      <c r="A48" s="12" t="s">
        <v>77</v>
      </c>
      <c r="B48" s="58" t="s">
        <v>79</v>
      </c>
      <c r="C48" s="7"/>
      <c r="D48" s="11"/>
      <c r="E48" s="12"/>
    </row>
    <row r="49" spans="1:5" ht="23.5" thickBot="1" x14ac:dyDescent="0.4">
      <c r="A49" s="12" t="s">
        <v>78</v>
      </c>
      <c r="B49" s="58" t="s">
        <v>170</v>
      </c>
      <c r="C49" s="7"/>
      <c r="D49" s="11"/>
      <c r="E49" s="12"/>
    </row>
    <row r="50" spans="1:5" ht="15" customHeight="1" thickBot="1" x14ac:dyDescent="0.4">
      <c r="A50" s="38" t="s">
        <v>25</v>
      </c>
      <c r="B50" s="28"/>
      <c r="C50" s="29"/>
      <c r="D50" s="30"/>
      <c r="E50" s="31"/>
    </row>
    <row r="51" spans="1:5" ht="15" customHeight="1" thickBot="1" x14ac:dyDescent="0.4">
      <c r="A51" s="39"/>
      <c r="B51" s="25"/>
      <c r="C51" s="26"/>
      <c r="D51" s="27"/>
      <c r="E51" s="32"/>
    </row>
    <row r="52" spans="1:5" ht="15" customHeight="1" x14ac:dyDescent="0.3">
      <c r="A52" s="40" t="s">
        <v>8</v>
      </c>
      <c r="B52" s="20" t="s">
        <v>9</v>
      </c>
      <c r="C52" s="17"/>
      <c r="D52" s="22">
        <v>0</v>
      </c>
      <c r="E52" s="33"/>
    </row>
    <row r="53" spans="1:5" ht="15" customHeight="1" x14ac:dyDescent="0.3">
      <c r="A53" s="41" t="s">
        <v>10</v>
      </c>
      <c r="B53" s="21" t="s">
        <v>98</v>
      </c>
      <c r="C53" s="18"/>
      <c r="D53" s="23">
        <v>1</v>
      </c>
      <c r="E53" s="34"/>
    </row>
    <row r="54" spans="1:5" ht="34.5" x14ac:dyDescent="0.3">
      <c r="A54" s="41" t="s">
        <v>11</v>
      </c>
      <c r="B54" s="21" t="s">
        <v>128</v>
      </c>
      <c r="C54" s="48"/>
      <c r="D54" s="23">
        <v>3</v>
      </c>
      <c r="E54" s="34"/>
    </row>
    <row r="55" spans="1:5" ht="23" x14ac:dyDescent="0.3">
      <c r="A55" s="41" t="s">
        <v>12</v>
      </c>
      <c r="B55" s="21" t="s">
        <v>129</v>
      </c>
      <c r="C55" s="18"/>
      <c r="D55" s="23">
        <v>5</v>
      </c>
      <c r="E55" s="34"/>
    </row>
    <row r="56" spans="1:5" ht="35" thickBot="1" x14ac:dyDescent="0.35">
      <c r="A56" s="42" t="s">
        <v>13</v>
      </c>
      <c r="B56" s="21" t="s">
        <v>127</v>
      </c>
      <c r="C56" s="19"/>
      <c r="D56" s="24">
        <v>6</v>
      </c>
      <c r="E56" s="35"/>
    </row>
    <row r="57" spans="1:5" ht="18" x14ac:dyDescent="0.3">
      <c r="A57" s="43"/>
      <c r="B57" s="68" t="s">
        <v>48</v>
      </c>
      <c r="C57" s="68"/>
      <c r="D57" s="16" t="s">
        <v>1</v>
      </c>
      <c r="E57" s="16" t="s">
        <v>2</v>
      </c>
    </row>
    <row r="58" spans="1:5" ht="29.5" customHeight="1" x14ac:dyDescent="0.3">
      <c r="A58" s="69" t="s">
        <v>80</v>
      </c>
      <c r="B58" s="69" t="s">
        <v>14</v>
      </c>
      <c r="C58" s="60"/>
      <c r="D58" s="4"/>
      <c r="E58" s="3"/>
    </row>
    <row r="59" spans="1:5" ht="14.5" x14ac:dyDescent="0.35">
      <c r="A59" s="13"/>
      <c r="B59" s="7"/>
      <c r="C59" s="5"/>
      <c r="D59" s="11"/>
      <c r="E59" s="3"/>
    </row>
    <row r="60" spans="1:5" ht="46" x14ac:dyDescent="0.35">
      <c r="A60" s="10" t="s">
        <v>26</v>
      </c>
      <c r="B60" s="53" t="s">
        <v>114</v>
      </c>
      <c r="C60" s="7"/>
      <c r="D60" s="11"/>
      <c r="E60" s="3"/>
    </row>
    <row r="61" spans="1:5" ht="23" x14ac:dyDescent="0.35">
      <c r="A61" s="10" t="s">
        <v>27</v>
      </c>
      <c r="B61" s="58" t="s">
        <v>176</v>
      </c>
      <c r="C61" s="7"/>
      <c r="D61" s="11"/>
      <c r="E61" s="3"/>
    </row>
    <row r="62" spans="1:5" ht="23" x14ac:dyDescent="0.35">
      <c r="A62" s="10" t="s">
        <v>28</v>
      </c>
      <c r="B62" s="53" t="s">
        <v>116</v>
      </c>
      <c r="C62" s="7"/>
      <c r="D62" s="11"/>
      <c r="E62" s="3"/>
    </row>
    <row r="63" spans="1:5" ht="23" x14ac:dyDescent="0.35">
      <c r="A63" s="10" t="s">
        <v>29</v>
      </c>
      <c r="B63" s="53" t="s">
        <v>115</v>
      </c>
      <c r="C63" s="7"/>
      <c r="D63" s="11"/>
      <c r="E63" s="3"/>
    </row>
    <row r="64" spans="1:5" ht="34.5" x14ac:dyDescent="0.35">
      <c r="A64" s="10" t="s">
        <v>37</v>
      </c>
      <c r="B64" s="53" t="s">
        <v>177</v>
      </c>
      <c r="C64" s="7"/>
      <c r="D64" s="11"/>
      <c r="E64" s="3"/>
    </row>
    <row r="65" spans="1:5" ht="23" x14ac:dyDescent="0.35">
      <c r="A65" s="10" t="s">
        <v>37</v>
      </c>
      <c r="B65" s="53" t="s">
        <v>178</v>
      </c>
      <c r="C65" s="7"/>
      <c r="D65" s="11"/>
      <c r="E65" s="3"/>
    </row>
    <row r="66" spans="1:5" ht="14.5" x14ac:dyDescent="0.35">
      <c r="A66" s="10" t="s">
        <v>54</v>
      </c>
      <c r="B66" s="53" t="s">
        <v>84</v>
      </c>
      <c r="C66" s="7"/>
      <c r="D66" s="11"/>
      <c r="E66" s="3"/>
    </row>
    <row r="67" spans="1:5" ht="23" x14ac:dyDescent="0.35">
      <c r="A67" s="10" t="s">
        <v>81</v>
      </c>
      <c r="B67" s="53" t="s">
        <v>171</v>
      </c>
      <c r="C67" s="7"/>
      <c r="D67" s="11"/>
      <c r="E67" s="3"/>
    </row>
    <row r="68" spans="1:5" ht="34.5" x14ac:dyDescent="0.35">
      <c r="A68" s="10" t="s">
        <v>82</v>
      </c>
      <c r="B68" s="53" t="s">
        <v>179</v>
      </c>
      <c r="C68" s="7"/>
      <c r="D68" s="11"/>
      <c r="E68" s="3"/>
    </row>
    <row r="69" spans="1:5" ht="15" thickBot="1" x14ac:dyDescent="0.4">
      <c r="A69" s="10" t="s">
        <v>83</v>
      </c>
      <c r="B69" s="59" t="s">
        <v>108</v>
      </c>
      <c r="C69" s="55"/>
      <c r="D69" s="56"/>
      <c r="E69" s="66"/>
    </row>
    <row r="70" spans="1:5" ht="15" thickBot="1" x14ac:dyDescent="0.4">
      <c r="A70" s="38" t="s">
        <v>30</v>
      </c>
      <c r="B70" s="28"/>
      <c r="C70" s="29"/>
      <c r="D70" s="30"/>
      <c r="E70" s="31"/>
    </row>
    <row r="71" spans="1:5" ht="15" thickBot="1" x14ac:dyDescent="0.4">
      <c r="A71" s="39"/>
      <c r="B71" s="25"/>
      <c r="C71" s="26"/>
      <c r="D71" s="27"/>
      <c r="E71" s="32"/>
    </row>
    <row r="72" spans="1:5" ht="13" x14ac:dyDescent="0.3">
      <c r="A72" s="40" t="s">
        <v>8</v>
      </c>
      <c r="B72" s="20" t="s">
        <v>9</v>
      </c>
      <c r="C72" s="17"/>
      <c r="D72" s="22">
        <v>0</v>
      </c>
      <c r="E72" s="33"/>
    </row>
    <row r="73" spans="1:5" ht="13" x14ac:dyDescent="0.3">
      <c r="A73" s="41" t="s">
        <v>10</v>
      </c>
      <c r="B73" s="21" t="s">
        <v>98</v>
      </c>
      <c r="C73" s="18"/>
      <c r="D73" s="23">
        <v>1</v>
      </c>
      <c r="E73" s="34"/>
    </row>
    <row r="74" spans="1:5" ht="23" x14ac:dyDescent="0.3">
      <c r="A74" s="41" t="s">
        <v>11</v>
      </c>
      <c r="B74" s="21" t="s">
        <v>117</v>
      </c>
      <c r="C74" s="18"/>
      <c r="D74" s="23">
        <v>3</v>
      </c>
      <c r="E74" s="34"/>
    </row>
    <row r="75" spans="1:5" ht="23" x14ac:dyDescent="0.3">
      <c r="A75" s="41" t="s">
        <v>12</v>
      </c>
      <c r="B75" s="21" t="s">
        <v>118</v>
      </c>
      <c r="C75" s="49"/>
      <c r="D75" s="23">
        <v>5</v>
      </c>
      <c r="E75" s="34"/>
    </row>
    <row r="76" spans="1:5" ht="35" thickBot="1" x14ac:dyDescent="0.35">
      <c r="A76" s="42" t="s">
        <v>13</v>
      </c>
      <c r="B76" s="21" t="s">
        <v>119</v>
      </c>
      <c r="C76" s="19"/>
      <c r="D76" s="24">
        <v>6</v>
      </c>
      <c r="E76" s="35"/>
    </row>
    <row r="77" spans="1:5" ht="18" x14ac:dyDescent="0.3">
      <c r="A77" s="43"/>
      <c r="B77" s="68" t="s">
        <v>48</v>
      </c>
      <c r="C77" s="68"/>
      <c r="D77" s="16" t="s">
        <v>1</v>
      </c>
      <c r="E77" s="16" t="s">
        <v>2</v>
      </c>
    </row>
    <row r="78" spans="1:5" ht="14.5" x14ac:dyDescent="0.35">
      <c r="A78" s="70" t="s">
        <v>85</v>
      </c>
      <c r="B78" s="71"/>
      <c r="C78" s="6"/>
      <c r="D78" s="7"/>
      <c r="E78" s="6"/>
    </row>
    <row r="79" spans="1:5" ht="14.5" x14ac:dyDescent="0.35">
      <c r="A79" s="62"/>
      <c r="B79" s="63"/>
      <c r="C79" s="8"/>
      <c r="D79" s="9"/>
    </row>
    <row r="80" spans="1:5" ht="23" x14ac:dyDescent="0.35">
      <c r="A80" s="64" t="s">
        <v>57</v>
      </c>
      <c r="B80" s="53" t="s">
        <v>130</v>
      </c>
      <c r="C80" s="7"/>
      <c r="D80" s="11"/>
      <c r="E80" s="12"/>
    </row>
    <row r="81" spans="1:5" ht="23" x14ac:dyDescent="0.35">
      <c r="A81" s="64" t="s">
        <v>58</v>
      </c>
      <c r="B81" s="53" t="s">
        <v>131</v>
      </c>
      <c r="C81" s="7"/>
      <c r="D81" s="11"/>
      <c r="E81" s="12"/>
    </row>
    <row r="82" spans="1:5" ht="46" x14ac:dyDescent="0.35">
      <c r="A82" s="64" t="s">
        <v>59</v>
      </c>
      <c r="B82" s="53" t="s">
        <v>86</v>
      </c>
      <c r="C82" s="7"/>
      <c r="D82" s="11"/>
      <c r="E82" s="12"/>
    </row>
    <row r="83" spans="1:5" ht="23" x14ac:dyDescent="0.35">
      <c r="A83" s="64" t="s">
        <v>60</v>
      </c>
      <c r="B83" s="58" t="s">
        <v>132</v>
      </c>
      <c r="C83" s="7"/>
      <c r="D83" s="11"/>
      <c r="E83" s="12"/>
    </row>
    <row r="84" spans="1:5" ht="23" x14ac:dyDescent="0.35">
      <c r="A84" s="64" t="s">
        <v>61</v>
      </c>
      <c r="B84" s="53" t="s">
        <v>133</v>
      </c>
      <c r="C84" s="7"/>
      <c r="D84" s="11"/>
      <c r="E84" s="12"/>
    </row>
    <row r="85" spans="1:5" ht="34.5" x14ac:dyDescent="0.35">
      <c r="A85" s="64" t="s">
        <v>62</v>
      </c>
      <c r="B85" s="53" t="s">
        <v>87</v>
      </c>
      <c r="C85" s="7"/>
      <c r="D85" s="11"/>
      <c r="E85" s="12"/>
    </row>
    <row r="86" spans="1:5" ht="34.5" x14ac:dyDescent="0.35">
      <c r="A86" s="64" t="s">
        <v>63</v>
      </c>
      <c r="B86" s="58" t="s">
        <v>134</v>
      </c>
      <c r="C86" s="7"/>
      <c r="D86" s="11"/>
      <c r="E86" s="12"/>
    </row>
    <row r="87" spans="1:5" ht="15" thickBot="1" x14ac:dyDescent="0.4">
      <c r="A87" s="64" t="s">
        <v>64</v>
      </c>
      <c r="B87" s="59" t="s">
        <v>108</v>
      </c>
      <c r="C87" s="55"/>
      <c r="D87" s="11"/>
      <c r="E87" s="57"/>
    </row>
    <row r="88" spans="1:5" ht="15" thickBot="1" x14ac:dyDescent="0.4">
      <c r="A88" s="38" t="s">
        <v>31</v>
      </c>
      <c r="B88" s="28"/>
      <c r="C88" s="29"/>
      <c r="D88" s="30"/>
      <c r="E88" s="31"/>
    </row>
    <row r="89" spans="1:5" ht="15" thickBot="1" x14ac:dyDescent="0.4">
      <c r="A89" s="39"/>
      <c r="B89" s="25"/>
      <c r="C89" s="26"/>
      <c r="D89" s="27"/>
      <c r="E89" s="32"/>
    </row>
    <row r="90" spans="1:5" ht="13" x14ac:dyDescent="0.3">
      <c r="A90" s="40" t="s">
        <v>8</v>
      </c>
      <c r="B90" s="20" t="s">
        <v>9</v>
      </c>
      <c r="C90" s="17"/>
      <c r="D90" s="22">
        <v>0</v>
      </c>
      <c r="E90" s="33"/>
    </row>
    <row r="91" spans="1:5" ht="13" x14ac:dyDescent="0.3">
      <c r="A91" s="41" t="s">
        <v>10</v>
      </c>
      <c r="B91" s="21" t="s">
        <v>98</v>
      </c>
      <c r="C91" s="18"/>
      <c r="D91" s="23">
        <v>1</v>
      </c>
      <c r="E91" s="34"/>
    </row>
    <row r="92" spans="1:5" ht="23" x14ac:dyDescent="0.3">
      <c r="A92" s="41" t="s">
        <v>11</v>
      </c>
      <c r="B92" s="21" t="s">
        <v>135</v>
      </c>
      <c r="C92" s="18"/>
      <c r="D92" s="23">
        <v>3</v>
      </c>
      <c r="E92" s="34"/>
    </row>
    <row r="93" spans="1:5" ht="23" x14ac:dyDescent="0.3">
      <c r="A93" s="41" t="s">
        <v>12</v>
      </c>
      <c r="B93" s="21" t="s">
        <v>136</v>
      </c>
      <c r="C93" s="49"/>
      <c r="D93" s="23">
        <v>5</v>
      </c>
      <c r="E93" s="34"/>
    </row>
    <row r="94" spans="1:5" ht="35" thickBot="1" x14ac:dyDescent="0.35">
      <c r="A94" s="42" t="s">
        <v>13</v>
      </c>
      <c r="B94" s="21" t="s">
        <v>137</v>
      </c>
      <c r="C94" s="19"/>
      <c r="D94" s="24">
        <v>6</v>
      </c>
      <c r="E94" s="35"/>
    </row>
    <row r="95" spans="1:5" ht="18" x14ac:dyDescent="0.3">
      <c r="A95" s="43"/>
      <c r="B95" s="68" t="s">
        <v>48</v>
      </c>
      <c r="C95" s="68"/>
      <c r="D95" s="16" t="s">
        <v>1</v>
      </c>
      <c r="E95" s="16" t="s">
        <v>2</v>
      </c>
    </row>
    <row r="96" spans="1:5" ht="14.5" x14ac:dyDescent="0.35">
      <c r="A96" s="69" t="s">
        <v>88</v>
      </c>
      <c r="B96" s="69"/>
      <c r="C96" s="6"/>
      <c r="D96" s="7"/>
      <c r="E96" s="6"/>
    </row>
    <row r="97" spans="1:5" ht="14.5" x14ac:dyDescent="0.35">
      <c r="A97" s="13"/>
      <c r="B97" s="7"/>
      <c r="C97" s="8"/>
      <c r="D97" s="11"/>
    </row>
    <row r="98" spans="1:5" ht="23" x14ac:dyDescent="0.35">
      <c r="A98" s="12" t="s">
        <v>38</v>
      </c>
      <c r="B98" s="53" t="s">
        <v>138</v>
      </c>
      <c r="C98" s="7"/>
      <c r="D98" s="11"/>
      <c r="E98" s="12"/>
    </row>
    <row r="99" spans="1:5" ht="46" x14ac:dyDescent="0.35">
      <c r="A99" s="12" t="s">
        <v>39</v>
      </c>
      <c r="B99" s="53" t="s">
        <v>172</v>
      </c>
      <c r="C99" s="7"/>
      <c r="D99" s="11"/>
      <c r="E99" s="12"/>
    </row>
    <row r="100" spans="1:5" ht="34.5" x14ac:dyDescent="0.35">
      <c r="A100" s="12" t="s">
        <v>40</v>
      </c>
      <c r="B100" s="53" t="s">
        <v>139</v>
      </c>
      <c r="C100" s="7"/>
      <c r="D100" s="11"/>
      <c r="E100" s="12"/>
    </row>
    <row r="101" spans="1:5" ht="34.5" x14ac:dyDescent="0.35">
      <c r="A101" s="12" t="s">
        <v>41</v>
      </c>
      <c r="B101" s="53" t="s">
        <v>140</v>
      </c>
      <c r="C101" s="7"/>
      <c r="D101" s="11"/>
      <c r="E101" s="12"/>
    </row>
    <row r="102" spans="1:5" ht="48.5" customHeight="1" x14ac:dyDescent="0.35">
      <c r="A102" s="12" t="s">
        <v>55</v>
      </c>
      <c r="B102" s="53" t="s">
        <v>89</v>
      </c>
      <c r="C102" s="7"/>
      <c r="D102" s="11"/>
      <c r="E102" s="12"/>
    </row>
    <row r="103" spans="1:5" ht="23.5" thickBot="1" x14ac:dyDescent="0.4">
      <c r="A103" s="10">
        <v>6.6</v>
      </c>
      <c r="B103" s="53" t="s">
        <v>141</v>
      </c>
      <c r="C103" s="55"/>
      <c r="D103" s="56"/>
      <c r="E103" s="57"/>
    </row>
    <row r="104" spans="1:5" ht="15" thickBot="1" x14ac:dyDescent="0.4">
      <c r="A104" s="38" t="s">
        <v>174</v>
      </c>
      <c r="B104" s="28"/>
      <c r="C104" s="29"/>
      <c r="D104" s="30"/>
      <c r="E104" s="31"/>
    </row>
    <row r="105" spans="1:5" ht="15" thickBot="1" x14ac:dyDescent="0.4">
      <c r="A105" s="39"/>
      <c r="B105" s="25"/>
      <c r="C105" s="26"/>
      <c r="D105" s="27"/>
      <c r="E105" s="32"/>
    </row>
    <row r="106" spans="1:5" ht="13" x14ac:dyDescent="0.3">
      <c r="A106" s="40" t="s">
        <v>8</v>
      </c>
      <c r="B106" s="20" t="s">
        <v>9</v>
      </c>
      <c r="C106" s="17"/>
      <c r="D106" s="22">
        <v>0</v>
      </c>
      <c r="E106" s="33"/>
    </row>
    <row r="107" spans="1:5" ht="13" x14ac:dyDescent="0.3">
      <c r="A107" s="41" t="s">
        <v>10</v>
      </c>
      <c r="B107" s="21" t="s">
        <v>98</v>
      </c>
      <c r="C107" s="18"/>
      <c r="D107" s="23">
        <v>1</v>
      </c>
      <c r="E107" s="34"/>
    </row>
    <row r="108" spans="1:5" ht="23" x14ac:dyDescent="0.3">
      <c r="A108" s="41" t="s">
        <v>11</v>
      </c>
      <c r="B108" s="21" t="s">
        <v>142</v>
      </c>
      <c r="C108" s="18"/>
      <c r="D108" s="23">
        <v>3</v>
      </c>
      <c r="E108" s="34"/>
    </row>
    <row r="109" spans="1:5" ht="13" x14ac:dyDescent="0.3">
      <c r="A109" s="41" t="s">
        <v>12</v>
      </c>
      <c r="B109" s="21" t="s">
        <v>143</v>
      </c>
      <c r="C109" s="49"/>
      <c r="D109" s="23">
        <v>5</v>
      </c>
      <c r="E109" s="34"/>
    </row>
    <row r="110" spans="1:5" ht="23.5" thickBot="1" x14ac:dyDescent="0.35">
      <c r="A110" s="42" t="s">
        <v>13</v>
      </c>
      <c r="B110" s="21" t="s">
        <v>173</v>
      </c>
      <c r="C110" s="19"/>
      <c r="D110" s="24">
        <v>6</v>
      </c>
      <c r="E110" s="35"/>
    </row>
    <row r="111" spans="1:5" ht="18" x14ac:dyDescent="0.3">
      <c r="A111" s="43"/>
      <c r="B111" s="68" t="s">
        <v>48</v>
      </c>
      <c r="C111" s="68"/>
      <c r="D111" s="16" t="s">
        <v>1</v>
      </c>
      <c r="E111" s="16" t="s">
        <v>2</v>
      </c>
    </row>
    <row r="112" spans="1:5" ht="29.25" customHeight="1" x14ac:dyDescent="0.35">
      <c r="A112" s="69" t="s">
        <v>90</v>
      </c>
      <c r="B112" s="69"/>
      <c r="C112" s="6"/>
      <c r="D112" s="7"/>
      <c r="E112" s="6"/>
    </row>
    <row r="113" spans="1:5" ht="14.5" x14ac:dyDescent="0.35">
      <c r="A113" s="13"/>
      <c r="B113" s="7"/>
      <c r="C113" s="8"/>
      <c r="D113" s="9"/>
    </row>
    <row r="114" spans="1:5" ht="34.5" x14ac:dyDescent="0.35">
      <c r="A114" s="12" t="s">
        <v>42</v>
      </c>
      <c r="B114" s="53" t="s">
        <v>144</v>
      </c>
      <c r="C114" s="7"/>
      <c r="D114" s="11"/>
      <c r="E114" s="12"/>
    </row>
    <row r="115" spans="1:5" ht="46" x14ac:dyDescent="0.35">
      <c r="A115" s="12" t="s">
        <v>43</v>
      </c>
      <c r="B115" s="53" t="s">
        <v>175</v>
      </c>
      <c r="C115" s="7"/>
      <c r="D115" s="11"/>
      <c r="E115" s="12"/>
    </row>
    <row r="116" spans="1:5" ht="14.5" x14ac:dyDescent="0.35">
      <c r="A116" s="12" t="s">
        <v>44</v>
      </c>
      <c r="B116" s="53" t="s">
        <v>91</v>
      </c>
      <c r="C116" s="7"/>
      <c r="D116" s="11"/>
      <c r="E116" s="12"/>
    </row>
    <row r="117" spans="1:5" ht="23" x14ac:dyDescent="0.35">
      <c r="A117" s="12" t="s">
        <v>45</v>
      </c>
      <c r="B117" s="53" t="s">
        <v>145</v>
      </c>
      <c r="C117" s="7"/>
      <c r="D117" s="11"/>
      <c r="E117" s="12"/>
    </row>
    <row r="118" spans="1:5" ht="34.5" x14ac:dyDescent="0.35">
      <c r="A118" s="12" t="s">
        <v>46</v>
      </c>
      <c r="B118" s="53" t="s">
        <v>146</v>
      </c>
      <c r="C118" s="7"/>
      <c r="D118" s="11"/>
      <c r="E118" s="12"/>
    </row>
    <row r="119" spans="1:5" ht="34.5" x14ac:dyDescent="0.35">
      <c r="A119" s="12" t="s">
        <v>92</v>
      </c>
      <c r="B119" s="53" t="s">
        <v>147</v>
      </c>
      <c r="C119" s="7"/>
      <c r="D119" s="11"/>
      <c r="E119" s="12"/>
    </row>
    <row r="120" spans="1:5" ht="23" x14ac:dyDescent="0.35">
      <c r="A120" s="12" t="s">
        <v>93</v>
      </c>
      <c r="B120" s="53" t="s">
        <v>148</v>
      </c>
      <c r="C120" s="7"/>
      <c r="D120" s="11"/>
      <c r="E120" s="12"/>
    </row>
    <row r="121" spans="1:5" ht="23" x14ac:dyDescent="0.35">
      <c r="A121" s="12" t="s">
        <v>94</v>
      </c>
      <c r="B121" s="53" t="s">
        <v>149</v>
      </c>
      <c r="C121" s="7"/>
      <c r="D121" s="11"/>
      <c r="E121" s="12"/>
    </row>
    <row r="122" spans="1:5" ht="23.5" thickBot="1" x14ac:dyDescent="0.4">
      <c r="A122" s="10">
        <v>7.9</v>
      </c>
      <c r="B122" s="53" t="s">
        <v>152</v>
      </c>
      <c r="C122" s="7"/>
      <c r="D122" s="11"/>
      <c r="E122" s="12"/>
    </row>
    <row r="123" spans="1:5" ht="15" thickBot="1" x14ac:dyDescent="0.4">
      <c r="A123" s="38" t="s">
        <v>47</v>
      </c>
      <c r="B123" s="28"/>
      <c r="C123" s="29"/>
      <c r="D123" s="30"/>
      <c r="E123" s="31"/>
    </row>
    <row r="124" spans="1:5" ht="15" thickBot="1" x14ac:dyDescent="0.4">
      <c r="A124" s="39"/>
      <c r="B124" s="25"/>
      <c r="C124" s="26"/>
      <c r="D124" s="27"/>
      <c r="E124" s="32"/>
    </row>
    <row r="125" spans="1:5" ht="13" x14ac:dyDescent="0.3">
      <c r="A125" s="40" t="s">
        <v>8</v>
      </c>
      <c r="B125" s="20" t="s">
        <v>9</v>
      </c>
      <c r="C125" s="17"/>
      <c r="D125" s="22">
        <v>0</v>
      </c>
      <c r="E125" s="33"/>
    </row>
    <row r="126" spans="1:5" ht="13" x14ac:dyDescent="0.3">
      <c r="A126" s="41" t="s">
        <v>10</v>
      </c>
      <c r="B126" s="21" t="s">
        <v>98</v>
      </c>
      <c r="C126" s="18"/>
      <c r="D126" s="23">
        <v>1</v>
      </c>
      <c r="E126" s="34"/>
    </row>
    <row r="127" spans="1:5" ht="23" x14ac:dyDescent="0.3">
      <c r="A127" s="41" t="s">
        <v>11</v>
      </c>
      <c r="B127" s="21" t="s">
        <v>151</v>
      </c>
      <c r="C127" s="18"/>
      <c r="D127" s="23">
        <v>3</v>
      </c>
      <c r="E127" s="34"/>
    </row>
    <row r="128" spans="1:5" ht="13" x14ac:dyDescent="0.3">
      <c r="A128" s="41" t="s">
        <v>12</v>
      </c>
      <c r="B128" s="21" t="s">
        <v>150</v>
      </c>
      <c r="C128" s="49"/>
      <c r="D128" s="23">
        <v>5</v>
      </c>
      <c r="E128" s="34"/>
    </row>
    <row r="129" spans="1:5" ht="35" thickBot="1" x14ac:dyDescent="0.35">
      <c r="A129" s="42" t="s">
        <v>13</v>
      </c>
      <c r="B129" s="21" t="s">
        <v>153</v>
      </c>
      <c r="C129" s="19"/>
      <c r="D129" s="24">
        <v>6</v>
      </c>
      <c r="E129" s="35"/>
    </row>
    <row r="130" spans="1:5" ht="18" x14ac:dyDescent="0.3">
      <c r="A130" s="43"/>
      <c r="B130" s="68" t="s">
        <v>48</v>
      </c>
      <c r="C130" s="68"/>
      <c r="D130" s="16" t="s">
        <v>1</v>
      </c>
      <c r="E130" s="16" t="s">
        <v>2</v>
      </c>
    </row>
    <row r="131" spans="1:5" ht="29.25" customHeight="1" x14ac:dyDescent="0.35">
      <c r="A131" s="69" t="s">
        <v>95</v>
      </c>
      <c r="B131" s="69"/>
      <c r="C131" s="6"/>
      <c r="D131" s="7"/>
      <c r="E131" s="6"/>
    </row>
    <row r="132" spans="1:5" ht="14.5" x14ac:dyDescent="0.35">
      <c r="A132" s="13"/>
      <c r="B132" s="7"/>
      <c r="C132" s="8"/>
      <c r="D132" s="9"/>
    </row>
    <row r="133" spans="1:5" ht="14.5" x14ac:dyDescent="0.35">
      <c r="A133" s="12" t="s">
        <v>65</v>
      </c>
      <c r="B133" s="53" t="s">
        <v>154</v>
      </c>
      <c r="C133" s="7"/>
      <c r="D133" s="11"/>
      <c r="E133" s="12"/>
    </row>
    <row r="134" spans="1:5" ht="23" x14ac:dyDescent="0.35">
      <c r="A134" s="12" t="s">
        <v>66</v>
      </c>
      <c r="B134" s="53" t="s">
        <v>155</v>
      </c>
      <c r="C134" s="7"/>
      <c r="D134" s="11"/>
      <c r="E134" s="12"/>
    </row>
    <row r="135" spans="1:5" ht="23" x14ac:dyDescent="0.35">
      <c r="A135" s="12" t="s">
        <v>67</v>
      </c>
      <c r="B135" s="53" t="s">
        <v>159</v>
      </c>
      <c r="C135" s="7"/>
      <c r="D135" s="11"/>
      <c r="E135" s="12"/>
    </row>
    <row r="136" spans="1:5" ht="14.5" x14ac:dyDescent="0.35">
      <c r="A136" s="12" t="s">
        <v>68</v>
      </c>
      <c r="B136" s="53" t="s">
        <v>157</v>
      </c>
      <c r="C136" s="7"/>
      <c r="D136" s="11"/>
      <c r="E136" s="12"/>
    </row>
    <row r="137" spans="1:5" ht="23" x14ac:dyDescent="0.35">
      <c r="A137" s="12" t="s">
        <v>69</v>
      </c>
      <c r="B137" s="53" t="s">
        <v>156</v>
      </c>
      <c r="C137" s="55"/>
      <c r="D137" s="11"/>
      <c r="E137" s="12"/>
    </row>
    <row r="138" spans="1:5" ht="34.5" x14ac:dyDescent="0.35">
      <c r="A138" s="12" t="s">
        <v>96</v>
      </c>
      <c r="B138" s="53" t="s">
        <v>158</v>
      </c>
      <c r="C138" s="55"/>
      <c r="D138" s="11"/>
      <c r="E138" s="12"/>
    </row>
    <row r="139" spans="1:5" ht="15" thickBot="1" x14ac:dyDescent="0.4">
      <c r="A139" s="12" t="s">
        <v>97</v>
      </c>
      <c r="B139" s="53" t="s">
        <v>160</v>
      </c>
      <c r="C139" s="55"/>
      <c r="D139" s="11"/>
      <c r="E139" s="57"/>
    </row>
    <row r="140" spans="1:5" ht="15" thickBot="1" x14ac:dyDescent="0.4">
      <c r="A140" s="38" t="s">
        <v>70</v>
      </c>
      <c r="B140" s="28"/>
      <c r="C140" s="29"/>
      <c r="D140" s="30"/>
      <c r="E140" s="31"/>
    </row>
    <row r="141" spans="1:5" ht="15" thickBot="1" x14ac:dyDescent="0.4">
      <c r="A141" s="39"/>
      <c r="B141" s="25"/>
      <c r="C141" s="26"/>
      <c r="D141" s="27"/>
      <c r="E141" s="32"/>
    </row>
    <row r="142" spans="1:5" ht="13" x14ac:dyDescent="0.3">
      <c r="A142" s="40" t="s">
        <v>8</v>
      </c>
      <c r="B142" s="20" t="s">
        <v>9</v>
      </c>
      <c r="C142" s="17"/>
      <c r="D142" s="22">
        <v>0</v>
      </c>
      <c r="E142" s="33"/>
    </row>
    <row r="143" spans="1:5" ht="13" x14ac:dyDescent="0.3">
      <c r="A143" s="41" t="s">
        <v>10</v>
      </c>
      <c r="B143" s="21" t="s">
        <v>98</v>
      </c>
      <c r="C143" s="18"/>
      <c r="D143" s="23">
        <v>1</v>
      </c>
      <c r="E143" s="34"/>
    </row>
    <row r="144" spans="1:5" ht="23" x14ac:dyDescent="0.3">
      <c r="A144" s="41" t="s">
        <v>11</v>
      </c>
      <c r="B144" s="21" t="s">
        <v>162</v>
      </c>
      <c r="C144" s="18"/>
      <c r="D144" s="23">
        <v>3</v>
      </c>
      <c r="E144" s="34"/>
    </row>
    <row r="145" spans="1:5" ht="13" x14ac:dyDescent="0.3">
      <c r="A145" s="41" t="s">
        <v>12</v>
      </c>
      <c r="B145" s="21" t="s">
        <v>163</v>
      </c>
      <c r="C145" s="49"/>
      <c r="D145" s="23">
        <v>5</v>
      </c>
      <c r="E145" s="34"/>
    </row>
    <row r="146" spans="1:5" ht="23.5" thickBot="1" x14ac:dyDescent="0.35">
      <c r="A146" s="42" t="s">
        <v>13</v>
      </c>
      <c r="B146" s="21" t="s">
        <v>161</v>
      </c>
      <c r="C146" s="19"/>
      <c r="D146" s="24">
        <v>6</v>
      </c>
      <c r="E146" s="35"/>
    </row>
    <row r="147" spans="1:5" ht="21.5" thickBot="1" x14ac:dyDescent="0.55000000000000004">
      <c r="A147" s="44" t="s">
        <v>32</v>
      </c>
      <c r="B147" s="28"/>
      <c r="C147" s="45"/>
      <c r="D147" s="51">
        <f>D13+D31+D50+D70+D88+D104+D123+D140</f>
        <v>0</v>
      </c>
      <c r="E147" s="31"/>
    </row>
    <row r="176" spans="2:2" x14ac:dyDescent="0.3">
      <c r="B176" s="1" t="s">
        <v>33</v>
      </c>
    </row>
    <row r="177" spans="2:2" x14ac:dyDescent="0.3">
      <c r="B177" s="1" t="s">
        <v>34</v>
      </c>
    </row>
    <row r="178" spans="2:2" x14ac:dyDescent="0.3">
      <c r="B178" s="1" t="s">
        <v>50</v>
      </c>
    </row>
    <row r="179" spans="2:2" x14ac:dyDescent="0.3">
      <c r="B179" s="1" t="s">
        <v>51</v>
      </c>
    </row>
  </sheetData>
  <mergeCells count="16">
    <mergeCell ref="B3:C3"/>
    <mergeCell ref="B38:C38"/>
    <mergeCell ref="A58:B58"/>
    <mergeCell ref="A4:B4"/>
    <mergeCell ref="A21:B21"/>
    <mergeCell ref="A39:B39"/>
    <mergeCell ref="B20:C20"/>
    <mergeCell ref="B57:C57"/>
    <mergeCell ref="B130:C130"/>
    <mergeCell ref="A131:B131"/>
    <mergeCell ref="B111:C111"/>
    <mergeCell ref="A112:B112"/>
    <mergeCell ref="B77:C77"/>
    <mergeCell ref="A78:B78"/>
    <mergeCell ref="B95:C95"/>
    <mergeCell ref="A96:B96"/>
  </mergeCells>
  <phoneticPr fontId="2" type="noConversion"/>
  <conditionalFormatting sqref="B2">
    <cfRule type="containsBlanks" dxfId="11" priority="28">
      <formula>LEN(TRIM(B2))=0</formula>
    </cfRule>
    <cfRule type="colorScale" priority="29">
      <colorScale>
        <cfvo type="min"/>
        <cfvo type="max"/>
        <color rgb="FFFF7128"/>
        <color rgb="FFFFEF9C"/>
      </colorScale>
    </cfRule>
    <cfRule type="containsText" dxfId="10" priority="30" operator="containsText" text=" ">
      <formula>NOT(ISERROR(SEARCH(" ",B2)))</formula>
    </cfRule>
  </conditionalFormatting>
  <conditionalFormatting sqref="D13">
    <cfRule type="containsBlanks" dxfId="9" priority="24">
      <formula>LEN(TRIM(D13))=0</formula>
    </cfRule>
  </conditionalFormatting>
  <conditionalFormatting sqref="D31">
    <cfRule type="containsBlanks" dxfId="8" priority="13">
      <formula>LEN(TRIM(D31))=0</formula>
    </cfRule>
  </conditionalFormatting>
  <conditionalFormatting sqref="D50">
    <cfRule type="containsBlanks" dxfId="7" priority="12">
      <formula>LEN(TRIM(D50))=0</formula>
    </cfRule>
  </conditionalFormatting>
  <conditionalFormatting sqref="D70">
    <cfRule type="containsBlanks" dxfId="6" priority="11">
      <formula>LEN(TRIM(D70))=0</formula>
    </cfRule>
  </conditionalFormatting>
  <conditionalFormatting sqref="D88">
    <cfRule type="containsBlanks" dxfId="5" priority="10">
      <formula>LEN(TRIM(D88))=0</formula>
    </cfRule>
  </conditionalFormatting>
  <conditionalFormatting sqref="D104">
    <cfRule type="containsBlanks" dxfId="4" priority="8">
      <formula>LEN(TRIM(D104))=0</formula>
    </cfRule>
  </conditionalFormatting>
  <conditionalFormatting sqref="D123">
    <cfRule type="containsBlanks" dxfId="3" priority="7">
      <formula>LEN(TRIM(D123))=0</formula>
    </cfRule>
  </conditionalFormatting>
  <conditionalFormatting sqref="D140">
    <cfRule type="containsBlanks" dxfId="2" priority="1">
      <formula>LEN(TRIM(D140))=0</formula>
    </cfRule>
  </conditionalFormatting>
  <conditionalFormatting sqref="E2">
    <cfRule type="containsBlanks" dxfId="1" priority="25">
      <formula>LEN(TRIM(E2))=0</formula>
    </cfRule>
    <cfRule type="colorScale" priority="26">
      <colorScale>
        <cfvo type="min"/>
        <cfvo type="max"/>
        <color rgb="FFFF7128"/>
        <color rgb="FFFFEF9C"/>
      </colorScale>
    </cfRule>
    <cfRule type="containsText" dxfId="0" priority="27" operator="containsText" text=" ">
      <formula>NOT(ISERROR(SEARCH(" ",E2)))</formula>
    </cfRule>
  </conditionalFormatting>
  <dataValidations count="3">
    <dataValidation type="list" allowBlank="1" showInputMessage="1" showErrorMessage="1" sqref="C147 C31:C32 C50:C51 C88:C89 C104:C105 C123:C124 C13:C14 C59 C70:C71 C140:C141" xr:uid="{1ACA816D-05F9-48BF-896E-E7166310B7FC}">
      <formula1>"Partiel,Oui,Non"</formula1>
    </dataValidation>
    <dataValidation type="list" allowBlank="1" showInputMessage="1" showErrorMessage="1" sqref="D13 D31 D50 D70 D88 D104 D123 D140" xr:uid="{434D3987-A888-4815-9D82-B779946F774B}">
      <formula1>D14:D19</formula1>
    </dataValidation>
    <dataValidation type="list" allowBlank="1" showInputMessage="1" showErrorMessage="1" sqref="D6:D12 D133:D139 D59:D69 D41:D49 D114:D122 D97:D103 D23:D30 D80:D87" xr:uid="{4AAE552F-BD8F-49C0-9848-8700E17797B7}">
      <formula1>$B$176:$B$179</formula1>
    </dataValidation>
  </dataValidations>
  <pageMargins left="0.25" right="0.25" top="0.75" bottom="0.75" header="0.3" footer="0.3"/>
  <pageSetup scale="53"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20129-23E0-4206-AA73-A524AE7E75A7}">
  <dimension ref="B1:K2"/>
  <sheetViews>
    <sheetView workbookViewId="0">
      <selection activeCell="H18" sqref="H18"/>
    </sheetView>
  </sheetViews>
  <sheetFormatPr baseColWidth="10" defaultColWidth="8.54296875" defaultRowHeight="14.5" x14ac:dyDescent="0.35"/>
  <sheetData>
    <row r="1" spans="2:11" x14ac:dyDescent="0.35">
      <c r="B1" s="50">
        <v>1</v>
      </c>
      <c r="C1" s="50">
        <v>2</v>
      </c>
      <c r="D1" s="50">
        <v>3</v>
      </c>
      <c r="E1" s="50">
        <v>4</v>
      </c>
      <c r="F1" s="50">
        <v>5</v>
      </c>
      <c r="G1" s="50">
        <v>6</v>
      </c>
      <c r="H1" s="50">
        <v>7</v>
      </c>
      <c r="I1" s="50">
        <v>8</v>
      </c>
      <c r="K1" t="s">
        <v>164</v>
      </c>
    </row>
    <row r="2" spans="2:11" ht="15.5" x14ac:dyDescent="0.35">
      <c r="B2">
        <f>'Grille de compétence'!D13</f>
        <v>0</v>
      </c>
      <c r="C2">
        <f>'Grille de compétence'!D31</f>
        <v>0</v>
      </c>
      <c r="D2">
        <f>'Grille de compétence'!D50</f>
        <v>0</v>
      </c>
      <c r="E2">
        <f>'Grille de compétence'!D70</f>
        <v>0</v>
      </c>
      <c r="F2">
        <f>'Grille de compétence'!D88</f>
        <v>0</v>
      </c>
      <c r="G2">
        <f>'Grille de compétence'!D104</f>
        <v>0</v>
      </c>
      <c r="H2">
        <f>'Grille de compétence'!D123</f>
        <v>0</v>
      </c>
      <c r="I2">
        <f>+'Grille de compétence'!D140</f>
        <v>0</v>
      </c>
      <c r="K2" s="67">
        <f>SUM(B2:I2)</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Grille de compétence</vt:lpstr>
      <vt:lpstr>Compilation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Overbeek</dc:creator>
  <cp:keywords/>
  <dc:description/>
  <cp:lastModifiedBy>Louise Overbeek</cp:lastModifiedBy>
  <cp:revision/>
  <cp:lastPrinted>2022-02-21T20:58:38Z</cp:lastPrinted>
  <dcterms:created xsi:type="dcterms:W3CDTF">2020-12-17T03:26:27Z</dcterms:created>
  <dcterms:modified xsi:type="dcterms:W3CDTF">2023-04-12T18:22:54Z</dcterms:modified>
  <cp:category/>
  <cp:contentStatus/>
</cp:coreProperties>
</file>