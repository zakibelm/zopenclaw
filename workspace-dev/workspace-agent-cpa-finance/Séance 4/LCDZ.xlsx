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S\Information financiere intégrité et confirmité\Séance 4\"/>
    </mc:Choice>
  </mc:AlternateContent>
  <xr:revisionPtr revIDLastSave="0" documentId="8_{745150B6-0A9F-45C4-9385-48C6F604F6EF}" xr6:coauthVersionLast="47" xr6:coauthVersionMax="47" xr10:uidLastSave="{00000000-0000-0000-0000-000000000000}"/>
  <bookViews>
    <workbookView xWindow="-108" yWindow="-108" windowWidth="23256" windowHeight="13896" xr2:uid="{9D2090BB-9796-404F-A873-297F770A09D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B35" i="1"/>
  <c r="B32" i="1"/>
  <c r="B31" i="1"/>
  <c r="B27" i="1"/>
  <c r="B26" i="1"/>
  <c r="G19" i="1"/>
  <c r="C25" i="1"/>
  <c r="B24" i="1"/>
  <c r="C21" i="1"/>
  <c r="B20" i="1"/>
  <c r="B19" i="1"/>
  <c r="B18" i="1"/>
  <c r="B11" i="1"/>
  <c r="C12" i="1" s="1"/>
  <c r="F14" i="1" s="1"/>
  <c r="D6" i="1"/>
  <c r="D4" i="1"/>
  <c r="D3" i="1"/>
  <c r="D2" i="1"/>
</calcChain>
</file>

<file path=xl/sharedStrings.xml><?xml version="1.0" encoding="utf-8"?>
<sst xmlns="http://schemas.openxmlformats.org/spreadsheetml/2006/main" count="35" uniqueCount="34">
  <si>
    <t>litres</t>
  </si>
  <si>
    <t>pour un litre</t>
  </si>
  <si>
    <t>location de table  pour un jour</t>
  </si>
  <si>
    <t>Cout panier</t>
  </si>
  <si>
    <t>Prix de vente</t>
  </si>
  <si>
    <t>VNR</t>
  </si>
  <si>
    <t xml:space="preserve">Capitalisation des Cerisiers </t>
  </si>
  <si>
    <t xml:space="preserve">Actif biologique producteur </t>
  </si>
  <si>
    <t>RND</t>
  </si>
  <si>
    <t>Les cerisiers abattus </t>
  </si>
  <si>
    <t xml:space="preserve">Valeur comptable unitaire </t>
  </si>
  <si>
    <t>Arret de capitalisation au mars 2023</t>
  </si>
  <si>
    <t>En Avril 2024</t>
  </si>
  <si>
    <t>cerisiers</t>
  </si>
  <si>
    <t>soit 13 mois</t>
  </si>
  <si>
    <t>RND (Amortissement ex 2023  soit 6 mois)</t>
  </si>
  <si>
    <t>Amotissment 2024 1900 cerisier</t>
  </si>
  <si>
    <t>Amotissment 2024 100 cerisier</t>
  </si>
  <si>
    <t>Amortissment cummulé ceresirs</t>
  </si>
  <si>
    <t>Sortie des 100 cerisiers</t>
  </si>
  <si>
    <t>Actif biologique producteur cerisier</t>
  </si>
  <si>
    <t>Encaisse</t>
  </si>
  <si>
    <t xml:space="preserve">Amortissment cummulé </t>
  </si>
  <si>
    <t>Durée d'amortissment des cerises abattu</t>
  </si>
  <si>
    <t>mois</t>
  </si>
  <si>
    <t>soit</t>
  </si>
  <si>
    <t>année</t>
  </si>
  <si>
    <t>Perte de valeur</t>
  </si>
  <si>
    <t>Comptabilisation de Éolienne</t>
  </si>
  <si>
    <t xml:space="preserve">ce que est fait </t>
  </si>
  <si>
    <t>Éolienne</t>
  </si>
  <si>
    <t xml:space="preserve">La valeur de Élionne avec le taux de juin </t>
  </si>
  <si>
    <t>Écriture de régularisation</t>
  </si>
  <si>
    <t>Perte de change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</si>
</sst>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67" formatCode="_ * #,##0.00_)\ _$_ ;_ * \(#,##0.00\)\ _$_ ;_ * &quot;-&quot;??_)\ _$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2" applyFont="1"/>
    <xf numFmtId="0" fontId="0" fillId="2" borderId="0" xfId="0" applyFill="1"/>
    <xf numFmtId="44" fontId="0" fillId="2" borderId="0" xfId="2" applyFont="1" applyFill="1"/>
    <xf numFmtId="9" fontId="0" fillId="0" borderId="0" xfId="2" applyNumberFormat="1" applyFont="1"/>
    <xf numFmtId="44" fontId="0" fillId="0" borderId="0" xfId="0" applyNumberFormat="1"/>
    <xf numFmtId="43" fontId="0" fillId="0" borderId="0" xfId="1" applyFont="1"/>
    <xf numFmtId="167" fontId="0" fillId="0" borderId="0" xfId="2" applyNumberFormat="1" applyFont="1"/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49D4-1047-4FF2-B5B3-8298B4438B1C}">
  <dimension ref="A1:H36"/>
  <sheetViews>
    <sheetView tabSelected="1" workbookViewId="0">
      <selection activeCell="K23" sqref="K23"/>
    </sheetView>
  </sheetViews>
  <sheetFormatPr baseColWidth="10" defaultRowHeight="14.4" x14ac:dyDescent="0.3"/>
  <cols>
    <col min="1" max="1" width="34.33203125" bestFit="1" customWidth="1"/>
    <col min="2" max="2" width="11.5546875" style="1"/>
    <col min="4" max="4" width="11.5546875" style="1"/>
    <col min="7" max="7" width="11.5546875" style="1"/>
  </cols>
  <sheetData>
    <row r="1" spans="1:7" x14ac:dyDescent="0.3">
      <c r="C1" t="s">
        <v>0</v>
      </c>
      <c r="D1" s="1" t="s">
        <v>1</v>
      </c>
    </row>
    <row r="2" spans="1:7" x14ac:dyDescent="0.3">
      <c r="A2" t="s">
        <v>2</v>
      </c>
      <c r="B2" s="1">
        <v>50</v>
      </c>
      <c r="C2">
        <v>250</v>
      </c>
      <c r="D2" s="1">
        <f>+B2/C2</f>
        <v>0.2</v>
      </c>
    </row>
    <row r="3" spans="1:7" x14ac:dyDescent="0.3">
      <c r="A3" t="s">
        <v>3</v>
      </c>
      <c r="B3" s="1">
        <v>0.5</v>
      </c>
      <c r="C3">
        <v>1.5</v>
      </c>
      <c r="D3" s="1">
        <f>+B3/C3</f>
        <v>0.33333333333333331</v>
      </c>
    </row>
    <row r="4" spans="1:7" x14ac:dyDescent="0.3">
      <c r="A4" t="s">
        <v>4</v>
      </c>
      <c r="B4" s="1">
        <v>13</v>
      </c>
      <c r="C4">
        <v>3</v>
      </c>
      <c r="D4" s="1">
        <f>+B4/C4</f>
        <v>4.333333333333333</v>
      </c>
    </row>
    <row r="6" spans="1:7" x14ac:dyDescent="0.3">
      <c r="A6" s="2" t="s">
        <v>5</v>
      </c>
      <c r="B6" s="3"/>
      <c r="C6" s="2"/>
      <c r="D6" s="3">
        <f>+D4-D3-D2</f>
        <v>3.7999999999999994</v>
      </c>
    </row>
    <row r="9" spans="1:7" x14ac:dyDescent="0.3">
      <c r="A9" t="s">
        <v>6</v>
      </c>
    </row>
    <row r="10" spans="1:7" x14ac:dyDescent="0.3">
      <c r="G10" s="4"/>
    </row>
    <row r="11" spans="1:7" x14ac:dyDescent="0.3">
      <c r="A11" t="s">
        <v>7</v>
      </c>
      <c r="B11" s="1">
        <f>(2000*7.98)+454+424+9540+3200+800</f>
        <v>30378</v>
      </c>
    </row>
    <row r="12" spans="1:7" x14ac:dyDescent="0.3">
      <c r="A12" t="s">
        <v>8</v>
      </c>
      <c r="C12" s="5">
        <f>+B11</f>
        <v>30378</v>
      </c>
      <c r="D12" s="1" t="s">
        <v>11</v>
      </c>
    </row>
    <row r="14" spans="1:7" x14ac:dyDescent="0.3">
      <c r="D14" s="1" t="s">
        <v>10</v>
      </c>
      <c r="F14">
        <f>+C12/2000</f>
        <v>15.189</v>
      </c>
    </row>
    <row r="16" spans="1:7" x14ac:dyDescent="0.3">
      <c r="A16" t="s">
        <v>9</v>
      </c>
      <c r="B16" s="1">
        <v>100</v>
      </c>
      <c r="C16" t="s">
        <v>13</v>
      </c>
      <c r="D16" s="1" t="s">
        <v>12</v>
      </c>
      <c r="F16" s="1" t="s">
        <v>14</v>
      </c>
    </row>
    <row r="18" spans="1:8" x14ac:dyDescent="0.3">
      <c r="A18" t="s">
        <v>15</v>
      </c>
      <c r="B18" s="1">
        <f>+((B11/20)/12)*6</f>
        <v>759.45</v>
      </c>
      <c r="D18" s="1" t="s">
        <v>23</v>
      </c>
      <c r="G18" s="7">
        <v>13</v>
      </c>
      <c r="H18" t="s">
        <v>24</v>
      </c>
    </row>
    <row r="19" spans="1:8" x14ac:dyDescent="0.3">
      <c r="A19" t="s">
        <v>16</v>
      </c>
      <c r="B19" s="1">
        <f>+((B11/20)/2000)*1900</f>
        <v>1442.9550000000002</v>
      </c>
      <c r="D19" s="1" t="s">
        <v>25</v>
      </c>
      <c r="G19" s="1">
        <f>+G18/12</f>
        <v>1.0833333333333333</v>
      </c>
      <c r="H19" t="s">
        <v>26</v>
      </c>
    </row>
    <row r="20" spans="1:8" x14ac:dyDescent="0.3">
      <c r="A20" t="s">
        <v>17</v>
      </c>
      <c r="B20" s="1">
        <f>+(((B11/20)/2000)*100/12)*8</f>
        <v>50.63</v>
      </c>
    </row>
    <row r="21" spans="1:8" x14ac:dyDescent="0.3">
      <c r="A21" t="s">
        <v>18</v>
      </c>
      <c r="C21" s="5">
        <f>+B18+B19+B20</f>
        <v>2253.0350000000003</v>
      </c>
    </row>
    <row r="23" spans="1:8" x14ac:dyDescent="0.3">
      <c r="A23" t="s">
        <v>19</v>
      </c>
    </row>
    <row r="24" spans="1:8" x14ac:dyDescent="0.3">
      <c r="A24" t="s">
        <v>21</v>
      </c>
      <c r="B24" s="1">
        <f>200*1</f>
        <v>200</v>
      </c>
    </row>
    <row r="25" spans="1:8" x14ac:dyDescent="0.3">
      <c r="A25" t="s">
        <v>20</v>
      </c>
      <c r="C25" s="6">
        <f>+(B11/2000)*100</f>
        <v>1518.9</v>
      </c>
    </row>
    <row r="26" spans="1:8" x14ac:dyDescent="0.3">
      <c r="A26" t="s">
        <v>22</v>
      </c>
      <c r="B26" s="1">
        <f>+((B11/20)/2000)*100*G19</f>
        <v>82.273750000000007</v>
      </c>
    </row>
    <row r="27" spans="1:8" x14ac:dyDescent="0.3">
      <c r="A27" t="s">
        <v>27</v>
      </c>
      <c r="B27" s="1">
        <f>+C25-B24-B26</f>
        <v>1236.62625</v>
      </c>
    </row>
    <row r="29" spans="1:8" x14ac:dyDescent="0.3">
      <c r="A29" t="s">
        <v>28</v>
      </c>
    </row>
    <row r="30" spans="1:8" x14ac:dyDescent="0.3">
      <c r="A30" t="s">
        <v>29</v>
      </c>
    </row>
    <row r="31" spans="1:8" x14ac:dyDescent="0.3">
      <c r="A31" t="s">
        <v>30</v>
      </c>
      <c r="B31" s="1">
        <f>(10000*1.32)+(15000*1.27)</f>
        <v>32250</v>
      </c>
    </row>
    <row r="32" spans="1:8" x14ac:dyDescent="0.3">
      <c r="A32" t="s">
        <v>31</v>
      </c>
      <c r="B32" s="1">
        <f>25000*1.27</f>
        <v>31750</v>
      </c>
    </row>
    <row r="34" spans="1:3" x14ac:dyDescent="0.3">
      <c r="A34" t="s">
        <v>32</v>
      </c>
    </row>
    <row r="35" spans="1:3" x14ac:dyDescent="0.3">
      <c r="A35" t="s">
        <v>33</v>
      </c>
      <c r="B35" s="1">
        <f>+B31-B32</f>
        <v>500</v>
      </c>
    </row>
    <row r="36" spans="1:3" x14ac:dyDescent="0.3">
      <c r="A36" t="s">
        <v>30</v>
      </c>
      <c r="C36" s="5">
        <f>+B35</f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584D-F838-44D4-9013-540FE274174B}">
  <dimension ref="A1"/>
  <sheetViews>
    <sheetView workbookViewId="0">
      <selection activeCell="I20" sqref="I20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2025-01-31T15:18:30Z</dcterms:created>
  <dcterms:modified xsi:type="dcterms:W3CDTF">2025-01-31T21:34:58Z</dcterms:modified>
</cp:coreProperties>
</file>