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d:\85310481\Documents\cours HEC\4-938-16 info fin intégrité et conformité\Hiver 2019\Séance 3\"/>
    </mc:Choice>
  </mc:AlternateContent>
  <bookViews>
    <workbookView xWindow="0" yWindow="0" windowWidth="24000" windowHeight="9135"/>
  </bookViews>
  <sheets>
    <sheet name="énoncé" sheetId="1" r:id="rId1"/>
    <sheet name="solution" sheetId="2" r:id="rId2"/>
    <sheet name="Sheet3" sheetId="3" r:id="rId3"/>
  </sheet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4" i="2" l="1"/>
  <c r="D29" i="2" s="1"/>
  <c r="D30" i="2"/>
  <c r="A15" i="2"/>
  <c r="B15" i="2"/>
  <c r="C15" i="2"/>
  <c r="D15" i="2"/>
  <c r="E15" i="2"/>
  <c r="D32" i="2" s="1"/>
  <c r="A11" i="2"/>
  <c r="E11" i="2" s="1"/>
  <c r="B11" i="2"/>
  <c r="C11" i="2"/>
  <c r="C5" i="2"/>
  <c r="F29" i="2" s="1"/>
  <c r="A23" i="2"/>
  <c r="C23" i="2" s="1"/>
  <c r="A24" i="2" s="1"/>
  <c r="C24" i="2" s="1"/>
  <c r="B25" i="2" s="1"/>
  <c r="A25" i="2"/>
  <c r="B23" i="2"/>
  <c r="B24" i="2"/>
  <c r="A16" i="2"/>
  <c r="B16" i="2"/>
  <c r="D16" i="2"/>
  <c r="E16" i="2" s="1"/>
  <c r="A12" i="2"/>
  <c r="E12" i="2" s="1"/>
  <c r="F34" i="2" s="1"/>
  <c r="B12" i="2"/>
  <c r="A34" i="2"/>
  <c r="A32" i="2"/>
  <c r="A20" i="2"/>
  <c r="E20" i="2"/>
  <c r="B19" i="2"/>
  <c r="E19" i="2" s="1"/>
  <c r="F19" i="2" s="1"/>
  <c r="A19" i="2"/>
  <c r="F11" i="2" l="1"/>
  <c r="D34" i="2"/>
  <c r="F32" i="2"/>
  <c r="F15" i="2"/>
  <c r="E25" i="2"/>
  <c r="H29" i="2"/>
  <c r="D31" i="2"/>
  <c r="D4" i="2"/>
  <c r="D33" i="2" l="1"/>
  <c r="F24" i="2"/>
  <c r="F30" i="2"/>
  <c r="F31" i="2" s="1"/>
  <c r="F33" i="2" s="1"/>
  <c r="F35" i="2" s="1"/>
  <c r="H33" i="2" l="1"/>
  <c r="D35" i="2"/>
  <c r="H35" i="2" s="1"/>
  <c r="H31" i="2"/>
</calcChain>
</file>

<file path=xl/sharedStrings.xml><?xml version="1.0" encoding="utf-8"?>
<sst xmlns="http://schemas.openxmlformats.org/spreadsheetml/2006/main" count="49" uniqueCount="41">
  <si>
    <t>Résultat par action</t>
  </si>
  <si>
    <t>Bénéfice avant impôts</t>
  </si>
  <si>
    <t>Bénéfice net</t>
  </si>
  <si>
    <t>Actions en circulation</t>
  </si>
  <si>
    <t>Débenture A</t>
  </si>
  <si>
    <t>intérêts payable annuellement le 31 mars</t>
  </si>
  <si>
    <t xml:space="preserve">convertible par tranche de </t>
  </si>
  <si>
    <t>en actions ordinaires</t>
  </si>
  <si>
    <t>Débenture B</t>
  </si>
  <si>
    <t xml:space="preserve">émise le </t>
  </si>
  <si>
    <t>Actions préférentielles</t>
  </si>
  <si>
    <t xml:space="preserve">pour une valeur de </t>
  </si>
  <si>
    <t>rachetables au gré du détenteur</t>
  </si>
  <si>
    <t>dividende cumulatif</t>
  </si>
  <si>
    <t>1:1</t>
  </si>
  <si>
    <t>convertibles en actions ordinaires</t>
  </si>
  <si>
    <t>Options</t>
  </si>
  <si>
    <t>prix d'exercice</t>
  </si>
  <si>
    <t>Cous de l'action de la société</t>
  </si>
  <si>
    <t>moyen</t>
  </si>
  <si>
    <t>au 31 décembre</t>
  </si>
  <si>
    <t>Taux d'impôt</t>
  </si>
  <si>
    <t>Travail à faire :</t>
  </si>
  <si>
    <t>Résultat de base</t>
  </si>
  <si>
    <t># actions ord</t>
  </si>
  <si>
    <t>et non BAI</t>
  </si>
  <si>
    <t>Aucun ajust pour act préf car "dette" et donc coût déjà inclus dans résultat net</t>
  </si>
  <si>
    <t>uniquement act ord (et non act préf)</t>
  </si>
  <si>
    <t>Résultat dilué</t>
  </si>
  <si>
    <t>date de paiement d'intérêts n'a pas d'impact sur charge de la période</t>
  </si>
  <si>
    <t>émises le 30 sept de l'exercice en cours, donc 3 mois sur 12</t>
  </si>
  <si>
    <t>uniquement coût de l'exercice (et non l'arrérage)</t>
  </si>
  <si>
    <t>prendre le prix d'exercice le plus dilutif</t>
  </si>
  <si>
    <t>émission moins rachat</t>
  </si>
  <si>
    <t>Bénéfice</t>
  </si>
  <si>
    <t># actions</t>
  </si>
  <si>
    <t>options</t>
  </si>
  <si>
    <t>commencer avec le plus dilutif</t>
  </si>
  <si>
    <t>Actions préférentielles non considérées car anti-dilutives</t>
  </si>
  <si>
    <t>Calculez les résultats par action requis selon IAS 33 (IFRS)</t>
  </si>
  <si>
    <t>non déclaré 2017 + 2018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</si>
</sst>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_(* #,##0_);_(* \(#,##0\);_(* &quot;-&quot;??_);_(@_)"/>
    <numFmt numFmtId="167" formatCode="[$-C0C]d\ mmm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2" fillId="0" borderId="1" xfId="3"/>
    <xf numFmtId="164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9" fontId="0" fillId="0" borderId="0" xfId="2" applyFont="1"/>
    <xf numFmtId="167" fontId="0" fillId="0" borderId="0" xfId="2" applyNumberFormat="1" applyFont="1"/>
    <xf numFmtId="166" fontId="0" fillId="0" borderId="0" xfId="1" quotePrefix="1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9" fontId="0" fillId="0" borderId="0" xfId="0" applyNumberFormat="1"/>
    <xf numFmtId="165" fontId="0" fillId="0" borderId="0" xfId="0" applyNumberFormat="1"/>
    <xf numFmtId="165" fontId="5" fillId="0" borderId="0" xfId="1" applyNumberFormat="1" applyFont="1"/>
    <xf numFmtId="165" fontId="5" fillId="0" borderId="0" xfId="1" applyNumberFormat="1" applyFont="1" applyAlignment="1">
      <alignment horizontal="right"/>
    </xf>
    <xf numFmtId="164" fontId="3" fillId="0" borderId="0" xfId="1" applyFont="1"/>
    <xf numFmtId="0" fontId="0" fillId="2" borderId="0" xfId="0" applyFill="1"/>
    <xf numFmtId="0" fontId="4" fillId="2" borderId="0" xfId="0" applyFont="1" applyFill="1"/>
  </cellXfs>
  <cellStyles count="6">
    <cellStyle name="Lien hypertexte" xfId="4" builtinId="8" hidden="1"/>
    <cellStyle name="Lien hypertexte visité" xfId="5" builtinId="9" hidden="1"/>
    <cellStyle name="Monétaire" xfId="1" builtinId="4"/>
    <cellStyle name="Normal" xfId="0" builtinId="0"/>
    <cellStyle name="Pourcentage" xfId="2" builtinId="5"/>
    <cellStyle name="Titre 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C30" sqref="C30"/>
    </sheetView>
  </sheetViews>
  <sheetFormatPr baseColWidth="10" defaultColWidth="8.85546875" defaultRowHeight="15" x14ac:dyDescent="0.25"/>
  <cols>
    <col min="3" max="3" width="21.7109375" customWidth="1"/>
    <col min="4" max="4" width="13.7109375" bestFit="1" customWidth="1"/>
  </cols>
  <sheetData>
    <row r="1" spans="1:4" ht="20.25" thickBot="1" x14ac:dyDescent="0.35">
      <c r="A1" s="2" t="s">
        <v>0</v>
      </c>
    </row>
    <row r="2" spans="1:4" ht="15.75" thickTop="1" x14ac:dyDescent="0.25"/>
    <row r="4" spans="1:4" x14ac:dyDescent="0.25">
      <c r="A4" t="s">
        <v>1</v>
      </c>
      <c r="D4" s="4">
        <v>130000</v>
      </c>
    </row>
    <row r="5" spans="1:4" x14ac:dyDescent="0.25">
      <c r="A5" t="s">
        <v>2</v>
      </c>
      <c r="D5" s="4">
        <v>100000</v>
      </c>
    </row>
    <row r="6" spans="1:4" x14ac:dyDescent="0.25">
      <c r="D6" s="4"/>
    </row>
    <row r="7" spans="1:4" x14ac:dyDescent="0.25">
      <c r="A7" t="s">
        <v>3</v>
      </c>
      <c r="D7" s="5">
        <v>10000</v>
      </c>
    </row>
    <row r="8" spans="1:4" x14ac:dyDescent="0.25">
      <c r="D8" s="4"/>
    </row>
    <row r="9" spans="1:4" x14ac:dyDescent="0.25">
      <c r="A9" t="s">
        <v>4</v>
      </c>
      <c r="D9" s="4">
        <v>500000</v>
      </c>
    </row>
    <row r="10" spans="1:4" x14ac:dyDescent="0.25">
      <c r="A10" t="s">
        <v>5</v>
      </c>
      <c r="D10" s="6">
        <v>0.08</v>
      </c>
    </row>
    <row r="11" spans="1:4" x14ac:dyDescent="0.25">
      <c r="A11" t="s">
        <v>6</v>
      </c>
      <c r="D11" s="4">
        <v>1000</v>
      </c>
    </row>
    <row r="12" spans="1:4" x14ac:dyDescent="0.25">
      <c r="B12" t="s">
        <v>7</v>
      </c>
      <c r="D12" s="5">
        <v>10</v>
      </c>
    </row>
    <row r="13" spans="1:4" x14ac:dyDescent="0.25">
      <c r="D13" s="4"/>
    </row>
    <row r="14" spans="1:4" x14ac:dyDescent="0.25">
      <c r="A14" t="s">
        <v>8</v>
      </c>
      <c r="D14" s="4">
        <v>200000</v>
      </c>
    </row>
    <row r="15" spans="1:4" x14ac:dyDescent="0.25">
      <c r="D15" s="6">
        <v>0.1</v>
      </c>
    </row>
    <row r="16" spans="1:4" x14ac:dyDescent="0.25">
      <c r="A16" t="s">
        <v>9</v>
      </c>
      <c r="C16" s="7">
        <v>43373</v>
      </c>
    </row>
    <row r="17" spans="1:4" x14ac:dyDescent="0.25">
      <c r="A17" t="s">
        <v>6</v>
      </c>
      <c r="D17" s="4">
        <v>1000</v>
      </c>
    </row>
    <row r="18" spans="1:4" x14ac:dyDescent="0.25">
      <c r="B18" t="s">
        <v>7</v>
      </c>
      <c r="D18" s="5">
        <v>15</v>
      </c>
    </row>
    <row r="20" spans="1:4" x14ac:dyDescent="0.25">
      <c r="A20" t="s">
        <v>10</v>
      </c>
      <c r="D20" s="5">
        <v>3000</v>
      </c>
    </row>
    <row r="21" spans="1:4" x14ac:dyDescent="0.25">
      <c r="A21" t="s">
        <v>11</v>
      </c>
      <c r="D21" s="4">
        <v>300000</v>
      </c>
    </row>
    <row r="22" spans="1:4" x14ac:dyDescent="0.25">
      <c r="A22" t="s">
        <v>12</v>
      </c>
    </row>
    <row r="23" spans="1:4" x14ac:dyDescent="0.25">
      <c r="A23" t="s">
        <v>13</v>
      </c>
      <c r="D23" s="6">
        <v>0.1</v>
      </c>
    </row>
    <row r="24" spans="1:4" x14ac:dyDescent="0.25">
      <c r="B24" t="s">
        <v>40</v>
      </c>
    </row>
    <row r="25" spans="1:4" x14ac:dyDescent="0.25">
      <c r="A25" t="s">
        <v>15</v>
      </c>
      <c r="D25" s="8" t="s">
        <v>14</v>
      </c>
    </row>
    <row r="27" spans="1:4" x14ac:dyDescent="0.25">
      <c r="A27" t="s">
        <v>16</v>
      </c>
      <c r="D27">
        <v>250</v>
      </c>
    </row>
    <row r="28" spans="1:4" x14ac:dyDescent="0.25">
      <c r="A28" t="s">
        <v>17</v>
      </c>
      <c r="C28">
        <v>2019</v>
      </c>
      <c r="D28" s="4">
        <v>90</v>
      </c>
    </row>
    <row r="29" spans="1:4" x14ac:dyDescent="0.25">
      <c r="C29">
        <v>2020</v>
      </c>
      <c r="D29" s="4">
        <v>95</v>
      </c>
    </row>
    <row r="31" spans="1:4" x14ac:dyDescent="0.25">
      <c r="A31" t="s">
        <v>18</v>
      </c>
    </row>
    <row r="32" spans="1:4" x14ac:dyDescent="0.25">
      <c r="C32" t="s">
        <v>19</v>
      </c>
      <c r="D32" s="4">
        <v>100</v>
      </c>
    </row>
    <row r="33" spans="1:4" x14ac:dyDescent="0.25">
      <c r="C33" t="s">
        <v>20</v>
      </c>
      <c r="D33" s="4">
        <v>85</v>
      </c>
    </row>
    <row r="35" spans="1:4" x14ac:dyDescent="0.25">
      <c r="A35" t="s">
        <v>21</v>
      </c>
      <c r="D35" s="6">
        <v>0.3</v>
      </c>
    </row>
    <row r="38" spans="1:4" x14ac:dyDescent="0.25">
      <c r="A38" s="9" t="s">
        <v>22</v>
      </c>
    </row>
    <row r="39" spans="1:4" x14ac:dyDescent="0.25">
      <c r="A39" t="s">
        <v>39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topLeftCell="A22" workbookViewId="0">
      <selection activeCell="J30" sqref="J30:L30"/>
    </sheetView>
  </sheetViews>
  <sheetFormatPr baseColWidth="10" defaultColWidth="8.85546875" defaultRowHeight="15" x14ac:dyDescent="0.25"/>
  <cols>
    <col min="3" max="3" width="11.42578125" bestFit="1" customWidth="1"/>
    <col min="4" max="4" width="10" bestFit="1" customWidth="1"/>
  </cols>
  <sheetData>
    <row r="2" spans="1:12" x14ac:dyDescent="0.25">
      <c r="A2" s="1" t="s">
        <v>23</v>
      </c>
    </row>
    <row r="3" spans="1:12" x14ac:dyDescent="0.25">
      <c r="A3" s="1"/>
    </row>
    <row r="4" spans="1:12" x14ac:dyDescent="0.25">
      <c r="A4" t="s">
        <v>2</v>
      </c>
      <c r="C4" s="10">
        <f>+énoncé!D5</f>
        <v>100000</v>
      </c>
      <c r="D4" s="3">
        <f>+C4/C5</f>
        <v>10</v>
      </c>
      <c r="F4" s="9" t="s">
        <v>25</v>
      </c>
    </row>
    <row r="5" spans="1:12" x14ac:dyDescent="0.25">
      <c r="A5" t="s">
        <v>24</v>
      </c>
      <c r="C5">
        <f>+énoncé!D7</f>
        <v>10000</v>
      </c>
      <c r="F5" s="17" t="s">
        <v>26</v>
      </c>
      <c r="G5" s="16"/>
      <c r="H5" s="16"/>
      <c r="I5" s="16"/>
      <c r="J5" s="16"/>
      <c r="K5" s="16"/>
      <c r="L5" s="16"/>
    </row>
    <row r="6" spans="1:12" x14ac:dyDescent="0.25">
      <c r="F6" s="9" t="s">
        <v>27</v>
      </c>
    </row>
    <row r="8" spans="1:12" x14ac:dyDescent="0.25">
      <c r="A8" s="1" t="s">
        <v>28</v>
      </c>
    </row>
    <row r="10" spans="1:12" x14ac:dyDescent="0.25">
      <c r="A10" t="s">
        <v>4</v>
      </c>
    </row>
    <row r="11" spans="1:12" x14ac:dyDescent="0.25">
      <c r="A11">
        <f>+énoncé!D9</f>
        <v>500000</v>
      </c>
      <c r="B11" s="11">
        <f>+énoncé!D10</f>
        <v>0.08</v>
      </c>
      <c r="C11" s="11">
        <f>+(1-énoncé!D35)</f>
        <v>0.7</v>
      </c>
      <c r="E11" s="10">
        <f>+(A11*B11*C11)</f>
        <v>28000</v>
      </c>
      <c r="F11" s="3">
        <f>+E11/E12</f>
        <v>5.6</v>
      </c>
      <c r="H11" s="9" t="s">
        <v>29</v>
      </c>
    </row>
    <row r="12" spans="1:12" x14ac:dyDescent="0.25">
      <c r="A12">
        <f>+énoncé!D9/énoncé!D11</f>
        <v>500</v>
      </c>
      <c r="B12">
        <f>+énoncé!D12</f>
        <v>10</v>
      </c>
      <c r="E12">
        <f>+A12*B12</f>
        <v>5000</v>
      </c>
    </row>
    <row r="14" spans="1:12" x14ac:dyDescent="0.25">
      <c r="A14" t="s">
        <v>8</v>
      </c>
    </row>
    <row r="15" spans="1:12" x14ac:dyDescent="0.25">
      <c r="A15">
        <f>+énoncé!D14</f>
        <v>200000</v>
      </c>
      <c r="B15" s="11">
        <f>+énoncé!D15</f>
        <v>0.1</v>
      </c>
      <c r="C15" s="11">
        <f>+(1-énoncé!D35)</f>
        <v>0.7</v>
      </c>
      <c r="D15" s="16">
        <f>3/12</f>
        <v>0.25</v>
      </c>
      <c r="E15" s="10">
        <f>+(A15*B15*C15*D15)</f>
        <v>3500</v>
      </c>
      <c r="F15" s="3">
        <f>+E15/E16</f>
        <v>4.666666666666667</v>
      </c>
      <c r="H15" s="17" t="s">
        <v>30</v>
      </c>
      <c r="I15" s="16"/>
      <c r="J15" s="16"/>
      <c r="K15" s="16"/>
      <c r="L15" s="16"/>
    </row>
    <row r="16" spans="1:12" x14ac:dyDescent="0.25">
      <c r="A16">
        <f>+énoncé!D14/énoncé!D17</f>
        <v>200</v>
      </c>
      <c r="B16">
        <f>+énoncé!D18</f>
        <v>15</v>
      </c>
      <c r="D16" s="16">
        <f>3/12</f>
        <v>0.25</v>
      </c>
      <c r="E16">
        <f>+A16*B16*D16</f>
        <v>750</v>
      </c>
    </row>
    <row r="18" spans="1:12" x14ac:dyDescent="0.25">
      <c r="A18" t="s">
        <v>10</v>
      </c>
    </row>
    <row r="19" spans="1:12" x14ac:dyDescent="0.25">
      <c r="A19">
        <f>+énoncé!D21</f>
        <v>300000</v>
      </c>
      <c r="B19" s="11">
        <f>+énoncé!D23</f>
        <v>0.1</v>
      </c>
      <c r="E19" s="10">
        <f>+(A19*B19)</f>
        <v>30000</v>
      </c>
      <c r="F19" s="3">
        <f>+E19/E20</f>
        <v>10</v>
      </c>
      <c r="H19" s="9" t="s">
        <v>31</v>
      </c>
    </row>
    <row r="20" spans="1:12" x14ac:dyDescent="0.25">
      <c r="A20">
        <f>+énoncé!D20</f>
        <v>3000</v>
      </c>
      <c r="B20">
        <v>1</v>
      </c>
      <c r="E20">
        <f>+A20*B20</f>
        <v>3000</v>
      </c>
    </row>
    <row r="22" spans="1:12" x14ac:dyDescent="0.25">
      <c r="A22" t="s">
        <v>16</v>
      </c>
    </row>
    <row r="23" spans="1:12" x14ac:dyDescent="0.25">
      <c r="A23">
        <f>+énoncé!D27</f>
        <v>250</v>
      </c>
      <c r="B23">
        <f>+énoncé!D28</f>
        <v>90</v>
      </c>
      <c r="C23" s="4">
        <f>+A23*B23</f>
        <v>22500</v>
      </c>
      <c r="H23" s="17" t="s">
        <v>32</v>
      </c>
      <c r="I23" s="16"/>
      <c r="J23" s="16"/>
      <c r="K23" s="16"/>
    </row>
    <row r="24" spans="1:12" x14ac:dyDescent="0.25">
      <c r="A24" s="12">
        <f>+C23</f>
        <v>22500</v>
      </c>
      <c r="B24">
        <f>+énoncé!D32</f>
        <v>100</v>
      </c>
      <c r="C24">
        <f>+A24/B24</f>
        <v>225</v>
      </c>
      <c r="E24" s="10">
        <v>0</v>
      </c>
      <c r="F24" s="3">
        <f>+E24/E25</f>
        <v>0</v>
      </c>
    </row>
    <row r="25" spans="1:12" x14ac:dyDescent="0.25">
      <c r="A25">
        <f>+A23</f>
        <v>250</v>
      </c>
      <c r="B25">
        <f>+C24</f>
        <v>225</v>
      </c>
      <c r="E25">
        <f>+A25-B25</f>
        <v>25</v>
      </c>
      <c r="H25" s="9" t="s">
        <v>33</v>
      </c>
    </row>
    <row r="27" spans="1:12" x14ac:dyDescent="0.25">
      <c r="D27" t="s">
        <v>34</v>
      </c>
      <c r="F27" t="s">
        <v>35</v>
      </c>
    </row>
    <row r="29" spans="1:12" x14ac:dyDescent="0.25">
      <c r="A29" t="s">
        <v>23</v>
      </c>
      <c r="D29" s="4">
        <f>+C4</f>
        <v>100000</v>
      </c>
      <c r="F29">
        <f>+C5</f>
        <v>10000</v>
      </c>
      <c r="H29" s="3">
        <f>+D29/F29</f>
        <v>10</v>
      </c>
    </row>
    <row r="30" spans="1:12" x14ac:dyDescent="0.25">
      <c r="A30" t="s">
        <v>36</v>
      </c>
      <c r="D30" s="14">
        <f>+E24</f>
        <v>0</v>
      </c>
      <c r="F30" s="10">
        <f>+E25</f>
        <v>25</v>
      </c>
      <c r="J30" s="17" t="s">
        <v>37</v>
      </c>
      <c r="K30" s="16"/>
      <c r="L30" s="16"/>
    </row>
    <row r="31" spans="1:12" x14ac:dyDescent="0.25">
      <c r="D31" s="4">
        <f>SUM(D29:D30)</f>
        <v>100000</v>
      </c>
      <c r="F31">
        <f>SUM(F29:F30)</f>
        <v>10025</v>
      </c>
      <c r="H31" s="3">
        <f>+D31/F31</f>
        <v>9.9750623441396513</v>
      </c>
    </row>
    <row r="32" spans="1:12" x14ac:dyDescent="0.25">
      <c r="A32" t="str">
        <f>+A14</f>
        <v>Débenture B</v>
      </c>
      <c r="D32" s="13">
        <f>+E15</f>
        <v>3500</v>
      </c>
      <c r="F32" s="10">
        <f>+E16</f>
        <v>750</v>
      </c>
    </row>
    <row r="33" spans="1:8" x14ac:dyDescent="0.25">
      <c r="D33" s="4">
        <f>SUM(D31:D32)</f>
        <v>103500</v>
      </c>
      <c r="F33">
        <f>SUM(F31:F32)</f>
        <v>10775</v>
      </c>
      <c r="H33" s="3">
        <f>+D33/F33</f>
        <v>9.6055684454756385</v>
      </c>
    </row>
    <row r="34" spans="1:8" x14ac:dyDescent="0.25">
      <c r="A34" t="str">
        <f>+A10</f>
        <v>Débenture A</v>
      </c>
      <c r="D34" s="13">
        <f>+E11</f>
        <v>28000</v>
      </c>
      <c r="F34" s="10">
        <f>+E12</f>
        <v>5000</v>
      </c>
    </row>
    <row r="35" spans="1:8" x14ac:dyDescent="0.25">
      <c r="D35" s="4">
        <f>SUM(D33:D34)</f>
        <v>131500</v>
      </c>
      <c r="F35">
        <f>SUM(F33:F34)</f>
        <v>15775</v>
      </c>
      <c r="H35" s="15">
        <f>+D35/F35</f>
        <v>8.3359746434231372</v>
      </c>
    </row>
    <row r="36" spans="1:8" x14ac:dyDescent="0.25">
      <c r="D36" s="4"/>
    </row>
    <row r="37" spans="1:8" x14ac:dyDescent="0.25">
      <c r="A37" s="9" t="s">
        <v>38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énoncé</vt:lpstr>
      <vt:lpstr>solution</vt:lpstr>
      <vt:lpstr>Sheet3</vt:lpstr>
    </vt:vector>
  </TitlesOfParts>
  <Company>Hudson Advisors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Overbeek, Louise</dc:creator>
  <cp:lastModifiedBy>louise overbeek</cp:lastModifiedBy>
  <dcterms:created xsi:type="dcterms:W3CDTF">2014-11-17T21:27:23Z</dcterms:created>
  <dcterms:modified xsi:type="dcterms:W3CDTF">2019-01-17T19:42:20Z</dcterms:modified>
</cp:coreProperties>
</file>