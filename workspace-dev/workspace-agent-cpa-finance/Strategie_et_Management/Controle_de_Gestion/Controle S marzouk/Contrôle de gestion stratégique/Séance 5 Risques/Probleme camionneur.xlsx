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Controle S marzouk\Contrôle de gestion stratégique\Séance 5 Risques\"/>
    </mc:Choice>
  </mc:AlternateContent>
  <xr:revisionPtr revIDLastSave="0" documentId="13_ncr:1_{067BBA33-8B29-4FF2-A652-E7257CA53A89}" xr6:coauthVersionLast="47" xr6:coauthVersionMax="47" xr10:uidLastSave="{00000000-0000-0000-0000-000000000000}"/>
  <bookViews>
    <workbookView xWindow="-108" yWindow="-108" windowWidth="23256" windowHeight="12456" xr2:uid="{219D9511-ED5C-4E25-BA2A-1029DA857AC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11" i="1"/>
  <c r="C21" i="1"/>
  <c r="C15" i="1"/>
  <c r="B17" i="1" l="1"/>
  <c r="C20" i="1"/>
  <c r="C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tc={1FDC7CD1-4898-4083-B306-01C51B4F3DE2}</author>
  </authors>
  <commentList>
    <comment ref="C15" authorId="0" shapeId="0" xr:uid="{1FDC7CD1-4898-4083-B306-01C51B4F3DE2}">
      <text>
        <r>
          <rPr>
            <sz val="11"/>
            <color theme="1"/>
            <rFont val="Aptos Narrow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 été mon erreur de ne pas bien calculer le montant de diesel par KM </t>
        </r>
      </text>
    </comment>
  </commentList>
</comments>
</file>

<file path=xl/sharedStrings.xml><?xml version="1.0" encoding="utf-8"?>
<sst xmlns="http://schemas.openxmlformats.org/spreadsheetml/2006/main" count="21" uniqueCount="19">
  <si>
    <t>Frais d'utilisation</t>
  </si>
  <si>
    <t>Frais fixes</t>
  </si>
  <si>
    <t>annuel</t>
  </si>
  <si>
    <t>Montant par KM parcuru</t>
  </si>
  <si>
    <t>Frais variables</t>
  </si>
  <si>
    <t>Les frais par camion</t>
  </si>
  <si>
    <t>Si elle accpete l'offre</t>
  </si>
  <si>
    <t>si il n'accpete pas l'offre</t>
  </si>
  <si>
    <t>Salaire annuel d'un chauffeur</t>
  </si>
  <si>
    <t>le cout de diesel</t>
  </si>
  <si>
    <t>KM par camtion</t>
  </si>
  <si>
    <t>cout entretien</t>
  </si>
  <si>
    <t>Cout annuel assurance</t>
  </si>
  <si>
    <t>Les frais variable par KM actuel</t>
  </si>
  <si>
    <t>Economie recherché</t>
  </si>
  <si>
    <t xml:space="preserve">MCV=Cout fixes </t>
  </si>
  <si>
    <t>MCV unitaire</t>
  </si>
  <si>
    <t>Les frais variables par Km avec l'offre</t>
  </si>
  <si>
    <t xml:space="preserve">Montant des frais varibiable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</si>
</sst>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$&quot;_ ;_ * \(#,##0.00\)\ &quot;$&quot;_ ;_ * &quot;-&quot;??_)\ &quot;$&quot;_ ;_ @_ "/>
    <numFmt numFmtId="43" formatCode="_ * #,##0.00_)_ ;_ * \(#,##0.00\)_ ;_ * &quot;-&quot;??_)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2" applyFont="1"/>
    <xf numFmtId="43" fontId="0" fillId="0" borderId="0" xfId="1" applyFont="1"/>
    <xf numFmtId="43" fontId="0" fillId="2" borderId="0" xfId="1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KRI Marzouk" id="{F1A59AD0-ED51-454B-9AF2-1ABD20ACAACA}" userId="bca8937e5be247ac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5-02-05T14:11:08.36" personId="{F1A59AD0-ED51-454B-9AF2-1ABD20ACAACA}" id="{1FDC7CD1-4898-4083-B306-01C51B4F3DE2}">
    <text xml:space="preserve">Ca été mon erreur de ne pas bien calculer le montant de diesel par KM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1097-6B16-42AB-94FC-1CAE75156632}">
  <dimension ref="A1:F26"/>
  <sheetViews>
    <sheetView tabSelected="1" topLeftCell="A2" workbookViewId="0">
      <selection activeCell="A24" sqref="A24"/>
    </sheetView>
  </sheetViews>
  <sheetFormatPr defaultColWidth="11.5546875" defaultRowHeight="14.4" x14ac:dyDescent="0.3"/>
  <cols>
    <col min="1" max="1" width="30.44140625" bestFit="1" customWidth="1"/>
    <col min="2" max="2" width="18.21875" style="1" bestFit="1" customWidth="1"/>
    <col min="3" max="3" width="20" style="2" bestFit="1" customWidth="1"/>
    <col min="6" max="6" width="11.5546875" style="2"/>
  </cols>
  <sheetData>
    <row r="1" spans="1:6" x14ac:dyDescent="0.3">
      <c r="A1" t="s">
        <v>5</v>
      </c>
    </row>
    <row r="3" spans="1:6" x14ac:dyDescent="0.3">
      <c r="A3" t="s">
        <v>0</v>
      </c>
      <c r="B3" s="1">
        <v>75000</v>
      </c>
      <c r="C3" s="2" t="s">
        <v>1</v>
      </c>
      <c r="D3" t="s">
        <v>2</v>
      </c>
    </row>
    <row r="5" spans="1:6" x14ac:dyDescent="0.3">
      <c r="A5" t="s">
        <v>3</v>
      </c>
      <c r="B5" s="1">
        <v>2.65</v>
      </c>
      <c r="C5" s="2" t="s">
        <v>4</v>
      </c>
    </row>
    <row r="8" spans="1:6" x14ac:dyDescent="0.3">
      <c r="B8" s="1" t="s">
        <v>6</v>
      </c>
      <c r="C8" s="2" t="s">
        <v>7</v>
      </c>
    </row>
    <row r="10" spans="1:6" x14ac:dyDescent="0.3">
      <c r="A10" t="s">
        <v>0</v>
      </c>
      <c r="B10" s="1">
        <v>75000</v>
      </c>
      <c r="F10" s="2" t="s">
        <v>10</v>
      </c>
    </row>
    <row r="11" spans="1:6" x14ac:dyDescent="0.3">
      <c r="A11" t="s">
        <v>3</v>
      </c>
      <c r="B11" s="1">
        <f>+B5*F11</f>
        <v>88775</v>
      </c>
      <c r="F11" s="2">
        <v>33500</v>
      </c>
    </row>
    <row r="12" spans="1:6" x14ac:dyDescent="0.3">
      <c r="A12" t="s">
        <v>16</v>
      </c>
    </row>
    <row r="13" spans="1:6" x14ac:dyDescent="0.3">
      <c r="A13" t="s">
        <v>8</v>
      </c>
      <c r="C13" s="2">
        <v>52500</v>
      </c>
    </row>
    <row r="14" spans="1:6" x14ac:dyDescent="0.3">
      <c r="A14" t="s">
        <v>9</v>
      </c>
      <c r="C14" s="3">
        <f>(1.3*0.5)*F11</f>
        <v>21775</v>
      </c>
    </row>
    <row r="15" spans="1:6" x14ac:dyDescent="0.3">
      <c r="A15" t="s">
        <v>11</v>
      </c>
      <c r="C15" s="3">
        <f>0.4*F11</f>
        <v>13400</v>
      </c>
    </row>
    <row r="16" spans="1:6" x14ac:dyDescent="0.3">
      <c r="A16" t="s">
        <v>12</v>
      </c>
      <c r="C16" s="2">
        <v>9000</v>
      </c>
    </row>
    <row r="17" spans="1:3" x14ac:dyDescent="0.3">
      <c r="B17" s="1">
        <f>SUM(B10:B16)</f>
        <v>163775</v>
      </c>
      <c r="C17" s="1">
        <f>SUM(C10:C16)</f>
        <v>96675</v>
      </c>
    </row>
    <row r="20" spans="1:3" x14ac:dyDescent="0.3">
      <c r="A20" t="s">
        <v>13</v>
      </c>
      <c r="C20" s="2">
        <f>+C14+C15</f>
        <v>35175</v>
      </c>
    </row>
    <row r="21" spans="1:3" x14ac:dyDescent="0.3">
      <c r="A21" t="s">
        <v>17</v>
      </c>
      <c r="C21" s="2">
        <f>+B11</f>
        <v>88775</v>
      </c>
    </row>
    <row r="22" spans="1:3" x14ac:dyDescent="0.3">
      <c r="A22" t="s">
        <v>14</v>
      </c>
      <c r="C22" s="2">
        <v>10000</v>
      </c>
    </row>
    <row r="23" spans="1:3" x14ac:dyDescent="0.3">
      <c r="A23" t="s">
        <v>18</v>
      </c>
    </row>
    <row r="26" spans="1:3" x14ac:dyDescent="0.3">
      <c r="A26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Hicham El Absi</cp:lastModifiedBy>
  <dcterms:created xsi:type="dcterms:W3CDTF">2025-02-05T13:09:03Z</dcterms:created>
  <dcterms:modified xsi:type="dcterms:W3CDTF">2026-02-04T16:37:35Z</dcterms:modified>
</cp:coreProperties>
</file>