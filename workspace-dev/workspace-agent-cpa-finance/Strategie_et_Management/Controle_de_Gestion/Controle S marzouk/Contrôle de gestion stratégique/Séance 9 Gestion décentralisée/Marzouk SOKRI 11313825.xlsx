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S\Contrôle de gestion stratégique\Séance 9\"/>
    </mc:Choice>
  </mc:AlternateContent>
  <xr:revisionPtr revIDLastSave="0" documentId="13_ncr:1_{AE4A8872-867F-4A50-B914-31EF9381A9FA}" xr6:coauthVersionLast="47" xr6:coauthVersionMax="47" xr10:uidLastSave="{00000000-0000-0000-0000-000000000000}"/>
  <bookViews>
    <workbookView xWindow="-108" yWindow="-108" windowWidth="23256" windowHeight="13896" activeTab="3" xr2:uid="{8D3C50E5-AC83-4C9B-8432-8E7B0A647F18}"/>
  </bookViews>
  <sheets>
    <sheet name="Analyse capacité dispositif" sheetId="1" r:id="rId1"/>
    <sheet name="PCI" sheetId="6" r:id="rId2"/>
    <sheet name="Frais fixes" sheetId="5" r:id="rId3"/>
    <sheet name="Projet GAMMA " sheetId="2" r:id="rId4"/>
    <sheet name="MCV par facteur contraigan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4" i="6"/>
  <c r="B5" i="6" s="1"/>
  <c r="C3" i="5"/>
  <c r="B15" i="5"/>
  <c r="C4" i="5"/>
  <c r="C5" i="5"/>
  <c r="B4" i="5"/>
  <c r="B3" i="5"/>
  <c r="B5" i="5" s="1"/>
  <c r="C9" i="2"/>
  <c r="D16" i="3"/>
  <c r="C11" i="1"/>
  <c r="C13" i="1"/>
  <c r="C14" i="1"/>
  <c r="C12" i="1"/>
  <c r="D4" i="1"/>
  <c r="D5" i="1"/>
  <c r="G21" i="3"/>
  <c r="B6" i="6" l="1"/>
  <c r="B7" i="6" s="1"/>
  <c r="B16" i="3"/>
  <c r="C16" i="3"/>
  <c r="D10" i="3"/>
  <c r="D9" i="3"/>
  <c r="D8" i="2"/>
  <c r="C8" i="2"/>
  <c r="C11" i="3"/>
  <c r="C13" i="3" s="1"/>
  <c r="D9" i="2"/>
  <c r="B28" i="2"/>
  <c r="B11" i="3"/>
  <c r="B13" i="3" s="1"/>
  <c r="B14" i="2"/>
  <c r="B15" i="2"/>
  <c r="C11" i="2"/>
  <c r="D11" i="2" s="1"/>
  <c r="C10" i="2"/>
  <c r="D10" i="2" s="1"/>
  <c r="C6" i="2"/>
  <c r="D6" i="2" s="1"/>
  <c r="C10" i="1"/>
  <c r="C9" i="1"/>
  <c r="C8" i="1"/>
  <c r="D11" i="3" l="1"/>
  <c r="D13" i="3" s="1"/>
  <c r="D16" i="2"/>
  <c r="C16" i="2"/>
  <c r="C17" i="2" l="1"/>
  <c r="D17" i="2" s="1"/>
  <c r="D18" i="2" s="1"/>
  <c r="C18" i="2" l="1"/>
  <c r="B19" i="2" s="1"/>
</calcChain>
</file>

<file path=xl/sharedStrings.xml><?xml version="1.0" encoding="utf-8"?>
<sst xmlns="http://schemas.openxmlformats.org/spreadsheetml/2006/main" count="76" uniqueCount="72">
  <si>
    <t>Heures machine disponible division dispositif</t>
  </si>
  <si>
    <t>Heure machine necessaire pour DTA</t>
  </si>
  <si>
    <t>Heure machine necessaire pour  DTB</t>
  </si>
  <si>
    <t>heures</t>
  </si>
  <si>
    <t xml:space="preserve">heure </t>
  </si>
  <si>
    <t>Unité maximum</t>
  </si>
  <si>
    <t xml:space="preserve">Production actuelle </t>
  </si>
  <si>
    <t>DTA</t>
  </si>
  <si>
    <t>DTB</t>
  </si>
  <si>
    <t>Unité</t>
  </si>
  <si>
    <t>Heures</t>
  </si>
  <si>
    <t>Total</t>
  </si>
  <si>
    <t>MCV</t>
  </si>
  <si>
    <t>Encaissement</t>
  </si>
  <si>
    <t>Vente</t>
  </si>
  <si>
    <t>Décaissement</t>
  </si>
  <si>
    <t>Unités</t>
  </si>
  <si>
    <t>Prix de vente</t>
  </si>
  <si>
    <t xml:space="preserve">I </t>
  </si>
  <si>
    <t>T</t>
  </si>
  <si>
    <t>Frais généraux de fabrication variables</t>
  </si>
  <si>
    <t xml:space="preserve">Frais de ventes variables </t>
  </si>
  <si>
    <t xml:space="preserve">Main d'œuvre directe </t>
  </si>
  <si>
    <t>Investissment initilae</t>
  </si>
  <si>
    <t>VAEI 25%</t>
  </si>
  <si>
    <t>VAEI 75%</t>
  </si>
  <si>
    <t>D</t>
  </si>
  <si>
    <t>FM avant impot</t>
  </si>
  <si>
    <t>Impot</t>
  </si>
  <si>
    <t>FM net d'impot</t>
  </si>
  <si>
    <t>VAN</t>
  </si>
  <si>
    <t>Frais généraux de fabrication fixe  unitaires</t>
  </si>
  <si>
    <t xml:space="preserve">DTB, le GAMMA et le HPM1 </t>
  </si>
  <si>
    <t>GAMMA</t>
  </si>
  <si>
    <t>HPM1</t>
  </si>
  <si>
    <t>PV</t>
  </si>
  <si>
    <t>MP</t>
  </si>
  <si>
    <t>MOD</t>
  </si>
  <si>
    <t>Frais généraux de fabrication V</t>
  </si>
  <si>
    <t xml:space="preserve">Frais de ventes </t>
  </si>
  <si>
    <t>Total CV</t>
  </si>
  <si>
    <t>Dispositif DTA</t>
  </si>
  <si>
    <t>Facteur contraignant HM</t>
  </si>
  <si>
    <t>MCV/Fcontraignant</t>
  </si>
  <si>
    <t xml:space="preserve">GAMMA </t>
  </si>
  <si>
    <t>HM</t>
  </si>
  <si>
    <t>Apres l'installation de la production continue la capacité augmente</t>
  </si>
  <si>
    <t>A partir de 2025</t>
  </si>
  <si>
    <t xml:space="preserve">pour 5 ans </t>
  </si>
  <si>
    <t>Si la divsion moteur annule le contrat annule le contrat avec le fournisseur</t>
  </si>
  <si>
    <t>la capacité Si la division moteur va de l'avant avec le contrat avec le fournissur</t>
  </si>
  <si>
    <t>Excedentaire</t>
  </si>
  <si>
    <t>Manque de capacité</t>
  </si>
  <si>
    <t xml:space="preserve">LA capacité actuelle </t>
  </si>
  <si>
    <t>Frais généraux d'administration</t>
  </si>
  <si>
    <t xml:space="preserve">Actuel </t>
  </si>
  <si>
    <t>Avec l'investissement de 2M</t>
  </si>
  <si>
    <t>Taux HM</t>
  </si>
  <si>
    <t>DTA (HM)</t>
  </si>
  <si>
    <t>DTB (HM)</t>
  </si>
  <si>
    <t>Capacité actuelle H</t>
  </si>
  <si>
    <t>DTA unité</t>
  </si>
  <si>
    <t>DTB unité</t>
  </si>
  <si>
    <t>GAMMA unité</t>
  </si>
  <si>
    <t xml:space="preserve">Total frais fixes </t>
  </si>
  <si>
    <t>GAMMA (HM)</t>
  </si>
  <si>
    <t xml:space="preserve">Frais généraux de fabrication fixes  </t>
  </si>
  <si>
    <t>Économie réalisé</t>
  </si>
  <si>
    <t>Frais généraux de fabrication</t>
  </si>
  <si>
    <t>Marge 20%</t>
  </si>
  <si>
    <t>Total cout variable</t>
  </si>
  <si>
    <t xml:space="preserve">PCI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</si>
</sst>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_ * #,##0.00_)\ _$_ ;_ * \(#,##0.00\)\ _$_ ;_ * &quot;-&quot;??_)\ _$_ ;_ @_ "/>
    <numFmt numFmtId="165" formatCode="_ * #,##0_)_ ;_ * \(#,##0\)_ ;_ * &quot;-&quot;??_)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164" fontId="0" fillId="0" borderId="0" xfId="0" applyNumberFormat="1"/>
    <xf numFmtId="43" fontId="0" fillId="0" borderId="0" xfId="0" applyNumberFormat="1"/>
    <xf numFmtId="0" fontId="0" fillId="2" borderId="0" xfId="0" applyFill="1"/>
    <xf numFmtId="43" fontId="0" fillId="2" borderId="0" xfId="1" applyFont="1" applyFill="1"/>
    <xf numFmtId="164" fontId="0" fillId="2" borderId="0" xfId="0" applyNumberFormat="1" applyFill="1"/>
    <xf numFmtId="9" fontId="0" fillId="0" borderId="0" xfId="0" applyNumberFormat="1"/>
    <xf numFmtId="165" fontId="0" fillId="0" borderId="0" xfId="1" applyNumberFormat="1" applyFont="1"/>
    <xf numFmtId="43" fontId="0" fillId="0" borderId="0" xfId="1" applyFont="1" applyFill="1"/>
    <xf numFmtId="10" fontId="0" fillId="0" borderId="0" xfId="2" applyNumberFormat="1" applyFont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0D58-AECC-4BBC-B2A0-4FD981270DE9}">
  <dimension ref="A2:E17"/>
  <sheetViews>
    <sheetView workbookViewId="0">
      <selection activeCell="J6" sqref="J6"/>
    </sheetView>
  </sheetViews>
  <sheetFormatPr baseColWidth="10" defaultRowHeight="14.4" x14ac:dyDescent="0.3"/>
  <cols>
    <col min="1" max="1" width="63.109375" bestFit="1" customWidth="1"/>
    <col min="2" max="2" width="11.5546875" style="1"/>
    <col min="3" max="3" width="12" bestFit="1" customWidth="1"/>
    <col min="4" max="4" width="17.21875" bestFit="1" customWidth="1"/>
    <col min="5" max="5" width="17" bestFit="1" customWidth="1"/>
  </cols>
  <sheetData>
    <row r="2" spans="1:5" x14ac:dyDescent="0.3">
      <c r="A2" t="s">
        <v>0</v>
      </c>
      <c r="B2" s="1">
        <v>60000</v>
      </c>
    </row>
    <row r="3" spans="1:5" x14ac:dyDescent="0.3">
      <c r="D3" t="s">
        <v>5</v>
      </c>
    </row>
    <row r="4" spans="1:5" x14ac:dyDescent="0.3">
      <c r="A4" s="4" t="s">
        <v>1</v>
      </c>
      <c r="B4" s="1">
        <v>2</v>
      </c>
      <c r="C4" t="s">
        <v>3</v>
      </c>
      <c r="D4" s="1">
        <f>+B2/B4</f>
        <v>30000</v>
      </c>
    </row>
    <row r="5" spans="1:5" x14ac:dyDescent="0.3">
      <c r="A5" t="s">
        <v>2</v>
      </c>
      <c r="B5" s="1">
        <v>1</v>
      </c>
      <c r="C5" t="s">
        <v>4</v>
      </c>
      <c r="D5" s="1">
        <f>+B2/B5</f>
        <v>60000</v>
      </c>
      <c r="E5" t="s">
        <v>48</v>
      </c>
    </row>
    <row r="7" spans="1:5" x14ac:dyDescent="0.3">
      <c r="A7" t="s">
        <v>6</v>
      </c>
      <c r="B7" s="1" t="s">
        <v>9</v>
      </c>
      <c r="C7" t="s">
        <v>10</v>
      </c>
    </row>
    <row r="8" spans="1:5" x14ac:dyDescent="0.3">
      <c r="A8" t="s">
        <v>7</v>
      </c>
      <c r="B8" s="1">
        <v>14000</v>
      </c>
      <c r="C8" s="6">
        <f>+B8*B4</f>
        <v>28000</v>
      </c>
    </row>
    <row r="9" spans="1:5" x14ac:dyDescent="0.3">
      <c r="A9" t="s">
        <v>8</v>
      </c>
      <c r="B9" s="1">
        <v>25000</v>
      </c>
      <c r="C9" s="2">
        <f>+B9*B5</f>
        <v>25000</v>
      </c>
    </row>
    <row r="10" spans="1:5" x14ac:dyDescent="0.3">
      <c r="A10" t="s">
        <v>11</v>
      </c>
      <c r="C10" s="2">
        <f>+C8+C9</f>
        <v>53000</v>
      </c>
    </row>
    <row r="11" spans="1:5" x14ac:dyDescent="0.3">
      <c r="A11" t="s">
        <v>53</v>
      </c>
      <c r="C11" s="2">
        <f>+B2-C10</f>
        <v>7000</v>
      </c>
    </row>
    <row r="12" spans="1:5" x14ac:dyDescent="0.3">
      <c r="A12" t="s">
        <v>44</v>
      </c>
      <c r="B12" s="1">
        <v>8000</v>
      </c>
      <c r="C12" s="5">
        <f>+B12*5</f>
        <v>40000</v>
      </c>
      <c r="D12" s="2"/>
    </row>
    <row r="13" spans="1:5" x14ac:dyDescent="0.3">
      <c r="A13" t="s">
        <v>50</v>
      </c>
      <c r="C13" s="2">
        <f>10000*B4+B2-C9-C12</f>
        <v>15000</v>
      </c>
      <c r="D13" t="s">
        <v>51</v>
      </c>
      <c r="E13" s="3"/>
    </row>
    <row r="14" spans="1:5" x14ac:dyDescent="0.3">
      <c r="A14" t="s">
        <v>49</v>
      </c>
      <c r="C14" s="2">
        <f>+B2-C8-C9-C12</f>
        <v>-33000</v>
      </c>
      <c r="D14" t="s">
        <v>52</v>
      </c>
      <c r="E14" s="2"/>
    </row>
    <row r="17" spans="1:5" x14ac:dyDescent="0.3">
      <c r="A17" t="s">
        <v>46</v>
      </c>
      <c r="D17" s="1">
        <v>120000</v>
      </c>
      <c r="E17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9133-3204-461E-A3B4-3FB029F4F36E}">
  <dimension ref="A2:B7"/>
  <sheetViews>
    <sheetView workbookViewId="0">
      <selection activeCell="J21" sqref="J21"/>
    </sheetView>
  </sheetViews>
  <sheetFormatPr baseColWidth="10" defaultRowHeight="14.4" x14ac:dyDescent="0.3"/>
  <cols>
    <col min="1" max="1" width="24.21875" bestFit="1" customWidth="1"/>
    <col min="2" max="2" width="11.5546875" style="1"/>
  </cols>
  <sheetData>
    <row r="2" spans="1:2" x14ac:dyDescent="0.3">
      <c r="A2" t="s">
        <v>36</v>
      </c>
      <c r="B2" s="1">
        <v>54</v>
      </c>
    </row>
    <row r="3" spans="1:2" x14ac:dyDescent="0.3">
      <c r="A3" t="s">
        <v>37</v>
      </c>
      <c r="B3" s="1">
        <v>40</v>
      </c>
    </row>
    <row r="4" spans="1:2" x14ac:dyDescent="0.3">
      <c r="A4" t="s">
        <v>68</v>
      </c>
      <c r="B4" s="1">
        <f>30*2</f>
        <v>60</v>
      </c>
    </row>
    <row r="5" spans="1:2" x14ac:dyDescent="0.3">
      <c r="A5" t="s">
        <v>70</v>
      </c>
      <c r="B5" s="1">
        <f>+SUM(B2:B4)</f>
        <v>154</v>
      </c>
    </row>
    <row r="6" spans="1:2" x14ac:dyDescent="0.3">
      <c r="A6" t="s">
        <v>69</v>
      </c>
      <c r="B6" s="1">
        <f>+B5*0.2</f>
        <v>30.8</v>
      </c>
    </row>
    <row r="7" spans="1:2" x14ac:dyDescent="0.3">
      <c r="A7" t="s">
        <v>71</v>
      </c>
      <c r="B7" s="1">
        <f>+B5+B6</f>
        <v>184.8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1E20-101A-43B9-834F-B1A7A8580B57}">
  <dimension ref="A2:C17"/>
  <sheetViews>
    <sheetView workbookViewId="0">
      <selection activeCell="G30" sqref="G30"/>
    </sheetView>
  </sheetViews>
  <sheetFormatPr baseColWidth="10" defaultRowHeight="14.4" x14ac:dyDescent="0.3"/>
  <cols>
    <col min="1" max="1" width="59" customWidth="1"/>
    <col min="2" max="2" width="13.77734375" bestFit="1" customWidth="1"/>
    <col min="3" max="3" width="23.33203125" bestFit="1" customWidth="1"/>
  </cols>
  <sheetData>
    <row r="2" spans="1:3" x14ac:dyDescent="0.3">
      <c r="B2" t="s">
        <v>55</v>
      </c>
      <c r="C2" t="s">
        <v>56</v>
      </c>
    </row>
    <row r="3" spans="1:3" x14ac:dyDescent="0.3">
      <c r="A3" t="s">
        <v>66</v>
      </c>
      <c r="B3" s="1">
        <f>+B6*B7</f>
        <v>1800000</v>
      </c>
      <c r="C3" s="1">
        <f>+C6*C7</f>
        <v>3000000</v>
      </c>
    </row>
    <row r="4" spans="1:3" x14ac:dyDescent="0.3">
      <c r="A4" t="s">
        <v>54</v>
      </c>
      <c r="B4" s="1">
        <f>+B6*B11+B6*B12</f>
        <v>1170000</v>
      </c>
      <c r="C4" s="1">
        <f>+B6*B11+B6*B12+B6*C12+B6*C13</f>
        <v>1410000</v>
      </c>
    </row>
    <row r="5" spans="1:3" x14ac:dyDescent="0.3">
      <c r="A5" t="s">
        <v>64</v>
      </c>
      <c r="B5" s="1">
        <f>+B3+B4</f>
        <v>2970000</v>
      </c>
      <c r="C5" s="1">
        <f>+C3+C4</f>
        <v>4410000</v>
      </c>
    </row>
    <row r="6" spans="1:3" x14ac:dyDescent="0.3">
      <c r="A6" t="s">
        <v>57</v>
      </c>
      <c r="B6" s="1">
        <v>30</v>
      </c>
      <c r="C6" s="1">
        <v>25</v>
      </c>
    </row>
    <row r="7" spans="1:3" x14ac:dyDescent="0.3">
      <c r="A7" t="s">
        <v>60</v>
      </c>
      <c r="B7" s="1">
        <v>60000</v>
      </c>
      <c r="C7" s="1">
        <v>120000</v>
      </c>
    </row>
    <row r="8" spans="1:3" x14ac:dyDescent="0.3">
      <c r="A8" t="s">
        <v>58</v>
      </c>
      <c r="B8" s="1">
        <v>2</v>
      </c>
      <c r="C8" s="1"/>
    </row>
    <row r="9" spans="1:3" x14ac:dyDescent="0.3">
      <c r="A9" t="s">
        <v>59</v>
      </c>
      <c r="B9" s="1">
        <v>1</v>
      </c>
      <c r="C9" s="1"/>
    </row>
    <row r="10" spans="1:3" x14ac:dyDescent="0.3">
      <c r="A10" t="s">
        <v>65</v>
      </c>
      <c r="C10" s="1">
        <v>5</v>
      </c>
    </row>
    <row r="11" spans="1:3" x14ac:dyDescent="0.3">
      <c r="A11" t="s">
        <v>61</v>
      </c>
      <c r="B11" s="1">
        <v>14000</v>
      </c>
      <c r="C11" s="1"/>
    </row>
    <row r="12" spans="1:3" x14ac:dyDescent="0.3">
      <c r="A12" t="s">
        <v>62</v>
      </c>
      <c r="B12" s="1">
        <v>25000</v>
      </c>
      <c r="C12" s="1"/>
    </row>
    <row r="13" spans="1:3" x14ac:dyDescent="0.3">
      <c r="A13" t="s">
        <v>63</v>
      </c>
      <c r="B13" s="1"/>
      <c r="C13" s="1">
        <v>8000</v>
      </c>
    </row>
    <row r="15" spans="1:3" x14ac:dyDescent="0.3">
      <c r="A15" t="s">
        <v>67</v>
      </c>
      <c r="B15" s="2">
        <f>+(B6-C6)*B7</f>
        <v>300000</v>
      </c>
    </row>
    <row r="16" spans="1:3" x14ac:dyDescent="0.3">
      <c r="C16" s="1"/>
    </row>
    <row r="17" spans="2:2" x14ac:dyDescent="0.3">
      <c r="B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5A33-E9E0-4A8A-8672-493EECE1BF39}">
  <dimension ref="A2:G32"/>
  <sheetViews>
    <sheetView tabSelected="1" workbookViewId="0">
      <selection activeCell="L26" sqref="L26"/>
    </sheetView>
  </sheetViews>
  <sheetFormatPr baseColWidth="10" defaultRowHeight="14.4" x14ac:dyDescent="0.3"/>
  <cols>
    <col min="1" max="1" width="35.21875" bestFit="1" customWidth="1"/>
    <col min="2" max="4" width="13.77734375" bestFit="1" customWidth="1"/>
    <col min="7" max="7" width="13.44140625" bestFit="1" customWidth="1"/>
  </cols>
  <sheetData>
    <row r="2" spans="1:7" x14ac:dyDescent="0.3">
      <c r="G2" t="s">
        <v>47</v>
      </c>
    </row>
    <row r="4" spans="1:7" x14ac:dyDescent="0.3">
      <c r="B4" s="8">
        <v>2024</v>
      </c>
      <c r="C4">
        <v>2025</v>
      </c>
      <c r="D4">
        <v>2026</v>
      </c>
    </row>
    <row r="5" spans="1:7" x14ac:dyDescent="0.3">
      <c r="A5" s="4" t="s">
        <v>13</v>
      </c>
      <c r="B5" s="4"/>
      <c r="C5" s="4"/>
      <c r="D5" s="4"/>
    </row>
    <row r="6" spans="1:7" x14ac:dyDescent="0.3">
      <c r="A6" t="s">
        <v>14</v>
      </c>
      <c r="C6" s="1">
        <f>+B$23*B24</f>
        <v>5600000</v>
      </c>
      <c r="D6" s="1">
        <f>+C6</f>
        <v>5600000</v>
      </c>
    </row>
    <row r="7" spans="1:7" x14ac:dyDescent="0.3">
      <c r="A7" s="4" t="s">
        <v>15</v>
      </c>
      <c r="B7" s="4"/>
      <c r="C7" s="5"/>
      <c r="D7" s="5"/>
    </row>
    <row r="8" spans="1:7" x14ac:dyDescent="0.3">
      <c r="A8" t="s">
        <v>36</v>
      </c>
      <c r="C8" s="9">
        <f>-225*B23</f>
        <v>-1800000</v>
      </c>
      <c r="D8" s="9">
        <f>+C8</f>
        <v>-1800000</v>
      </c>
    </row>
    <row r="9" spans="1:7" x14ac:dyDescent="0.3">
      <c r="A9" t="s">
        <v>20</v>
      </c>
      <c r="C9" s="1">
        <f>-(265-B28)*B23</f>
        <v>-1120000</v>
      </c>
      <c r="D9" s="1">
        <f>+C9</f>
        <v>-1120000</v>
      </c>
    </row>
    <row r="10" spans="1:7" x14ac:dyDescent="0.3">
      <c r="A10" t="s">
        <v>21</v>
      </c>
      <c r="C10" s="1">
        <f>-10*B23</f>
        <v>-80000</v>
      </c>
      <c r="D10" s="1">
        <f>+C10</f>
        <v>-80000</v>
      </c>
    </row>
    <row r="11" spans="1:7" x14ac:dyDescent="0.3">
      <c r="A11" t="s">
        <v>22</v>
      </c>
      <c r="C11" s="1">
        <f>-100*B23</f>
        <v>-800000</v>
      </c>
      <c r="D11" s="1">
        <f>+C11</f>
        <v>-800000</v>
      </c>
    </row>
    <row r="12" spans="1:7" x14ac:dyDescent="0.3">
      <c r="C12" s="1"/>
      <c r="D12" s="1"/>
    </row>
    <row r="13" spans="1:7" x14ac:dyDescent="0.3">
      <c r="A13" t="s">
        <v>23</v>
      </c>
      <c r="B13" s="1">
        <v>-2000000</v>
      </c>
    </row>
    <row r="14" spans="1:7" x14ac:dyDescent="0.3">
      <c r="A14" t="s">
        <v>25</v>
      </c>
      <c r="B14" s="1">
        <f>-B13*0.75*B26</f>
        <v>675000</v>
      </c>
    </row>
    <row r="15" spans="1:7" x14ac:dyDescent="0.3">
      <c r="A15" t="s">
        <v>24</v>
      </c>
      <c r="B15" s="1">
        <f>-(B13*0.25*B26*B27)/(B25+B27)</f>
        <v>181451.61290322582</v>
      </c>
    </row>
    <row r="16" spans="1:7" x14ac:dyDescent="0.3">
      <c r="A16" t="s">
        <v>27</v>
      </c>
      <c r="B16" s="1"/>
      <c r="C16" s="3">
        <f>+SUM(C6:C11)</f>
        <v>1800000</v>
      </c>
      <c r="D16" s="3">
        <f>+SUM(D6:D11)</f>
        <v>1800000</v>
      </c>
    </row>
    <row r="17" spans="1:6" x14ac:dyDescent="0.3">
      <c r="A17" t="s">
        <v>28</v>
      </c>
      <c r="B17" s="1"/>
      <c r="C17" s="1">
        <f>-C16*B26</f>
        <v>-810000</v>
      </c>
      <c r="D17" s="1">
        <f>+C17</f>
        <v>-810000</v>
      </c>
    </row>
    <row r="18" spans="1:6" x14ac:dyDescent="0.3">
      <c r="A18" t="s">
        <v>29</v>
      </c>
      <c r="B18" s="1">
        <f>SUM(B13:B17)</f>
        <v>-1143548.3870967743</v>
      </c>
      <c r="C18" s="2">
        <f>+C16+C17</f>
        <v>990000</v>
      </c>
      <c r="D18" s="2">
        <f>+D16+D17</f>
        <v>990000</v>
      </c>
    </row>
    <row r="19" spans="1:6" x14ac:dyDescent="0.3">
      <c r="A19" t="s">
        <v>30</v>
      </c>
      <c r="B19" s="1">
        <f>+NPV(B25,C18:D18)+B13+B14+B15</f>
        <v>529602.12310730724</v>
      </c>
      <c r="C19" s="2"/>
      <c r="D19" s="2"/>
    </row>
    <row r="20" spans="1:6" x14ac:dyDescent="0.3">
      <c r="B20" s="1"/>
      <c r="C20" s="2"/>
      <c r="D20" s="2"/>
    </row>
    <row r="21" spans="1:6" x14ac:dyDescent="0.3">
      <c r="B21" s="1"/>
      <c r="C21" s="2"/>
      <c r="D21" s="2"/>
    </row>
    <row r="23" spans="1:6" x14ac:dyDescent="0.3">
      <c r="A23" t="s">
        <v>16</v>
      </c>
      <c r="B23" s="1">
        <v>8000</v>
      </c>
    </row>
    <row r="24" spans="1:6" x14ac:dyDescent="0.3">
      <c r="A24" t="s">
        <v>17</v>
      </c>
      <c r="B24">
        <v>700</v>
      </c>
    </row>
    <row r="25" spans="1:6" x14ac:dyDescent="0.3">
      <c r="A25" t="s">
        <v>18</v>
      </c>
      <c r="B25" s="7">
        <v>0.12</v>
      </c>
    </row>
    <row r="26" spans="1:6" x14ac:dyDescent="0.3">
      <c r="A26" t="s">
        <v>19</v>
      </c>
      <c r="B26" s="7">
        <v>0.45</v>
      </c>
      <c r="F26" s="1"/>
    </row>
    <row r="27" spans="1:6" x14ac:dyDescent="0.3">
      <c r="A27" t="s">
        <v>26</v>
      </c>
      <c r="B27" s="7">
        <v>0.5</v>
      </c>
      <c r="F27" s="1"/>
    </row>
    <row r="28" spans="1:6" x14ac:dyDescent="0.3">
      <c r="A28" t="s">
        <v>31</v>
      </c>
      <c r="B28" s="1">
        <f>25*5</f>
        <v>125</v>
      </c>
      <c r="F28" s="2"/>
    </row>
    <row r="29" spans="1:6" x14ac:dyDescent="0.3">
      <c r="F29" s="1"/>
    </row>
    <row r="30" spans="1:6" x14ac:dyDescent="0.3">
      <c r="B30" s="1"/>
      <c r="F30" s="2"/>
    </row>
    <row r="31" spans="1:6" x14ac:dyDescent="0.3">
      <c r="B31" s="2"/>
    </row>
    <row r="32" spans="1:6" x14ac:dyDescent="0.3">
      <c r="B3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96AE-0901-474A-932F-A4F4948E8B13}">
  <dimension ref="A1:K24"/>
  <sheetViews>
    <sheetView workbookViewId="0">
      <selection activeCell="E24" sqref="E24"/>
    </sheetView>
  </sheetViews>
  <sheetFormatPr baseColWidth="10" defaultRowHeight="14.4" x14ac:dyDescent="0.3"/>
  <cols>
    <col min="1" max="1" width="25.6640625" bestFit="1" customWidth="1"/>
    <col min="2" max="2" width="19.109375" bestFit="1" customWidth="1"/>
    <col min="3" max="3" width="20.77734375" customWidth="1"/>
    <col min="6" max="6" width="19.33203125" bestFit="1" customWidth="1"/>
    <col min="7" max="7" width="13.44140625" style="1" bestFit="1" customWidth="1"/>
    <col min="8" max="8" width="11.5546875" style="1"/>
    <col min="9" max="9" width="13.77734375" bestFit="1" customWidth="1"/>
  </cols>
  <sheetData>
    <row r="1" spans="1:9" x14ac:dyDescent="0.3">
      <c r="A1" t="s">
        <v>32</v>
      </c>
    </row>
    <row r="3" spans="1:9" x14ac:dyDescent="0.3">
      <c r="B3" t="s">
        <v>8</v>
      </c>
      <c r="C3" t="s">
        <v>33</v>
      </c>
      <c r="D3" t="s">
        <v>34</v>
      </c>
    </row>
    <row r="4" spans="1:9" x14ac:dyDescent="0.3">
      <c r="A4" t="s">
        <v>35</v>
      </c>
      <c r="B4" s="1">
        <v>175</v>
      </c>
      <c r="C4" s="1">
        <v>700</v>
      </c>
      <c r="D4" s="1">
        <v>820</v>
      </c>
      <c r="E4" s="1"/>
    </row>
    <row r="5" spans="1:9" x14ac:dyDescent="0.3">
      <c r="B5" s="1"/>
      <c r="C5" s="1"/>
      <c r="D5" s="1"/>
      <c r="E5" s="1"/>
    </row>
    <row r="6" spans="1:9" x14ac:dyDescent="0.3">
      <c r="A6" t="s">
        <v>41</v>
      </c>
      <c r="B6" s="1"/>
      <c r="C6" s="1"/>
      <c r="D6" s="1">
        <v>300</v>
      </c>
      <c r="E6" s="1"/>
    </row>
    <row r="7" spans="1:9" x14ac:dyDescent="0.3">
      <c r="A7" t="s">
        <v>36</v>
      </c>
      <c r="B7" s="1">
        <v>22</v>
      </c>
      <c r="C7" s="1">
        <v>225</v>
      </c>
      <c r="D7" s="1">
        <v>84</v>
      </c>
      <c r="E7" s="1"/>
    </row>
    <row r="8" spans="1:9" x14ac:dyDescent="0.3">
      <c r="A8" t="s">
        <v>37</v>
      </c>
      <c r="B8" s="1">
        <v>22</v>
      </c>
      <c r="C8" s="1">
        <v>100</v>
      </c>
      <c r="D8" s="1">
        <v>72</v>
      </c>
      <c r="E8" s="1"/>
    </row>
    <row r="9" spans="1:9" x14ac:dyDescent="0.3">
      <c r="A9" t="s">
        <v>38</v>
      </c>
      <c r="B9" s="1">
        <v>28</v>
      </c>
      <c r="C9" s="1">
        <v>140</v>
      </c>
      <c r="D9" s="1">
        <f>5*16</f>
        <v>80</v>
      </c>
      <c r="E9" s="1"/>
    </row>
    <row r="10" spans="1:9" x14ac:dyDescent="0.3">
      <c r="A10" t="s">
        <v>39</v>
      </c>
      <c r="B10" s="1">
        <v>4</v>
      </c>
      <c r="C10" s="1">
        <v>10</v>
      </c>
      <c r="D10" s="1">
        <f>20*0.7</f>
        <v>14</v>
      </c>
      <c r="E10" s="1"/>
    </row>
    <row r="11" spans="1:9" x14ac:dyDescent="0.3">
      <c r="A11" t="s">
        <v>40</v>
      </c>
      <c r="B11" s="1">
        <f>+SUM(B7:B10)</f>
        <v>76</v>
      </c>
      <c r="C11" s="1">
        <f>+SUM(C7:C10)</f>
        <v>475</v>
      </c>
      <c r="D11" s="1">
        <f>+SUM(D6:D10)</f>
        <v>550</v>
      </c>
      <c r="E11" s="1"/>
      <c r="I11" s="2"/>
    </row>
    <row r="12" spans="1:9" x14ac:dyDescent="0.3">
      <c r="B12" s="1"/>
      <c r="C12" s="1"/>
      <c r="D12" s="1"/>
      <c r="E12" s="1"/>
    </row>
    <row r="13" spans="1:9" x14ac:dyDescent="0.3">
      <c r="A13" t="s">
        <v>12</v>
      </c>
      <c r="B13" s="5">
        <f>+B4-B11</f>
        <v>99</v>
      </c>
      <c r="C13" s="5">
        <f>+C4-C11</f>
        <v>225</v>
      </c>
      <c r="D13" s="5">
        <f>+D4-D11</f>
        <v>270</v>
      </c>
      <c r="E13" s="1"/>
      <c r="F13" s="1"/>
    </row>
    <row r="14" spans="1:9" x14ac:dyDescent="0.3">
      <c r="A14" t="s">
        <v>42</v>
      </c>
      <c r="B14" s="1">
        <v>1</v>
      </c>
      <c r="C14" s="1">
        <v>5</v>
      </c>
      <c r="D14" s="1">
        <v>5</v>
      </c>
      <c r="E14" s="1"/>
      <c r="F14" s="1"/>
    </row>
    <row r="15" spans="1:9" x14ac:dyDescent="0.3">
      <c r="B15" s="1"/>
      <c r="F15" s="1"/>
    </row>
    <row r="16" spans="1:9" x14ac:dyDescent="0.3">
      <c r="A16" t="s">
        <v>43</v>
      </c>
      <c r="B16" s="6">
        <f>+B13/B14</f>
        <v>99</v>
      </c>
      <c r="C16" s="6">
        <f>+C13/C14</f>
        <v>45</v>
      </c>
      <c r="D16" s="6">
        <f>+D13/D14</f>
        <v>54</v>
      </c>
    </row>
    <row r="18" spans="1:11" x14ac:dyDescent="0.3">
      <c r="A18" s="1"/>
      <c r="J18" s="1"/>
    </row>
    <row r="19" spans="1:11" x14ac:dyDescent="0.3">
      <c r="A19" s="1"/>
      <c r="I19" s="7"/>
      <c r="K19" s="1"/>
    </row>
    <row r="20" spans="1:11" x14ac:dyDescent="0.3">
      <c r="G20" s="1">
        <v>900000</v>
      </c>
      <c r="I20" s="7"/>
      <c r="K20" s="1"/>
    </row>
    <row r="21" spans="1:11" x14ac:dyDescent="0.3">
      <c r="G21" s="1">
        <f>+G20*0.25</f>
        <v>225000</v>
      </c>
      <c r="I21" s="7"/>
    </row>
    <row r="22" spans="1:11" x14ac:dyDescent="0.3">
      <c r="I22" s="7"/>
    </row>
    <row r="23" spans="1:11" x14ac:dyDescent="0.3">
      <c r="G23" s="10"/>
    </row>
    <row r="24" spans="1:11" x14ac:dyDescent="0.3">
      <c r="H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Analyse capacité dispositif</vt:lpstr>
      <vt:lpstr>PCI</vt:lpstr>
      <vt:lpstr>Frais fixes</vt:lpstr>
      <vt:lpstr>Projet GAMMA </vt:lpstr>
      <vt:lpstr>MCV par facteur contraigant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2025-03-16T18:41:26Z</dcterms:created>
  <dcterms:modified xsi:type="dcterms:W3CDTF">2025-03-19T15:30:24Z</dcterms:modified>
</cp:coreProperties>
</file>