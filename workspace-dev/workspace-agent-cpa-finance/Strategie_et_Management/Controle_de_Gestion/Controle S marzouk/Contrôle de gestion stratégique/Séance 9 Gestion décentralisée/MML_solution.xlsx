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DESS\Contrôle de gestion stratégique\Séance 9\"/>
    </mc:Choice>
  </mc:AlternateContent>
  <xr:revisionPtr revIDLastSave="0" documentId="13_ncr:1_{5CD04C72-E864-48BB-8399-2EEB4658A5BA}" xr6:coauthVersionLast="47" xr6:coauthVersionMax="47" xr10:uidLastSave="{00000000-0000-0000-0000-000000000000}"/>
  <bookViews>
    <workbookView xWindow="-108" yWindow="-108" windowWidth="23256" windowHeight="13896" activeTab="3" xr2:uid="{23091C02-E0B8-4A36-B295-3DBEBE871827}"/>
  </bookViews>
  <sheets>
    <sheet name="Annexe 1" sheetId="4" r:id="rId1"/>
    <sheet name="MCV &amp; Cap" sheetId="1" r:id="rId2"/>
    <sheet name="DCT" sheetId="2" r:id="rId3"/>
    <sheet name="DLT"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3" l="1"/>
  <c r="E33" i="3"/>
  <c r="G33" i="3"/>
  <c r="F32" i="3"/>
  <c r="C42" i="3"/>
  <c r="G34" i="3"/>
  <c r="F37" i="3"/>
  <c r="C15" i="2"/>
  <c r="C10" i="2"/>
  <c r="C12" i="2"/>
  <c r="C6" i="2"/>
  <c r="E5" i="2"/>
  <c r="E8" i="2"/>
  <c r="O58" i="1"/>
  <c r="Q60" i="1"/>
  <c r="Q62" i="1"/>
  <c r="Q55" i="1"/>
  <c r="Q56" i="1"/>
  <c r="S54" i="1"/>
  <c r="F29" i="1"/>
  <c r="F30" i="1"/>
  <c r="E14" i="3"/>
  <c r="E17" i="3" s="1"/>
  <c r="D50" i="3"/>
  <c r="G15" i="3" l="1"/>
  <c r="F14" i="3"/>
  <c r="G14" i="3" s="1"/>
  <c r="D49" i="3"/>
  <c r="W69" i="1"/>
  <c r="Q67" i="1"/>
  <c r="Q68" i="1"/>
  <c r="Q66" i="1"/>
  <c r="O68" i="1"/>
  <c r="O67" i="1"/>
  <c r="S67" i="1" s="1"/>
  <c r="O66" i="1"/>
  <c r="S66" i="1" s="1"/>
  <c r="F26" i="1"/>
  <c r="F77" i="1"/>
  <c r="F78" i="1"/>
  <c r="F81" i="1"/>
  <c r="F83" i="1"/>
  <c r="F27" i="1"/>
  <c r="F10" i="1"/>
  <c r="F21" i="1"/>
  <c r="F18" i="1"/>
  <c r="F17" i="1"/>
  <c r="F11" i="1"/>
  <c r="F12" i="1"/>
  <c r="F13" i="1"/>
  <c r="F9" i="1"/>
  <c r="S68" i="1" l="1"/>
  <c r="F80" i="1"/>
  <c r="F82" i="1" s="1"/>
  <c r="F84" i="1" s="1"/>
  <c r="F31" i="1"/>
  <c r="F20" i="1"/>
  <c r="F22" i="1" s="1"/>
  <c r="D5" i="2"/>
  <c r="D103" i="1"/>
  <c r="D105" i="1" s="1"/>
  <c r="W64" i="1"/>
  <c r="D52" i="1"/>
  <c r="C52" i="1"/>
  <c r="O53" i="1" s="1"/>
  <c r="O54" i="1" l="1"/>
  <c r="G52" i="1"/>
  <c r="I52" i="1"/>
  <c r="H52" i="1"/>
  <c r="I60" i="1"/>
  <c r="H60" i="1"/>
  <c r="G60" i="1"/>
  <c r="I59" i="1"/>
  <c r="H59" i="1"/>
  <c r="G59" i="1"/>
  <c r="E59" i="1"/>
  <c r="E61" i="1" s="1"/>
  <c r="D59" i="1"/>
  <c r="D61" i="1" s="1"/>
  <c r="D62" i="1" s="1"/>
  <c r="C59" i="1"/>
  <c r="F20" i="4"/>
  <c r="F22" i="4" s="1"/>
  <c r="F24" i="4" s="1"/>
  <c r="D20" i="4"/>
  <c r="D22" i="4" s="1"/>
  <c r="D24" i="4" s="1"/>
  <c r="C20" i="4"/>
  <c r="C22" i="4" s="1"/>
  <c r="C24" i="4" s="1"/>
  <c r="B20" i="4"/>
  <c r="B22" i="4" s="1"/>
  <c r="B24" i="4" s="1"/>
  <c r="F60" i="3"/>
  <c r="F59" i="3"/>
  <c r="C8" i="2"/>
  <c r="E6" i="2"/>
  <c r="D7" i="2"/>
  <c r="D8" i="2" s="1"/>
  <c r="O56" i="1" l="1"/>
  <c r="C61" i="1"/>
  <c r="D63" i="1"/>
  <c r="D64" i="1"/>
  <c r="O59" i="1"/>
  <c r="G61" i="1"/>
  <c r="D51" i="3"/>
  <c r="E28" i="3" s="1"/>
  <c r="E29" i="3" s="1"/>
  <c r="F61" i="3"/>
  <c r="H61" i="1"/>
  <c r="E62" i="1"/>
  <c r="I61" i="1"/>
  <c r="I62" i="1" s="1"/>
  <c r="E64" i="1" l="1"/>
  <c r="H62" i="1"/>
  <c r="H63" i="1" s="1"/>
  <c r="Q61" i="1"/>
  <c r="S61" i="1" s="1"/>
  <c r="G62" i="1"/>
  <c r="G63" i="1" s="1"/>
  <c r="S60" i="1"/>
  <c r="C62" i="1"/>
  <c r="C64" i="1" s="1"/>
  <c r="F63" i="3"/>
  <c r="S55" i="1"/>
  <c r="S56" i="1" s="1"/>
  <c r="O62" i="1"/>
  <c r="O64" i="1" s="1"/>
  <c r="O71" i="1" s="1"/>
  <c r="S59" i="1"/>
  <c r="E63" i="1"/>
  <c r="E11" i="3"/>
  <c r="E12" i="3" s="1"/>
  <c r="I63" i="1"/>
  <c r="G32" i="3" l="1"/>
  <c r="F33" i="3"/>
  <c r="G16" i="3"/>
  <c r="G17" i="3" s="1"/>
  <c r="G18" i="3" s="1"/>
  <c r="F15" i="3"/>
  <c r="F16" i="3" s="1"/>
  <c r="F17" i="3" s="1"/>
  <c r="F18" i="3" s="1"/>
  <c r="O69" i="1"/>
  <c r="O72" i="1" s="1"/>
  <c r="S62" i="1"/>
  <c r="S64" i="1" s="1"/>
  <c r="C63" i="1"/>
  <c r="Q64" i="1"/>
  <c r="F34" i="3" l="1"/>
  <c r="F35" i="3" s="1"/>
  <c r="G35" i="3"/>
  <c r="G37" i="3" s="1"/>
  <c r="S71" i="1"/>
  <c r="S69" i="1"/>
  <c r="S72" i="1" s="1"/>
  <c r="Q71" i="1"/>
  <c r="Q69" i="1"/>
  <c r="Q72" i="1" s="1"/>
  <c r="E18" i="3"/>
  <c r="E20" i="3" s="1"/>
  <c r="E34" i="3"/>
  <c r="E16" i="3"/>
  <c r="F20" i="3"/>
  <c r="G20" i="3"/>
  <c r="E35" i="3" l="1"/>
  <c r="D21" i="3"/>
  <c r="E37" i="3" l="1"/>
  <c r="D38" i="3" s="1"/>
  <c r="C43" i="3" s="1"/>
  <c r="C4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tc={991A0184-679D-44F6-AF38-95F966306407}</author>
  </authors>
  <commentList>
    <comment ref="D50" authorId="0" shapeId="0" xr:uid="{991A0184-679D-44F6-AF38-95F966306407}">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Nous avons utilisé la formule sans facteur pour le calcul du 25% restant. Le montant a ensuite été actualisé d’un an. Vous auriez également pu placer le résultat non actualisé dans le tableau à l’an 1.
</t>
      </text>
    </comment>
  </commentList>
</comments>
</file>

<file path=xl/sharedStrings.xml><?xml version="1.0" encoding="utf-8"?>
<sst xmlns="http://schemas.openxmlformats.org/spreadsheetml/2006/main" count="224" uniqueCount="180">
  <si>
    <t>Résumé des données des annexes 1 à 3</t>
  </si>
  <si>
    <t>Moteurs Malta Limitée</t>
  </si>
  <si>
    <t>Division des dispositifs</t>
  </si>
  <si>
    <t>DTA</t>
  </si>
  <si>
    <t xml:space="preserve">DTB </t>
  </si>
  <si>
    <t>GAMMA</t>
  </si>
  <si>
    <t xml:space="preserve">HPM1 </t>
  </si>
  <si>
    <t>Production et ventes (en unités)</t>
  </si>
  <si>
    <t>Prix de cession interne unitaire</t>
  </si>
  <si>
    <t>Prix de vente externe unitaire</t>
  </si>
  <si>
    <t>Coût unitaire:</t>
  </si>
  <si>
    <t>Dispositif DTA</t>
  </si>
  <si>
    <t>Matières premières</t>
  </si>
  <si>
    <t>Main-d'oeuvre directe</t>
  </si>
  <si>
    <t>Frais généraux de fabrication</t>
  </si>
  <si>
    <t>Frais de vente</t>
  </si>
  <si>
    <t>Frais généraux d'administration</t>
  </si>
  <si>
    <t>Coût unitaire total:</t>
  </si>
  <si>
    <t>Marge d’exploitation unitaire</t>
  </si>
  <si>
    <t>Marge d’exploitation (en pourcentage)</t>
  </si>
  <si>
    <t xml:space="preserve">Pour optimiser la production de la division Dispositifs, nous devons débuter par l'analyse de la capacité de production de la division. Objectif: savoir s'il est possible de produire le GAMMA si la production de DTA est maintenue à 14 000 unités par an ou si elle est réduite à 4 000 unités. Cela nous permettra de déterminer l'outil à utiliser pour la suite de l'analyse. </t>
  </si>
  <si>
    <t>Capacité requise par produits</t>
  </si>
  <si>
    <t>unités</t>
  </si>
  <si>
    <t>HM/u</t>
  </si>
  <si>
    <t>DTA à l'interne</t>
  </si>
  <si>
    <t>DTA partiellement externalisée</t>
  </si>
  <si>
    <t>DTB</t>
  </si>
  <si>
    <t>Échantillon GAMMA</t>
  </si>
  <si>
    <t>Production GAMMA</t>
  </si>
  <si>
    <t xml:space="preserve">A) La production de DTA est maintenue à 14 000 unités par an </t>
  </si>
  <si>
    <t>U</t>
  </si>
  <si>
    <t>HM</t>
  </si>
  <si>
    <t>DTA (demande de HPM1 en 2024)</t>
  </si>
  <si>
    <t>Capacité requise</t>
  </si>
  <si>
    <t>Capacité maximale</t>
  </si>
  <si>
    <t xml:space="preserve">Capacité restante: </t>
  </si>
  <si>
    <t xml:space="preserve">B) La production </t>
  </si>
  <si>
    <t>Capacité requise pour la production de Gamma</t>
  </si>
  <si>
    <t>Manque à gagner : entre 33 000 HM et 13 000 HM pour répondre à la demande de Gamma</t>
  </si>
  <si>
    <t>L'analyse de la capacité nous permet de constater qu'il est impossible de répondre à la demande pour le GAMMA sans procéder à l'investissement de 2M, et ce même si le DTA est produit à l'externe. Dans les deux cas, Dispositifs aurait la capacité de préparer les échantillons. Toutefois, comme la commande n'est pas garantie, Dispositif devrait procéder à l'investissement sans savoir si le contrat sera obtenu. Si le contrat n'est pas obtenu et que l'agrandissement est effectué, il faudra trouver d'autres contrats pour combler l'utilisation de la capacité. La décision de produire Gamma n'est donc pas liée au fait de produire à l'interne ou la l'externe le DTA.</t>
  </si>
  <si>
    <t xml:space="preserve">Suite à l'analyse de la capacité, nous avons deux questions à analyser: </t>
  </si>
  <si>
    <t>A)</t>
  </si>
  <si>
    <t xml:space="preserve">Doit-on annuler la commande de DTA à l'externe ou maintenir la commande (prise de décision à CT)? </t>
  </si>
  <si>
    <t>B)</t>
  </si>
  <si>
    <t>Doit-on procéder à l'investissement de 2M dans le but de produire le Gamma (prise de décision LT)?</t>
  </si>
  <si>
    <t>Calcul de la marge sur coût variable de tous les produits</t>
  </si>
  <si>
    <t xml:space="preserve">Production du DTA </t>
  </si>
  <si>
    <t>Interne</t>
  </si>
  <si>
    <t>Division Dispositifs</t>
  </si>
  <si>
    <t>Division Moteurs</t>
  </si>
  <si>
    <t>Dispositifs</t>
  </si>
  <si>
    <t>Moteurs</t>
  </si>
  <si>
    <t>MML</t>
  </si>
  <si>
    <t>HPM1</t>
  </si>
  <si>
    <t>Externe</t>
  </si>
  <si>
    <t>Unités</t>
  </si>
  <si>
    <t>Heures machine requises</t>
  </si>
  <si>
    <t xml:space="preserve">Ventes </t>
  </si>
  <si>
    <t>Prix de vente</t>
  </si>
  <si>
    <t>dispositif DTA</t>
  </si>
  <si>
    <t>total ventes</t>
  </si>
  <si>
    <t>MP</t>
  </si>
  <si>
    <t>MOD</t>
  </si>
  <si>
    <t>CV</t>
  </si>
  <si>
    <t>FGFv</t>
  </si>
  <si>
    <t>FVv</t>
  </si>
  <si>
    <t>HPM1 à l'interne</t>
  </si>
  <si>
    <t>Coût variable total</t>
  </si>
  <si>
    <t>HPM1 à l'externe</t>
  </si>
  <si>
    <t>MCV</t>
  </si>
  <si>
    <t>Total CV</t>
  </si>
  <si>
    <t>MCV en %</t>
  </si>
  <si>
    <t>interne</t>
  </si>
  <si>
    <t>gap</t>
  </si>
  <si>
    <t>MCV par HM</t>
  </si>
  <si>
    <t>Ordre de priorité</t>
  </si>
  <si>
    <t xml:space="preserve">Coûts fixes </t>
  </si>
  <si>
    <t>fabrication</t>
  </si>
  <si>
    <t>vente</t>
  </si>
  <si>
    <t>Administration</t>
  </si>
  <si>
    <t>Conclusion sur la rentabilité par produit</t>
  </si>
  <si>
    <t>Bénéfice d'exploitation</t>
  </si>
  <si>
    <t xml:space="preserve">Nous n'avons pas besoin d'utiliser la MCV/HM pour optimiser la capacité de production de la  la division Dispositifs puisque la capacité pour produire Gamma, même en abandonnant complètement de DTA. Nous utilisons cet exemple pour vous rappeler le concept. En se basant sur le prix du marché de 210 pour le DTA, Dispositif devrait d'abord produire le DTB, puis le Gamma et finalement le DTA. Toutefois, comme cette situation n'est pas envisageable, nous poursuivons notre analyse pour savoir si le contrat de production du DTA à l'externe doit être annulé ou non. </t>
  </si>
  <si>
    <t>mcv en %</t>
  </si>
  <si>
    <t xml:space="preserve">marge d'exploitation </t>
  </si>
  <si>
    <t>Capacité pour la division de dispositifs</t>
  </si>
  <si>
    <t xml:space="preserve">Unités </t>
  </si>
  <si>
    <t>Total -HM</t>
  </si>
  <si>
    <t>Commande GAMMA</t>
  </si>
  <si>
    <t>HM manquantes</t>
  </si>
  <si>
    <t>Quel est l'impact de la modification du PCI sur le bénéfice global de l'entreprise? Sur la performance des divisions? Utilisez la case C62 pour observer les impacts sur les EF de Malta</t>
  </si>
  <si>
    <t>La modification du PCI n'a pas d'impact sur le bénéfice global de l'entreprise puisque le profit de Dispositif devient un coût pour Moteurs. Par contre, la modification du PCI a un impact direct sur la marge d'exploitation des deux divisions. En modifiant le prix du DTA de 300$  au prix de 210$, la marge d'exploitation de Dispositifs passe de 18% à 3%, alors que celle de Moteurs passe de 17% à 28%.</t>
  </si>
  <si>
    <t>Est-il préférable de produire le DTA ou de l'acheter à l'externe?</t>
  </si>
  <si>
    <t>Pour analyser cette question, modifiez le la Cellule Q56 pour déterminer l'impact sur le profit de l'entreprise. Que concluez-vous ?</t>
  </si>
  <si>
    <t>Comment calculer directement la différence?</t>
  </si>
  <si>
    <t>Le DTA peut être produit à l'interne pour 150$ vs un prix externe de 210$</t>
  </si>
  <si>
    <t>Coût d'opportunité</t>
  </si>
  <si>
    <t>coût externe</t>
  </si>
  <si>
    <t>Coût interne</t>
  </si>
  <si>
    <t>coût d'opp par unité</t>
  </si>
  <si>
    <t>Unités commandées à l'ext.</t>
  </si>
  <si>
    <t>le PCI n'est pas pertinent à la prise de décision ici puisque les transactions internes seront éliminées pour la présentation du résultat de MML. Le profit actuel de 150 (soit prix 300 - cv 150) n'est pas un profit réel puisque le profit pour Dispositif devient un coût pour Moteurs. Il y a un coût d'opportunité de 600 000$ à acheter le DTA à l'externe. Comme le contrat est déjà signé et que l'annulation totale ou partielle du contrat cause des pénalités, nous devons analyser l'impact de l'annulation avant de prendre la décision. Voir l'onglet DCT</t>
  </si>
  <si>
    <t>Que devrions-nous modifier au fonctionnement actuel pour l'améliorer?</t>
  </si>
  <si>
    <t>Est-ce que transformer Dispositifs en centre de profit est une bonne idée?</t>
  </si>
  <si>
    <t>Avantage centre de profit</t>
  </si>
  <si>
    <t xml:space="preserve">En transformant Dispositifs en centre de profit, Malta optimise l'utilisation de la capacité de production de Dispositifs. En étant évalué sur la base de ses profits, Dispositifs est incité à développer ses marchés pour occuper la capacité excédentaire. Le DTB dégage une MCV totale de 2 225 000$, ce qui augmente la performance de Malta dans son ensemble. </t>
  </si>
  <si>
    <t>Avantage centre de coût</t>
  </si>
  <si>
    <t>Il serait possible de traiter la division Dispositifs comme un centre de coût et l'évaluer en fonction du contrôle des coûts et de la qualité. Toutefois, elle aurait peu d'incitatifs à développer des marchés pour sa capacité inutilisée. Pour que la division soit amenée à envisager d'autres occasions d'utiliser sa capacité inexploitée, le rendement de son directeur devrait être fondé, du moins en partie, sur le niveau du bénéfice global de la société et sur la réalisation des objectifs de cette dernière. En fondant la prime du directeur de la division des dispositifs sur la rentabilité de l'entreprise, on l'encouragera aussi à contrôler la qualité des produits et les coûts.</t>
  </si>
  <si>
    <t>Le PCI actuel semble poser problème. Analysez les options possibles en supposant que Dispositifs demeure un centre de profit?</t>
  </si>
  <si>
    <t>Prix du marché (fournisseur à 210$)</t>
  </si>
  <si>
    <t>Ce PCI a un impact important sur la marge d'exploitation de Dispositifs. Nous pouvons nous questionner sur la qualité et la fiabilité des DTA produit. Si ce PCI est choisi, il faudrait modifier la politique d'approvisionnement des deux divisions pour les obliger à transiger ensemble. Dispositifs devrait fournir en priorité Moteurs avant toute autre commande, de façon à ce que Dispositifs ne soit pas tentée de développer d'autres marchés plus rentables pour elle. L'évaluation de la performance de Dispositifs devrait être basée en partie sur le rendement de l'entreprise en son entier et sur une cible modifiée de la marge d'exploitation pour tenir compte de la faible marge dégagée sur le DTA</t>
  </si>
  <si>
    <t xml:space="preserve">PCI négocié </t>
  </si>
  <si>
    <t>Les deux divisions pourraient négocier un prix qui donnerait à chacune une part raisonnable de l'apport global à la société (coût différentiel) résultant de la cession interne. Pour inciter les divisions à collaborer, la politique d'approvisionnement devrait être modifiée pour forcer les divisions à transiger ensemble. Le prix fixé sera tributaire des habilités de négociation des gestionnaires.</t>
  </si>
  <si>
    <t>Coût + marge</t>
  </si>
  <si>
    <t>Ce PCI implique que Dispositifs transfère les DTA à leur coût et fait automatiquement une marge prédéterminée (situation actuelle). Cela ne l'incite pas à tenter de réduire les coûts et ne récompense pas nécessairement le niveau de qualité. Si ce PCI est choisi, il faudrait modifier l'évaluation de la performance pour y intégrer une mesure de la qualité du DTA</t>
  </si>
  <si>
    <t>Décision quant à l'approvisionnement en DTA (10 000 unités)</t>
  </si>
  <si>
    <t>Scénario 1</t>
  </si>
  <si>
    <t>Scénario 2</t>
  </si>
  <si>
    <t>Scénario 3</t>
  </si>
  <si>
    <t xml:space="preserve">Statu Quo </t>
  </si>
  <si>
    <t>Annulation</t>
  </si>
  <si>
    <t>Réduction</t>
  </si>
  <si>
    <t>Coût DTA pour DM (interne)</t>
  </si>
  <si>
    <t>Coût DTA pour DM (externe)</t>
  </si>
  <si>
    <t>Pénalité</t>
  </si>
  <si>
    <t>Coût total du scénario</t>
  </si>
  <si>
    <t>Différentiel (S3-S1)</t>
  </si>
  <si>
    <t>économie de coût</t>
  </si>
  <si>
    <t>Coût de la mauvaise décision</t>
  </si>
  <si>
    <t>Différentiel de coût</t>
  </si>
  <si>
    <t>Nous avons calculé précédemment que le coût d'opportunité à aller de l'avant avec le contrat des DTA à l'externe est de 600K$. Deux possibilités sont offertes à Moteurs pour la résiliation du contrat. Si le contrat est annulé complètement, qui correspond au scénario 2 de notre tableau, le coût total de l'approvisionnement sera de 1,752M$, soit le coût à l'interne du DTA plus la pénalité. Si le contrat est annulé partiellement, le coût total est de 1,72M$. Il serait donc plus avantageux quantitativement d'opter pour le scénario 3 et d'annuler partiellement la commande. Le coût de la mauvaise décision serait alors de 220K plutôt que 600K.</t>
  </si>
  <si>
    <t>Toutefois, en optant pour le scénario 3, Moteurs n'économise que 32 000$ et ne sera pas assuré du niveau de qualité.</t>
  </si>
  <si>
    <t>Avantage à annuler complètement la commande</t>
  </si>
  <si>
    <t xml:space="preserve"> Malta s'assure du niveau de qualité du DTA. Un problème au niveau de la qualité de ses moteurs aurait un impact sur la réputation de haute qualité des moteurs. </t>
  </si>
  <si>
    <t>Malta conserve les secrets de fabrication du DTA, ce qui va dans le sens de sa mission de posséder la technologie la plus récente</t>
  </si>
  <si>
    <t>Avantage à annuler partiellement</t>
  </si>
  <si>
    <t>La production à l'externe permet de développer une relation d'affaires avec un nouveau fournisseur. En cas de besoin de capacité supplémentaire nécessaire, cette option pourrait être intéressante.</t>
  </si>
  <si>
    <t>Recommandation</t>
  </si>
  <si>
    <t>Je recommande d'opter pour l'annulation complète pour préserver la qualité des dispositifs DTA ce qui s'aligne avec la mission de MML</t>
  </si>
  <si>
    <t>Analyse de l'investissement</t>
  </si>
  <si>
    <t>Tx d'impôt</t>
  </si>
  <si>
    <t>Taux d'actualisation</t>
  </si>
  <si>
    <t>VAN si MML obtient le contrat</t>
  </si>
  <si>
    <t>Année 0</t>
  </si>
  <si>
    <t>Année 1</t>
  </si>
  <si>
    <t>Année 2</t>
  </si>
  <si>
    <t>Coût de l'investissement</t>
  </si>
  <si>
    <t>Économie d'impôt (note 1)</t>
  </si>
  <si>
    <t>Investissement net</t>
  </si>
  <si>
    <t>an 0 : 500 unités * 225 an 1 et 2 :MCV * 8000 unités</t>
  </si>
  <si>
    <t>Impôt</t>
  </si>
  <si>
    <t xml:space="preserve">FMN: </t>
  </si>
  <si>
    <t>Flux annuels totaux</t>
  </si>
  <si>
    <t xml:space="preserve">VAN </t>
  </si>
  <si>
    <t>Van si MML n'obtient pas le contrat</t>
  </si>
  <si>
    <t>FM totaux (Note 2)</t>
  </si>
  <si>
    <t>VAN espérée</t>
  </si>
  <si>
    <t>Note 1: Calcul de l'économie d'impôt</t>
  </si>
  <si>
    <t>Années subséquentes</t>
  </si>
  <si>
    <t>Économie totale:</t>
  </si>
  <si>
    <t>Note 2: Calcul des flux monétaires totaux</t>
  </si>
  <si>
    <t>Flux monétaires</t>
  </si>
  <si>
    <t>Augmentation des FGF fixes</t>
  </si>
  <si>
    <t>FGF fixes totaux suivant l'investissement (120 000 HM @ 25$)</t>
  </si>
  <si>
    <t>FGF fixes totaux actuels (60 000 HM @ 30$)</t>
  </si>
  <si>
    <t>Augmentation annuelle des frais fixes</t>
  </si>
  <si>
    <t>Exclusion de l'amortissement comptable (2M / 2)</t>
  </si>
  <si>
    <t>Diminution annuelle des FM (Augmentation des FF)</t>
  </si>
  <si>
    <t>Conclusion quantitative</t>
  </si>
  <si>
    <t xml:space="preserve">Le projet est rentable avec une VAN de 386 130$ si Dispositifs obtient le contrat. Par contre, si le contrat n'est pas obtenu, la VAN est de - 1 287M$. Selon l'espérance mathématique en tenant compte de la probabilité de 75% d'obtenir le contrat, la VAN est de -32k$. D'un point de vue quantitatif, le projet n'est pas rentable. </t>
  </si>
  <si>
    <t>Avantages</t>
  </si>
  <si>
    <r>
      <t xml:space="preserve">L'investissement permet d'améliorer les processus, ce qui permettrait à Malta d'atteindre sa </t>
    </r>
    <r>
      <rPr>
        <b/>
        <sz val="11"/>
        <color theme="1"/>
        <rFont val="Calibri"/>
        <family val="2"/>
        <scheme val="minor"/>
      </rPr>
      <t>mission de posséder la technologie la plus récente</t>
    </r>
    <r>
      <rPr>
        <sz val="11"/>
        <color theme="1"/>
        <rFont val="Calibri"/>
        <family val="2"/>
        <scheme val="minor"/>
      </rPr>
      <t xml:space="preserve"> et lui procurerait un avantage concurrentiel important pour l'industrie</t>
    </r>
  </si>
  <si>
    <r>
      <t xml:space="preserve">Le nouveau processus permet d'augmenter la capacité de façon importante et soutiendrait </t>
    </r>
    <r>
      <rPr>
        <b/>
        <sz val="11"/>
        <color theme="1"/>
        <rFont val="Calibri"/>
        <family val="2"/>
        <scheme val="minor"/>
      </rPr>
      <t>l'objectif de Malta d'augmenter ses ventes de 10</t>
    </r>
    <r>
      <rPr>
        <sz val="11"/>
        <color theme="1"/>
        <rFont val="Calibri"/>
        <family val="2"/>
        <scheme val="minor"/>
      </rPr>
      <t>%. Si les ventes croissent à ce rythme, le besoin de capacité supplémentaire sera nécessaire rapidement.</t>
    </r>
  </si>
  <si>
    <r>
      <t xml:space="preserve">L'investissement permettra d'ajouter un produit à la gamme de Dispositifs, </t>
    </r>
    <r>
      <rPr>
        <b/>
        <sz val="11"/>
        <color theme="1"/>
        <rFont val="Calibri"/>
        <family val="2"/>
        <scheme val="minor"/>
      </rPr>
      <t>diversifiant ses sources de produits</t>
    </r>
    <r>
      <rPr>
        <sz val="11"/>
        <color theme="1"/>
        <rFont val="Calibri"/>
        <family val="2"/>
        <scheme val="minor"/>
      </rPr>
      <t xml:space="preserve"> ce qui réduit le risque  de la division</t>
    </r>
  </si>
  <si>
    <t>Inconvénients</t>
  </si>
  <si>
    <r>
      <t xml:space="preserve">Pour obtenir la capacité de production nécessaire à la production de Gamma, il faudra </t>
    </r>
    <r>
      <rPr>
        <b/>
        <sz val="11"/>
        <color theme="1"/>
        <rFont val="Calibri"/>
        <family val="2"/>
        <scheme val="minor"/>
      </rPr>
      <t>ajouter un quart de travail</t>
    </r>
    <r>
      <rPr>
        <sz val="11"/>
        <color theme="1"/>
        <rFont val="Calibri"/>
        <family val="2"/>
        <scheme val="minor"/>
      </rPr>
      <t>. Il peut être difficile de trouver de la main-d'œuvre qualifiée qui souhaite travailler de nuit.</t>
    </r>
  </si>
  <si>
    <t>Le travail de nuit a des impacts sur la santé de travailleurs, ce qui peut affecter la qualité du produit</t>
  </si>
  <si>
    <t>Si le contrat n'est pas octroyé, Dispositifs sera surcapacité de façon importante durant une période difficile à estimer</t>
  </si>
  <si>
    <t xml:space="preserve">Compte tenu du risque de ne pas obtenir le contrat et sa durée de 2 ans, la Van du projet est négative. Malgré l'avantage concurrentiel et la diversification des sources de produits, l'impact financier est trop important si le contrat n'est pas obtenu, je ne recommande donc pas de procéder à l'investissement. </t>
  </si>
  <si>
    <t xml:space="preserve">N'est pas un flux de trésorerie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</si>
</sst>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0.00\ &quot;$&quot;_);[Red]\(#,##0.00\ &quot;$&quot;\)"/>
    <numFmt numFmtId="43" formatCode="_ * #,##0.00_)_ ;_ * \(#,##0.00\)_ ;_ * &quot;-&quot;??_)_ ;_ @_ "/>
    <numFmt numFmtId="164" formatCode="_ * #,##0_)_ ;_ * \(#,##0\)_ ;_ * &quot;-&quot;??_)_ ;_ @_ "/>
    <numFmt numFmtId="165"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8" tint="0.59999389629810485"/>
        <bgColor indexed="64"/>
      </patternFill>
    </fill>
  </fills>
  <borders count="4">
    <border>
      <left/>
      <right/>
      <top/>
      <bottom/>
      <diagonal/>
    </border>
    <border>
      <left/>
      <right/>
      <top/>
      <bottom style="thin">
        <color indexed="64"/>
      </bottom>
      <diagonal/>
    </border>
    <border>
      <left/>
      <right/>
      <top style="thin">
        <color indexed="64"/>
      </top>
      <bottom style="medium">
        <color indexed="64"/>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62">
    <xf numFmtId="0" fontId="0" fillId="0" borderId="0" xfId="0"/>
    <xf numFmtId="0" fontId="0" fillId="0" borderId="0" xfId="0" applyAlignment="1">
      <alignment horizontal="center"/>
    </xf>
    <xf numFmtId="10" fontId="0" fillId="0" borderId="0" xfId="0" applyNumberFormat="1" applyAlignment="1">
      <alignment horizontal="center"/>
    </xf>
    <xf numFmtId="0" fontId="3" fillId="2" borderId="0" xfId="0" applyFont="1" applyFill="1" applyAlignment="1">
      <alignment horizontal="center"/>
    </xf>
    <xf numFmtId="3" fontId="0" fillId="0" borderId="0" xfId="0" applyNumberFormat="1"/>
    <xf numFmtId="3" fontId="0" fillId="0" borderId="1" xfId="0" applyNumberFormat="1" applyBorder="1"/>
    <xf numFmtId="3" fontId="0" fillId="0" borderId="0" xfId="0" applyNumberFormat="1" applyAlignment="1">
      <alignment horizontal="center"/>
    </xf>
    <xf numFmtId="3" fontId="0" fillId="0" borderId="1" xfId="0" applyNumberFormat="1" applyBorder="1" applyAlignment="1">
      <alignment horizontal="center"/>
    </xf>
    <xf numFmtId="3" fontId="2" fillId="0" borderId="0" xfId="0" applyNumberFormat="1" applyFont="1" applyAlignment="1">
      <alignment horizontal="center"/>
    </xf>
    <xf numFmtId="3" fontId="2" fillId="0" borderId="0" xfId="0" applyNumberFormat="1" applyFont="1"/>
    <xf numFmtId="9" fontId="0" fillId="0" borderId="0" xfId="0" applyNumberFormat="1"/>
    <xf numFmtId="9" fontId="0" fillId="0" borderId="0" xfId="1" applyFont="1"/>
    <xf numFmtId="0" fontId="0" fillId="0" borderId="0" xfId="0" applyAlignment="1">
      <alignment vertical="center" wrapText="1"/>
    </xf>
    <xf numFmtId="3" fontId="0" fillId="0" borderId="0" xfId="0" applyNumberFormat="1" applyAlignment="1">
      <alignment vertical="center" wrapText="1"/>
    </xf>
    <xf numFmtId="3" fontId="0" fillId="0" borderId="0" xfId="0" applyNumberFormat="1" applyAlignment="1">
      <alignment horizontal="left" vertical="center" wrapText="1" indent="4"/>
    </xf>
    <xf numFmtId="9" fontId="2" fillId="0" borderId="0" xfId="0" applyNumberFormat="1" applyFont="1"/>
    <xf numFmtId="0" fontId="2" fillId="0" borderId="0" xfId="0" applyFont="1"/>
    <xf numFmtId="3" fontId="2" fillId="0" borderId="0" xfId="0" applyNumberFormat="1" applyFont="1" applyAlignment="1">
      <alignment vertical="center" wrapText="1"/>
    </xf>
    <xf numFmtId="0" fontId="0" fillId="0" borderId="0" xfId="0" applyAlignment="1">
      <alignment horizontal="left"/>
    </xf>
    <xf numFmtId="3" fontId="2" fillId="0" borderId="0" xfId="0" applyNumberFormat="1" applyFont="1" applyAlignment="1">
      <alignment horizontal="center" wrapText="1"/>
    </xf>
    <xf numFmtId="3" fontId="2" fillId="0" borderId="2" xfId="0" applyNumberFormat="1" applyFont="1" applyBorder="1"/>
    <xf numFmtId="0" fontId="0" fillId="0" borderId="1" xfId="0" applyBorder="1" applyAlignment="1">
      <alignment horizontal="center"/>
    </xf>
    <xf numFmtId="0" fontId="2" fillId="0" borderId="0" xfId="0" applyFont="1" applyAlignment="1">
      <alignment horizontal="center"/>
    </xf>
    <xf numFmtId="0" fontId="0" fillId="0" borderId="1" xfId="0" applyBorder="1"/>
    <xf numFmtId="8" fontId="0" fillId="0" borderId="0" xfId="0" applyNumberFormat="1"/>
    <xf numFmtId="9" fontId="0" fillId="0" borderId="0" xfId="0" applyNumberFormat="1" applyAlignment="1">
      <alignment horizontal="right"/>
    </xf>
    <xf numFmtId="8" fontId="2" fillId="2" borderId="0" xfId="0" applyNumberFormat="1" applyFont="1" applyFill="1"/>
    <xf numFmtId="8" fontId="2" fillId="0" borderId="0" xfId="0" applyNumberFormat="1" applyFont="1"/>
    <xf numFmtId="164" fontId="0" fillId="0" borderId="0" xfId="2" applyNumberFormat="1" applyFont="1"/>
    <xf numFmtId="164" fontId="0" fillId="0" borderId="1" xfId="2" applyNumberFormat="1" applyFont="1" applyBorder="1"/>
    <xf numFmtId="164" fontId="2" fillId="0" borderId="0" xfId="2" applyNumberFormat="1" applyFont="1"/>
    <xf numFmtId="164" fontId="2" fillId="0" borderId="3" xfId="2" applyNumberFormat="1" applyFont="1" applyBorder="1"/>
    <xf numFmtId="164" fontId="0" fillId="0" borderId="0" xfId="2" applyNumberFormat="1" applyFont="1" applyBorder="1"/>
    <xf numFmtId="0" fontId="0" fillId="4" borderId="0" xfId="0" applyFill="1"/>
    <xf numFmtId="165" fontId="0" fillId="0" borderId="0" xfId="1" applyNumberFormat="1" applyFont="1"/>
    <xf numFmtId="164" fontId="0" fillId="0" borderId="0" xfId="0" applyNumberFormat="1"/>
    <xf numFmtId="0" fontId="0" fillId="0" borderId="0" xfId="0" applyAlignment="1">
      <alignment horizontal="centerContinuous"/>
    </xf>
    <xf numFmtId="0" fontId="0" fillId="0" borderId="0" xfId="0" applyAlignment="1">
      <alignment horizontal="left" wrapText="1"/>
    </xf>
    <xf numFmtId="0" fontId="2" fillId="0" borderId="0" xfId="0" applyFont="1" applyAlignment="1">
      <alignment horizontal="left"/>
    </xf>
    <xf numFmtId="0" fontId="0" fillId="0" borderId="0" xfId="0" applyAlignment="1">
      <alignment horizontal="right" wrapText="1"/>
    </xf>
    <xf numFmtId="0" fontId="2" fillId="0" borderId="0" xfId="0" applyFont="1" applyAlignment="1">
      <alignment wrapText="1"/>
    </xf>
    <xf numFmtId="164" fontId="2" fillId="4" borderId="0" xfId="2" applyNumberFormat="1" applyFont="1" applyFill="1"/>
    <xf numFmtId="0" fontId="0" fillId="5" borderId="0" xfId="0" applyFill="1" applyAlignment="1">
      <alignment horizontal="center"/>
    </xf>
    <xf numFmtId="164" fontId="0" fillId="0" borderId="1" xfId="0" applyNumberFormat="1" applyBorder="1"/>
    <xf numFmtId="0" fontId="2" fillId="6" borderId="0" xfId="0" applyFont="1" applyFill="1" applyAlignment="1">
      <alignment horizontal="center"/>
    </xf>
    <xf numFmtId="0" fontId="0" fillId="0" borderId="3" xfId="0" applyBorder="1" applyAlignment="1">
      <alignment horizontal="center"/>
    </xf>
    <xf numFmtId="164" fontId="1" fillId="0" borderId="0" xfId="2" applyNumberFormat="1" applyFont="1"/>
    <xf numFmtId="3" fontId="0" fillId="6" borderId="0" xfId="0" applyNumberFormat="1" applyFill="1"/>
    <xf numFmtId="3" fontId="0" fillId="6" borderId="0" xfId="0" applyNumberFormat="1" applyFill="1" applyAlignment="1">
      <alignment horizontal="center"/>
    </xf>
    <xf numFmtId="3" fontId="0" fillId="6" borderId="1" xfId="0" applyNumberFormat="1" applyFill="1" applyBorder="1" applyAlignment="1">
      <alignment horizontal="center"/>
    </xf>
    <xf numFmtId="3" fontId="2" fillId="3" borderId="0" xfId="0" applyNumberFormat="1" applyFont="1" applyFill="1" applyAlignment="1">
      <alignment horizontal="center"/>
    </xf>
    <xf numFmtId="0" fontId="3" fillId="0" borderId="0" xfId="0" applyFont="1"/>
    <xf numFmtId="0" fontId="0" fillId="0" borderId="0" xfId="0" applyAlignment="1">
      <alignment horizontal="center" wrapText="1"/>
    </xf>
    <xf numFmtId="0" fontId="0" fillId="0" borderId="0" xfId="0" applyAlignment="1">
      <alignment horizontal="left" wrapText="1"/>
    </xf>
    <xf numFmtId="0" fontId="2" fillId="0" borderId="0" xfId="0" applyFont="1" applyAlignment="1">
      <alignment horizontal="left" wrapText="1"/>
    </xf>
    <xf numFmtId="0" fontId="2" fillId="6" borderId="0" xfId="0" applyFont="1" applyFill="1" applyAlignment="1">
      <alignment horizontal="center" vertical="center" wrapText="1"/>
    </xf>
    <xf numFmtId="0" fontId="2" fillId="0" borderId="0" xfId="0" applyFont="1" applyAlignment="1">
      <alignment horizontal="left" vertical="top" wrapText="1"/>
    </xf>
    <xf numFmtId="3" fontId="0" fillId="0" borderId="0" xfId="0" applyNumberFormat="1" applyAlignment="1">
      <alignment horizontal="left" wrapText="1"/>
    </xf>
    <xf numFmtId="164" fontId="0" fillId="2" borderId="0" xfId="0" applyNumberFormat="1" applyFill="1"/>
    <xf numFmtId="3" fontId="0" fillId="2" borderId="0" xfId="0" applyNumberFormat="1" applyFill="1"/>
    <xf numFmtId="3" fontId="0" fillId="2" borderId="0" xfId="0" applyNumberFormat="1" applyFill="1" applyAlignment="1">
      <alignment horizontal="center"/>
    </xf>
    <xf numFmtId="3" fontId="0" fillId="2" borderId="1" xfId="0" applyNumberFormat="1" applyFill="1" applyBorder="1"/>
  </cellXfs>
  <cellStyles count="3">
    <cellStyle name="Milliers" xfId="2" builtinId="3"/>
    <cellStyle name="Normal" xfId="0" builtinId="0"/>
    <cellStyle name="Pourcentage" xfId="1" builtinId="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ie-Ève Quenneville" id="{00DAEEDD-7897-4382-845D-7F219E6CC94B}" userId="S::marie-eve.quenneville@hec.ca::1834e381-f276-462b-ad40-56932688273f" providerId="AD"/>
</personList>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50" dT="2024-11-11T20:28:38.32" personId="{00DAEEDD-7897-4382-845D-7F219E6CC94B}" id="{991A0184-679D-44F6-AF38-95F966306407}">
    <text xml:space="preserve">Nous avons utilisé la formule sans facteur pour le calcul du 25% restant. Le montant a ensuite été actualisé d’un an. Vous auriez également pu placer le résultat non actualisé dans le tableau à l’an 1.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8CAE-0608-4506-AE24-54840FD98F8E}">
  <dimension ref="A1:H24"/>
  <sheetViews>
    <sheetView workbookViewId="0">
      <selection activeCell="G31" sqref="G31"/>
    </sheetView>
  </sheetViews>
  <sheetFormatPr baseColWidth="10" defaultColWidth="11.44140625" defaultRowHeight="14.4" x14ac:dyDescent="0.3"/>
  <cols>
    <col min="1" max="1" width="38.88671875" customWidth="1"/>
    <col min="5" max="5" width="2.44140625" customWidth="1"/>
  </cols>
  <sheetData>
    <row r="1" spans="1:8" x14ac:dyDescent="0.3">
      <c r="B1" t="s">
        <v>0</v>
      </c>
    </row>
    <row r="2" spans="1:8" x14ac:dyDescent="0.3">
      <c r="B2" s="18" t="s">
        <v>1</v>
      </c>
    </row>
    <row r="3" spans="1:8" x14ac:dyDescent="0.3">
      <c r="B3" t="s">
        <v>2</v>
      </c>
    </row>
    <row r="6" spans="1:8" x14ac:dyDescent="0.3">
      <c r="A6" s="4"/>
      <c r="B6" s="8" t="s">
        <v>3</v>
      </c>
      <c r="C6" s="8" t="s">
        <v>4</v>
      </c>
      <c r="D6" s="19" t="s">
        <v>5</v>
      </c>
      <c r="E6" s="9"/>
      <c r="F6" s="19" t="s">
        <v>6</v>
      </c>
      <c r="G6" s="1"/>
      <c r="H6" s="1"/>
    </row>
    <row r="7" spans="1:8" x14ac:dyDescent="0.3">
      <c r="A7" s="4"/>
      <c r="B7" s="4"/>
      <c r="C7" s="4"/>
      <c r="D7" s="4"/>
      <c r="E7" s="4"/>
      <c r="F7" s="4"/>
    </row>
    <row r="8" spans="1:8" x14ac:dyDescent="0.3">
      <c r="A8" s="4"/>
      <c r="B8" s="4"/>
      <c r="C8" s="4"/>
      <c r="D8" s="4"/>
      <c r="E8" s="4"/>
      <c r="F8" s="4"/>
    </row>
    <row r="9" spans="1:8" x14ac:dyDescent="0.3">
      <c r="A9" s="17" t="s">
        <v>7</v>
      </c>
      <c r="B9" s="9">
        <v>14000</v>
      </c>
      <c r="C9" s="9">
        <v>25000</v>
      </c>
      <c r="D9" s="9"/>
      <c r="E9" s="9"/>
      <c r="F9" s="9">
        <v>14000</v>
      </c>
    </row>
    <row r="10" spans="1:8" x14ac:dyDescent="0.3">
      <c r="A10" s="17"/>
      <c r="B10" s="9"/>
      <c r="C10" s="9"/>
      <c r="D10" s="9"/>
      <c r="E10" s="9"/>
      <c r="F10" s="9"/>
    </row>
    <row r="11" spans="1:8" x14ac:dyDescent="0.3">
      <c r="A11" s="13" t="s">
        <v>8</v>
      </c>
      <c r="B11" s="4">
        <v>300</v>
      </c>
      <c r="C11" s="4"/>
      <c r="D11" s="4"/>
      <c r="E11" s="4"/>
      <c r="F11" s="4"/>
    </row>
    <row r="12" spans="1:8" x14ac:dyDescent="0.3">
      <c r="A12" s="13" t="s">
        <v>9</v>
      </c>
      <c r="B12" s="4"/>
      <c r="C12" s="4">
        <v>175</v>
      </c>
      <c r="D12" s="4">
        <v>700</v>
      </c>
      <c r="E12" s="4"/>
      <c r="F12" s="4">
        <v>820</v>
      </c>
    </row>
    <row r="13" spans="1:8" x14ac:dyDescent="0.3">
      <c r="A13" s="13" t="s">
        <v>10</v>
      </c>
      <c r="B13" s="4"/>
      <c r="C13" s="4"/>
      <c r="D13" s="4"/>
      <c r="E13" s="4"/>
      <c r="F13" s="4"/>
    </row>
    <row r="14" spans="1:8" x14ac:dyDescent="0.3">
      <c r="A14" s="14" t="s">
        <v>11</v>
      </c>
      <c r="B14" s="4"/>
      <c r="C14" s="4"/>
      <c r="D14" s="4"/>
      <c r="E14" s="4"/>
      <c r="F14" s="4">
        <v>300</v>
      </c>
    </row>
    <row r="15" spans="1:8" x14ac:dyDescent="0.3">
      <c r="A15" s="14" t="s">
        <v>12</v>
      </c>
      <c r="B15" s="4">
        <v>54</v>
      </c>
      <c r="C15" s="4">
        <v>22</v>
      </c>
      <c r="D15" s="4">
        <v>225</v>
      </c>
      <c r="E15" s="4"/>
      <c r="F15" s="4">
        <v>84</v>
      </c>
    </row>
    <row r="16" spans="1:8" x14ac:dyDescent="0.3">
      <c r="A16" s="14" t="s">
        <v>13</v>
      </c>
      <c r="B16" s="4">
        <v>40</v>
      </c>
      <c r="C16" s="4">
        <v>20</v>
      </c>
      <c r="D16" s="4">
        <v>100</v>
      </c>
      <c r="E16" s="4"/>
      <c r="F16" s="4">
        <v>72</v>
      </c>
    </row>
    <row r="17" spans="1:6" x14ac:dyDescent="0.3">
      <c r="A17" s="14" t="s">
        <v>14</v>
      </c>
      <c r="B17" s="4">
        <v>116</v>
      </c>
      <c r="C17" s="4">
        <v>58</v>
      </c>
      <c r="D17" s="4">
        <v>265</v>
      </c>
      <c r="E17" s="4"/>
      <c r="F17" s="4">
        <v>140</v>
      </c>
    </row>
    <row r="18" spans="1:6" x14ac:dyDescent="0.3">
      <c r="A18" s="14" t="s">
        <v>15</v>
      </c>
      <c r="B18" s="4">
        <v>0</v>
      </c>
      <c r="C18" s="4">
        <v>10</v>
      </c>
      <c r="D18" s="4">
        <v>10</v>
      </c>
      <c r="E18" s="4"/>
      <c r="F18" s="4">
        <v>20</v>
      </c>
    </row>
    <row r="19" spans="1:6" x14ac:dyDescent="0.3">
      <c r="A19" s="14" t="s">
        <v>16</v>
      </c>
      <c r="B19" s="5">
        <v>30</v>
      </c>
      <c r="C19" s="5">
        <v>30</v>
      </c>
      <c r="D19" s="5">
        <v>30</v>
      </c>
      <c r="E19" s="4"/>
      <c r="F19" s="5">
        <v>122</v>
      </c>
    </row>
    <row r="20" spans="1:6" x14ac:dyDescent="0.3">
      <c r="A20" s="13" t="s">
        <v>17</v>
      </c>
      <c r="B20" s="4">
        <f>+SUM(B15:B19)</f>
        <v>240</v>
      </c>
      <c r="C20" s="4">
        <f>+SUM(C15:C19)</f>
        <v>140</v>
      </c>
      <c r="D20" s="4">
        <f>+SUM(D15:D19)</f>
        <v>630</v>
      </c>
      <c r="E20" s="4"/>
      <c r="F20" s="4">
        <f>+SUM(F14:F19)</f>
        <v>738</v>
      </c>
    </row>
    <row r="21" spans="1:6" x14ac:dyDescent="0.3">
      <c r="A21" s="13"/>
      <c r="B21" s="4"/>
      <c r="C21" s="4"/>
      <c r="D21" s="4"/>
      <c r="E21" s="4"/>
      <c r="F21" s="4"/>
    </row>
    <row r="22" spans="1:6" ht="15" thickBot="1" x14ac:dyDescent="0.35">
      <c r="A22" s="13" t="s">
        <v>18</v>
      </c>
      <c r="B22" s="20">
        <f>+B11-B20</f>
        <v>60</v>
      </c>
      <c r="C22" s="20">
        <f>+C12-C20</f>
        <v>35</v>
      </c>
      <c r="D22" s="20">
        <f>+D12-D20</f>
        <v>70</v>
      </c>
      <c r="E22" s="9"/>
      <c r="F22" s="20">
        <f>+F12-F20</f>
        <v>82</v>
      </c>
    </row>
    <row r="23" spans="1:6" x14ac:dyDescent="0.3">
      <c r="A23" s="13"/>
      <c r="B23" s="4"/>
      <c r="C23" s="4"/>
      <c r="D23" s="4"/>
      <c r="E23" s="4"/>
      <c r="F23" s="4"/>
    </row>
    <row r="24" spans="1:6" x14ac:dyDescent="0.3">
      <c r="A24" s="12" t="s">
        <v>19</v>
      </c>
      <c r="B24" s="15">
        <f>+B22/B11</f>
        <v>0.2</v>
      </c>
      <c r="C24" s="15">
        <f>+C22/C12</f>
        <v>0.2</v>
      </c>
      <c r="D24" s="15">
        <f>+D22/D12</f>
        <v>0.1</v>
      </c>
      <c r="E24" s="16"/>
      <c r="F24" s="15">
        <f>+F22/F12</f>
        <v>0.1</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6B3D9-9542-42C1-9233-B4F35792B61C}">
  <dimension ref="A1:AA137"/>
  <sheetViews>
    <sheetView topLeftCell="A49" zoomScaleNormal="100" workbookViewId="0">
      <selection activeCell="F63" sqref="F63"/>
    </sheetView>
  </sheetViews>
  <sheetFormatPr baseColWidth="10" defaultColWidth="11.44140625" defaultRowHeight="14.4" x14ac:dyDescent="0.3"/>
  <cols>
    <col min="2" max="2" width="13.6640625" customWidth="1"/>
    <col min="3" max="3" width="11.109375" customWidth="1"/>
    <col min="4" max="4" width="12.109375" customWidth="1"/>
    <col min="5" max="5" width="9.6640625" customWidth="1"/>
    <col min="6" max="6" width="10.5546875" customWidth="1"/>
    <col min="10" max="10" width="10.88671875" hidden="1" customWidth="1"/>
    <col min="15" max="15" width="12.6640625" customWidth="1"/>
    <col min="16" max="16" width="1.5546875" customWidth="1"/>
    <col min="17" max="17" width="15.44140625" bestFit="1" customWidth="1"/>
    <col min="19" max="19" width="15.109375" bestFit="1" customWidth="1"/>
    <col min="25" max="27" width="0" hidden="1" customWidth="1"/>
  </cols>
  <sheetData>
    <row r="1" spans="1:8" x14ac:dyDescent="0.3">
      <c r="A1" s="54" t="s">
        <v>20</v>
      </c>
      <c r="B1" s="54"/>
      <c r="C1" s="54"/>
      <c r="D1" s="54"/>
      <c r="E1" s="54"/>
      <c r="F1" s="54"/>
      <c r="G1" s="54"/>
      <c r="H1" s="54"/>
    </row>
    <row r="2" spans="1:8" x14ac:dyDescent="0.3">
      <c r="A2" s="54"/>
      <c r="B2" s="54"/>
      <c r="C2" s="54"/>
      <c r="D2" s="54"/>
      <c r="E2" s="54"/>
      <c r="F2" s="54"/>
      <c r="G2" s="54"/>
      <c r="H2" s="54"/>
    </row>
    <row r="3" spans="1:8" x14ac:dyDescent="0.3">
      <c r="A3" s="54"/>
      <c r="B3" s="54"/>
      <c r="C3" s="54"/>
      <c r="D3" s="54"/>
      <c r="E3" s="54"/>
      <c r="F3" s="54"/>
      <c r="G3" s="54"/>
      <c r="H3" s="54"/>
    </row>
    <row r="4" spans="1:8" x14ac:dyDescent="0.3">
      <c r="A4" s="54"/>
      <c r="B4" s="54"/>
      <c r="C4" s="54"/>
      <c r="D4" s="54"/>
      <c r="E4" s="54"/>
      <c r="F4" s="54"/>
      <c r="G4" s="54"/>
      <c r="H4" s="54"/>
    </row>
    <row r="6" spans="1:8" x14ac:dyDescent="0.3">
      <c r="E6" s="4"/>
    </row>
    <row r="7" spans="1:8" x14ac:dyDescent="0.3">
      <c r="A7" s="16" t="s">
        <v>21</v>
      </c>
    </row>
    <row r="8" spans="1:8" x14ac:dyDescent="0.3">
      <c r="C8" t="s">
        <v>22</v>
      </c>
      <c r="D8" t="s">
        <v>23</v>
      </c>
    </row>
    <row r="9" spans="1:8" x14ac:dyDescent="0.3">
      <c r="A9" t="s">
        <v>24</v>
      </c>
      <c r="C9" s="4">
        <v>14000</v>
      </c>
      <c r="D9">
        <v>2</v>
      </c>
      <c r="F9">
        <f>C9*D9</f>
        <v>28000</v>
      </c>
    </row>
    <row r="10" spans="1:8" x14ac:dyDescent="0.3">
      <c r="A10" t="s">
        <v>25</v>
      </c>
      <c r="C10" s="4">
        <v>4000</v>
      </c>
      <c r="D10">
        <v>2</v>
      </c>
      <c r="F10">
        <f>C10*D10</f>
        <v>8000</v>
      </c>
    </row>
    <row r="11" spans="1:8" x14ac:dyDescent="0.3">
      <c r="A11" t="s">
        <v>26</v>
      </c>
      <c r="C11" s="4">
        <v>25000</v>
      </c>
      <c r="D11">
        <v>1</v>
      </c>
      <c r="F11">
        <f t="shared" ref="F11:F13" si="0">C11*D11</f>
        <v>25000</v>
      </c>
    </row>
    <row r="12" spans="1:8" x14ac:dyDescent="0.3">
      <c r="A12" t="s">
        <v>27</v>
      </c>
      <c r="C12">
        <v>500</v>
      </c>
      <c r="D12">
        <v>5</v>
      </c>
      <c r="F12">
        <f t="shared" si="0"/>
        <v>2500</v>
      </c>
    </row>
    <row r="13" spans="1:8" x14ac:dyDescent="0.3">
      <c r="A13" t="s">
        <v>28</v>
      </c>
      <c r="C13" s="4">
        <v>8000</v>
      </c>
      <c r="D13">
        <v>5</v>
      </c>
      <c r="F13" s="16">
        <f t="shared" si="0"/>
        <v>40000</v>
      </c>
    </row>
    <row r="15" spans="1:8" x14ac:dyDescent="0.3">
      <c r="A15" t="s">
        <v>29</v>
      </c>
    </row>
    <row r="16" spans="1:8" x14ac:dyDescent="0.3">
      <c r="D16" s="6" t="s">
        <v>30</v>
      </c>
      <c r="E16" s="1" t="s">
        <v>31</v>
      </c>
    </row>
    <row r="17" spans="1:6" x14ac:dyDescent="0.3">
      <c r="A17" t="s">
        <v>32</v>
      </c>
      <c r="D17" s="4">
        <v>14000</v>
      </c>
      <c r="E17">
        <v>2</v>
      </c>
      <c r="F17">
        <f>E17*D17</f>
        <v>28000</v>
      </c>
    </row>
    <row r="18" spans="1:6" x14ac:dyDescent="0.3">
      <c r="A18" t="s">
        <v>26</v>
      </c>
      <c r="D18" s="4">
        <v>25000</v>
      </c>
      <c r="E18">
        <v>1</v>
      </c>
      <c r="F18" s="23">
        <f>E18*D18</f>
        <v>25000</v>
      </c>
    </row>
    <row r="19" spans="1:6" x14ac:dyDescent="0.3">
      <c r="D19" s="4"/>
    </row>
    <row r="20" spans="1:6" x14ac:dyDescent="0.3">
      <c r="A20" t="s">
        <v>33</v>
      </c>
      <c r="D20" s="4"/>
      <c r="F20">
        <f>SUM(F17:F18)</f>
        <v>53000</v>
      </c>
    </row>
    <row r="21" spans="1:6" x14ac:dyDescent="0.3">
      <c r="A21" t="s">
        <v>34</v>
      </c>
      <c r="D21" s="4"/>
      <c r="F21" s="23">
        <f>60000</f>
        <v>60000</v>
      </c>
    </row>
    <row r="22" spans="1:6" x14ac:dyDescent="0.3">
      <c r="A22" t="s">
        <v>35</v>
      </c>
      <c r="D22" s="4"/>
      <c r="F22" s="16">
        <f>F21-F20</f>
        <v>7000</v>
      </c>
    </row>
    <row r="23" spans="1:6" x14ac:dyDescent="0.3">
      <c r="D23" s="4"/>
    </row>
    <row r="24" spans="1:6" x14ac:dyDescent="0.3">
      <c r="A24" t="s">
        <v>36</v>
      </c>
      <c r="D24" s="4"/>
    </row>
    <row r="25" spans="1:6" x14ac:dyDescent="0.3">
      <c r="D25" s="6" t="s">
        <v>30</v>
      </c>
      <c r="E25" s="1" t="s">
        <v>31</v>
      </c>
    </row>
    <row r="26" spans="1:6" x14ac:dyDescent="0.3">
      <c r="A26" t="s">
        <v>32</v>
      </c>
      <c r="D26" s="4">
        <v>4000</v>
      </c>
      <c r="E26">
        <v>2</v>
      </c>
      <c r="F26">
        <f>E26*D26</f>
        <v>8000</v>
      </c>
    </row>
    <row r="27" spans="1:6" x14ac:dyDescent="0.3">
      <c r="A27" t="s">
        <v>26</v>
      </c>
      <c r="D27" s="4">
        <v>25000</v>
      </c>
      <c r="E27">
        <v>1</v>
      </c>
      <c r="F27" s="23">
        <f>E27*D27</f>
        <v>25000</v>
      </c>
    </row>
    <row r="28" spans="1:6" x14ac:dyDescent="0.3">
      <c r="D28" s="4"/>
    </row>
    <row r="29" spans="1:6" x14ac:dyDescent="0.3">
      <c r="A29" t="s">
        <v>33</v>
      </c>
      <c r="D29" s="4"/>
      <c r="F29">
        <f>SUM(F26:F27)</f>
        <v>33000</v>
      </c>
    </row>
    <row r="30" spans="1:6" x14ac:dyDescent="0.3">
      <c r="A30" t="s">
        <v>34</v>
      </c>
      <c r="D30" s="4"/>
      <c r="F30" s="23">
        <f>60000</f>
        <v>60000</v>
      </c>
    </row>
    <row r="31" spans="1:6" x14ac:dyDescent="0.3">
      <c r="A31" t="s">
        <v>35</v>
      </c>
      <c r="D31" s="4"/>
      <c r="F31" s="16">
        <f>F30-F29</f>
        <v>27000</v>
      </c>
    </row>
    <row r="32" spans="1:6" x14ac:dyDescent="0.3">
      <c r="D32" s="4"/>
      <c r="F32" s="16"/>
    </row>
    <row r="33" spans="1:17" x14ac:dyDescent="0.3">
      <c r="A33" s="16" t="s">
        <v>37</v>
      </c>
      <c r="D33" s="4"/>
      <c r="F33" s="9">
        <v>40000</v>
      </c>
    </row>
    <row r="34" spans="1:17" x14ac:dyDescent="0.3">
      <c r="A34" t="s">
        <v>38</v>
      </c>
      <c r="D34" s="4"/>
    </row>
    <row r="35" spans="1:17" x14ac:dyDescent="0.3">
      <c r="D35" s="4"/>
    </row>
    <row r="36" spans="1:17" x14ac:dyDescent="0.3">
      <c r="A36" s="53" t="s">
        <v>39</v>
      </c>
      <c r="B36" s="53"/>
      <c r="C36" s="53"/>
      <c r="D36" s="53"/>
      <c r="E36" s="53"/>
      <c r="F36" s="53"/>
      <c r="G36" s="53"/>
      <c r="H36" s="53"/>
    </row>
    <row r="37" spans="1:17" x14ac:dyDescent="0.3">
      <c r="A37" s="53"/>
      <c r="B37" s="53"/>
      <c r="C37" s="53"/>
      <c r="D37" s="53"/>
      <c r="E37" s="53"/>
      <c r="F37" s="53"/>
      <c r="G37" s="53"/>
      <c r="H37" s="53"/>
    </row>
    <row r="38" spans="1:17" x14ac:dyDescent="0.3">
      <c r="A38" s="53"/>
      <c r="B38" s="53"/>
      <c r="C38" s="53"/>
      <c r="D38" s="53"/>
      <c r="E38" s="53"/>
      <c r="F38" s="53"/>
      <c r="G38" s="53"/>
      <c r="H38" s="53"/>
    </row>
    <row r="39" spans="1:17" x14ac:dyDescent="0.3">
      <c r="A39" s="53"/>
      <c r="B39" s="53"/>
      <c r="C39" s="53"/>
      <c r="D39" s="53"/>
      <c r="E39" s="53"/>
      <c r="F39" s="53"/>
      <c r="G39" s="53"/>
      <c r="H39" s="53"/>
    </row>
    <row r="40" spans="1:17" ht="48.6" customHeight="1" x14ac:dyDescent="0.3">
      <c r="A40" s="53"/>
      <c r="B40" s="53"/>
      <c r="C40" s="53"/>
      <c r="D40" s="53"/>
      <c r="E40" s="53"/>
      <c r="F40" s="53"/>
      <c r="G40" s="53"/>
      <c r="H40" s="53"/>
    </row>
    <row r="41" spans="1:17" ht="14.4" customHeight="1" x14ac:dyDescent="0.3">
      <c r="A41" s="37"/>
      <c r="B41" s="37"/>
      <c r="C41" s="37"/>
      <c r="D41" s="37"/>
      <c r="E41" s="37"/>
      <c r="F41" s="37"/>
      <c r="G41" s="37"/>
      <c r="H41" s="37"/>
    </row>
    <row r="42" spans="1:17" ht="14.4" customHeight="1" x14ac:dyDescent="0.3">
      <c r="A42" s="38" t="s">
        <v>40</v>
      </c>
      <c r="B42" s="37"/>
      <c r="C42" s="37"/>
      <c r="D42" s="37"/>
      <c r="E42" s="37"/>
      <c r="F42" s="37"/>
      <c r="G42" s="37"/>
      <c r="H42" s="37"/>
    </row>
    <row r="43" spans="1:17" x14ac:dyDescent="0.3">
      <c r="A43" s="39" t="s">
        <v>41</v>
      </c>
      <c r="B43" s="18" t="s">
        <v>42</v>
      </c>
      <c r="C43" s="37"/>
      <c r="D43" s="37"/>
      <c r="E43" s="37"/>
      <c r="F43" s="37"/>
      <c r="G43" s="37"/>
      <c r="H43" s="37"/>
    </row>
    <row r="44" spans="1:17" x14ac:dyDescent="0.3">
      <c r="A44" s="39" t="s">
        <v>43</v>
      </c>
      <c r="B44" s="18" t="s">
        <v>44</v>
      </c>
      <c r="C44" s="37"/>
      <c r="D44" s="37"/>
      <c r="E44" s="37"/>
      <c r="F44" s="37"/>
      <c r="G44" s="37"/>
      <c r="H44" s="37"/>
    </row>
    <row r="45" spans="1:17" ht="14.4" customHeight="1" x14ac:dyDescent="0.3">
      <c r="A45" s="37"/>
      <c r="B45" s="37"/>
      <c r="C45" s="37"/>
      <c r="D45" s="37"/>
      <c r="E45" s="37"/>
      <c r="F45" s="37"/>
      <c r="G45" s="37"/>
      <c r="H45" s="37"/>
    </row>
    <row r="46" spans="1:17" x14ac:dyDescent="0.3">
      <c r="A46" s="16" t="s">
        <v>45</v>
      </c>
    </row>
    <row r="47" spans="1:17" x14ac:dyDescent="0.3">
      <c r="A47" s="16"/>
    </row>
    <row r="48" spans="1:17" x14ac:dyDescent="0.3">
      <c r="A48" s="16"/>
      <c r="N48" t="s">
        <v>46</v>
      </c>
      <c r="Q48" s="33" t="s">
        <v>47</v>
      </c>
    </row>
    <row r="49" spans="1:27" x14ac:dyDescent="0.3">
      <c r="A49" s="16"/>
    </row>
    <row r="50" spans="1:27" x14ac:dyDescent="0.3">
      <c r="C50" s="36" t="s">
        <v>48</v>
      </c>
      <c r="D50" s="36"/>
      <c r="E50" s="36"/>
      <c r="G50" s="36" t="s">
        <v>49</v>
      </c>
      <c r="H50" s="36"/>
      <c r="I50" s="36"/>
      <c r="O50" s="16" t="s">
        <v>50</v>
      </c>
      <c r="Q50" s="16" t="s">
        <v>51</v>
      </c>
      <c r="S50" s="16" t="s">
        <v>52</v>
      </c>
      <c r="Y50">
        <v>8000</v>
      </c>
      <c r="Z50">
        <v>14000</v>
      </c>
      <c r="AA50" t="s">
        <v>47</v>
      </c>
    </row>
    <row r="51" spans="1:27" x14ac:dyDescent="0.3">
      <c r="C51" s="1" t="s">
        <v>3</v>
      </c>
      <c r="D51" s="1" t="s">
        <v>26</v>
      </c>
      <c r="E51" s="1" t="s">
        <v>5</v>
      </c>
      <c r="F51" s="1"/>
      <c r="G51" s="1" t="s">
        <v>53</v>
      </c>
      <c r="H51" s="1" t="s">
        <v>53</v>
      </c>
      <c r="I51" s="1" t="s">
        <v>53</v>
      </c>
      <c r="Y51">
        <v>0</v>
      </c>
      <c r="Z51">
        <v>0</v>
      </c>
      <c r="AA51" t="s">
        <v>54</v>
      </c>
    </row>
    <row r="52" spans="1:27" x14ac:dyDescent="0.3">
      <c r="A52" t="s">
        <v>55</v>
      </c>
      <c r="C52" s="6">
        <f>D77</f>
        <v>14000</v>
      </c>
      <c r="D52" s="6">
        <f>D78</f>
        <v>25000</v>
      </c>
      <c r="E52" s="6">
        <v>0</v>
      </c>
      <c r="F52" s="1"/>
      <c r="G52" s="6">
        <f>$C$52</f>
        <v>14000</v>
      </c>
      <c r="H52" s="6">
        <f t="shared" ref="H52:I52" si="1">$C$52</f>
        <v>14000</v>
      </c>
      <c r="I52" s="6">
        <f t="shared" si="1"/>
        <v>14000</v>
      </c>
      <c r="O52" s="28"/>
      <c r="P52" s="28"/>
      <c r="Q52" s="28"/>
      <c r="R52" s="28"/>
      <c r="S52" s="28"/>
      <c r="T52" s="28"/>
      <c r="U52" s="28"/>
      <c r="V52" s="28"/>
      <c r="W52" s="28"/>
    </row>
    <row r="53" spans="1:27" x14ac:dyDescent="0.3">
      <c r="A53" t="s">
        <v>56</v>
      </c>
      <c r="C53" s="1">
        <v>2</v>
      </c>
      <c r="D53" s="1">
        <v>1</v>
      </c>
      <c r="E53" s="1">
        <v>5</v>
      </c>
      <c r="F53" s="1"/>
      <c r="G53" s="1">
        <v>5</v>
      </c>
      <c r="H53" s="1">
        <v>5</v>
      </c>
      <c r="I53" s="1">
        <v>5</v>
      </c>
      <c r="M53" t="s">
        <v>57</v>
      </c>
      <c r="N53" t="s">
        <v>3</v>
      </c>
      <c r="O53" s="28">
        <f>IF(Q48=AA50,C54*C52,4000*C54)</f>
        <v>2940000</v>
      </c>
      <c r="P53" s="28"/>
      <c r="Q53" s="28"/>
      <c r="R53" s="28"/>
      <c r="S53" s="28">
        <v>0</v>
      </c>
      <c r="T53" s="28"/>
      <c r="U53" s="28"/>
      <c r="V53" s="28"/>
      <c r="W53" s="28"/>
    </row>
    <row r="54" spans="1:27" x14ac:dyDescent="0.3">
      <c r="A54" t="s">
        <v>58</v>
      </c>
      <c r="C54" s="42">
        <v>210</v>
      </c>
      <c r="D54" s="1">
        <v>175</v>
      </c>
      <c r="E54" s="1">
        <v>700</v>
      </c>
      <c r="F54" s="1"/>
      <c r="G54" s="1">
        <v>820</v>
      </c>
      <c r="H54" s="1">
        <v>820</v>
      </c>
      <c r="I54" s="1">
        <v>820</v>
      </c>
      <c r="N54" t="s">
        <v>26</v>
      </c>
      <c r="O54" s="28">
        <f>D52*D54</f>
        <v>4375000</v>
      </c>
      <c r="P54" s="28"/>
      <c r="Q54" s="28"/>
      <c r="R54" s="28"/>
      <c r="S54" s="28">
        <f>O54</f>
        <v>4375000</v>
      </c>
      <c r="T54" s="28"/>
      <c r="U54" s="28"/>
      <c r="V54" s="28"/>
      <c r="W54" s="28"/>
    </row>
    <row r="55" spans="1:27" x14ac:dyDescent="0.3">
      <c r="C55" s="1"/>
      <c r="D55" s="1"/>
      <c r="E55" s="1"/>
      <c r="F55" s="1"/>
      <c r="G55" s="1"/>
      <c r="H55" s="1"/>
      <c r="I55" s="1"/>
      <c r="N55" t="s">
        <v>53</v>
      </c>
      <c r="O55" s="29"/>
      <c r="P55" s="28"/>
      <c r="Q55" s="29">
        <f>G52*G54</f>
        <v>11480000</v>
      </c>
      <c r="R55" s="28"/>
      <c r="S55" s="29">
        <f>Q55</f>
        <v>11480000</v>
      </c>
      <c r="T55" s="28"/>
      <c r="U55" s="28"/>
      <c r="V55" s="28"/>
      <c r="W55" s="28"/>
    </row>
    <row r="56" spans="1:27" x14ac:dyDescent="0.3">
      <c r="A56" t="s">
        <v>59</v>
      </c>
      <c r="C56" s="1">
        <v>0</v>
      </c>
      <c r="D56" s="1">
        <v>0</v>
      </c>
      <c r="E56" s="1">
        <v>0</v>
      </c>
      <c r="F56" s="1"/>
      <c r="G56" s="3">
        <v>150</v>
      </c>
      <c r="H56" s="3">
        <v>210</v>
      </c>
      <c r="I56" s="3">
        <v>300</v>
      </c>
      <c r="J56" s="3">
        <v>0</v>
      </c>
      <c r="M56" t="s">
        <v>60</v>
      </c>
      <c r="O56" s="30">
        <f>SUM(O53:O55)</f>
        <v>7315000</v>
      </c>
      <c r="P56" s="28"/>
      <c r="Q56" s="30">
        <f>SUM(Q53:Q55)</f>
        <v>11480000</v>
      </c>
      <c r="R56" s="28"/>
      <c r="S56" s="30">
        <f>SUM(S53:S55)</f>
        <v>15855000</v>
      </c>
      <c r="T56" s="28"/>
      <c r="U56" s="28"/>
      <c r="V56" s="28"/>
      <c r="W56" s="28"/>
    </row>
    <row r="57" spans="1:27" x14ac:dyDescent="0.3">
      <c r="A57" t="s">
        <v>61</v>
      </c>
      <c r="C57" s="1">
        <v>54</v>
      </c>
      <c r="D57" s="1">
        <v>22</v>
      </c>
      <c r="E57" s="1">
        <v>225</v>
      </c>
      <c r="F57" s="1"/>
      <c r="G57" s="1">
        <v>84</v>
      </c>
      <c r="H57" s="1">
        <v>84</v>
      </c>
      <c r="I57" s="1">
        <v>84</v>
      </c>
      <c r="R57" s="28"/>
      <c r="S57" s="28"/>
      <c r="T57" s="28"/>
      <c r="U57" s="28"/>
      <c r="V57" s="28"/>
      <c r="W57" s="28"/>
    </row>
    <row r="58" spans="1:27" x14ac:dyDescent="0.3">
      <c r="A58" t="s">
        <v>62</v>
      </c>
      <c r="C58" s="1">
        <v>40</v>
      </c>
      <c r="D58" s="1">
        <v>20</v>
      </c>
      <c r="E58" s="1">
        <v>100</v>
      </c>
      <c r="F58" s="1"/>
      <c r="G58" s="1">
        <v>72</v>
      </c>
      <c r="H58" s="1">
        <v>72</v>
      </c>
      <c r="I58" s="1">
        <v>72</v>
      </c>
      <c r="M58" t="s">
        <v>63</v>
      </c>
      <c r="N58" t="s">
        <v>3</v>
      </c>
      <c r="O58" s="28">
        <f>IF(Q48=AA50,14000*C61,4000*C61)</f>
        <v>2100000</v>
      </c>
      <c r="P58" s="28"/>
      <c r="Q58" s="28"/>
      <c r="R58" s="28"/>
      <c r="S58" s="28"/>
      <c r="T58" s="28"/>
      <c r="U58" s="28"/>
      <c r="V58" s="28"/>
      <c r="W58" s="28"/>
    </row>
    <row r="59" spans="1:27" x14ac:dyDescent="0.3">
      <c r="A59" t="s">
        <v>64</v>
      </c>
      <c r="C59" s="1">
        <f>C53*28</f>
        <v>56</v>
      </c>
      <c r="D59" s="1">
        <f>D53*28</f>
        <v>28</v>
      </c>
      <c r="E59" s="1">
        <f>E53*28</f>
        <v>140</v>
      </c>
      <c r="F59" s="1"/>
      <c r="G59" s="1">
        <f>G53*16</f>
        <v>80</v>
      </c>
      <c r="H59" s="1">
        <f>H53*16</f>
        <v>80</v>
      </c>
      <c r="I59" s="1">
        <f>I53*16</f>
        <v>80</v>
      </c>
      <c r="N59" t="s">
        <v>26</v>
      </c>
      <c r="O59" s="28">
        <f>D52*D61</f>
        <v>1850000</v>
      </c>
      <c r="P59" s="28"/>
      <c r="Q59" s="28"/>
      <c r="R59" s="28"/>
      <c r="S59" s="28">
        <f>O59</f>
        <v>1850000</v>
      </c>
      <c r="T59" s="28"/>
      <c r="U59" s="28"/>
      <c r="V59" s="28"/>
      <c r="W59" s="28"/>
    </row>
    <row r="60" spans="1:27" x14ac:dyDescent="0.3">
      <c r="A60" t="s">
        <v>65</v>
      </c>
      <c r="C60" s="21">
        <v>0</v>
      </c>
      <c r="D60" s="21">
        <v>4</v>
      </c>
      <c r="E60" s="21">
        <v>10</v>
      </c>
      <c r="F60" s="1"/>
      <c r="G60" s="21">
        <f>30%*20</f>
        <v>6</v>
      </c>
      <c r="H60" s="21">
        <f t="shared" ref="H60:I60" si="2">30%*20</f>
        <v>6</v>
      </c>
      <c r="I60" s="21">
        <f t="shared" si="2"/>
        <v>6</v>
      </c>
      <c r="N60" t="s">
        <v>66</v>
      </c>
      <c r="O60" s="32"/>
      <c r="P60" s="32"/>
      <c r="Q60" s="32">
        <f>IF(Q48=AA50,G52*(C54+C57+C58+C59+C60),4000*((C54+C57+C58+C59+C60)))</f>
        <v>5040000</v>
      </c>
      <c r="R60" s="32"/>
      <c r="S60" s="32">
        <f>IF(Q48=AA50,G52*G61,4000*G61)</f>
        <v>5488000</v>
      </c>
      <c r="T60" s="28"/>
      <c r="U60" s="28"/>
      <c r="V60" s="28"/>
      <c r="W60" s="28"/>
    </row>
    <row r="61" spans="1:27" x14ac:dyDescent="0.3">
      <c r="A61" t="s">
        <v>67</v>
      </c>
      <c r="C61" s="45">
        <f>SUM(C57:C60)</f>
        <v>150</v>
      </c>
      <c r="D61" s="45">
        <f>SUM(D57:D60)</f>
        <v>74</v>
      </c>
      <c r="E61" s="45">
        <f>SUM(E57:E60)</f>
        <v>475</v>
      </c>
      <c r="F61" s="1"/>
      <c r="G61" s="45">
        <f>SUM(G56:G60)</f>
        <v>392</v>
      </c>
      <c r="H61" s="45">
        <f>SUM(H56:H60)</f>
        <v>452</v>
      </c>
      <c r="I61" s="45">
        <f>SUM(I56:I60)</f>
        <v>542</v>
      </c>
      <c r="N61" t="s">
        <v>68</v>
      </c>
      <c r="O61" s="29"/>
      <c r="P61" s="28"/>
      <c r="Q61" s="29">
        <f>IF(Q48=AA51,H61*10000,0)</f>
        <v>0</v>
      </c>
      <c r="R61" s="28"/>
      <c r="S61" s="28">
        <f>Q61</f>
        <v>0</v>
      </c>
      <c r="T61" s="28"/>
      <c r="U61" s="28"/>
      <c r="V61" s="28"/>
      <c r="W61" s="28"/>
    </row>
    <row r="62" spans="1:27" x14ac:dyDescent="0.3">
      <c r="A62" s="16" t="s">
        <v>69</v>
      </c>
      <c r="B62" s="16"/>
      <c r="C62" s="22">
        <f>+C54-C61</f>
        <v>60</v>
      </c>
      <c r="D62" s="22">
        <f>+D54-D61</f>
        <v>101</v>
      </c>
      <c r="E62" s="22">
        <f>+E54-E61</f>
        <v>225</v>
      </c>
      <c r="F62" s="22"/>
      <c r="G62" s="22">
        <f>+G54-G61</f>
        <v>428</v>
      </c>
      <c r="H62" s="22">
        <f>+H54-H61</f>
        <v>368</v>
      </c>
      <c r="I62" s="22">
        <f>+I54-I61</f>
        <v>278</v>
      </c>
      <c r="M62" t="s">
        <v>70</v>
      </c>
      <c r="O62" s="31">
        <f>SUM(O58:O60)</f>
        <v>3950000</v>
      </c>
      <c r="P62" s="28"/>
      <c r="Q62" s="31">
        <f>SUM(Q58:Q60)</f>
        <v>5040000</v>
      </c>
      <c r="R62" s="28"/>
      <c r="S62" s="31">
        <f>SUM(S58:S61)</f>
        <v>7338000</v>
      </c>
      <c r="T62" s="28"/>
      <c r="U62" s="28"/>
      <c r="V62" s="28"/>
      <c r="W62" s="28"/>
    </row>
    <row r="63" spans="1:27" x14ac:dyDescent="0.3">
      <c r="A63" t="s">
        <v>71</v>
      </c>
      <c r="C63" s="2">
        <f>+C62/C54</f>
        <v>0.2857142857142857</v>
      </c>
      <c r="D63" s="2">
        <f>+D62/D54</f>
        <v>0.57714285714285718</v>
      </c>
      <c r="E63" s="2">
        <f>+E62/E54</f>
        <v>0.32142857142857145</v>
      </c>
      <c r="F63" s="1"/>
      <c r="G63" s="2">
        <f>+G62/G54</f>
        <v>0.52195121951219514</v>
      </c>
      <c r="H63" s="2">
        <f>+H62/H54</f>
        <v>0.44878048780487806</v>
      </c>
      <c r="I63" s="2">
        <f>+I62/I54</f>
        <v>0.33902439024390246</v>
      </c>
      <c r="P63" s="28"/>
      <c r="R63" s="28"/>
      <c r="S63" s="28"/>
      <c r="T63" s="28"/>
      <c r="U63" s="30" t="s">
        <v>72</v>
      </c>
      <c r="V63" s="30" t="s">
        <v>54</v>
      </c>
      <c r="W63" s="30" t="s">
        <v>73</v>
      </c>
    </row>
    <row r="64" spans="1:27" x14ac:dyDescent="0.3">
      <c r="A64" s="16" t="s">
        <v>74</v>
      </c>
      <c r="B64" s="16"/>
      <c r="C64" s="22">
        <f>+C62/C53</f>
        <v>30</v>
      </c>
      <c r="D64" s="22">
        <f>+D62/D53</f>
        <v>101</v>
      </c>
      <c r="E64" s="22">
        <f>+E62/E53</f>
        <v>45</v>
      </c>
      <c r="F64" s="1"/>
      <c r="G64" s="1"/>
      <c r="H64" s="1"/>
      <c r="I64" s="1"/>
      <c r="M64" t="s">
        <v>69</v>
      </c>
      <c r="O64" s="30">
        <f>O56-O62</f>
        <v>3365000</v>
      </c>
      <c r="P64" s="30"/>
      <c r="Q64" s="30">
        <f>Q56-Q62</f>
        <v>6440000</v>
      </c>
      <c r="R64" s="28"/>
      <c r="S64" s="41">
        <f>S56-S62</f>
        <v>8517000</v>
      </c>
      <c r="T64" s="28"/>
      <c r="U64" s="30">
        <v>8517000</v>
      </c>
      <c r="V64" s="30">
        <v>7917000</v>
      </c>
      <c r="W64" s="28">
        <f>U64-V64</f>
        <v>600000</v>
      </c>
    </row>
    <row r="65" spans="1:23" x14ac:dyDescent="0.3">
      <c r="A65" t="s">
        <v>75</v>
      </c>
      <c r="C65" s="44">
        <v>3</v>
      </c>
      <c r="D65" s="44">
        <v>1</v>
      </c>
      <c r="E65" s="44">
        <v>2</v>
      </c>
      <c r="O65" s="28"/>
      <c r="P65" s="28"/>
      <c r="Q65" s="28"/>
      <c r="R65" s="28"/>
      <c r="S65" s="28"/>
      <c r="T65" s="28"/>
      <c r="U65" s="28"/>
      <c r="V65" s="28"/>
      <c r="W65" s="28"/>
    </row>
    <row r="66" spans="1:23" x14ac:dyDescent="0.3">
      <c r="M66" t="s">
        <v>76</v>
      </c>
      <c r="N66" t="s">
        <v>77</v>
      </c>
      <c r="O66" s="28">
        <f>60000*30</f>
        <v>1800000</v>
      </c>
      <c r="Q66" s="28">
        <f>12*100000</f>
        <v>1200000</v>
      </c>
      <c r="S66" s="35">
        <f>O66+Q66</f>
        <v>3000000</v>
      </c>
      <c r="T66" s="28"/>
      <c r="U66" s="28"/>
      <c r="V66" s="28"/>
      <c r="W66" s="28"/>
    </row>
    <row r="67" spans="1:23" x14ac:dyDescent="0.3">
      <c r="N67" t="s">
        <v>78</v>
      </c>
      <c r="O67" s="28">
        <f>(60%*10)*25000</f>
        <v>150000</v>
      </c>
      <c r="Q67" s="28">
        <f>20*14000</f>
        <v>280000</v>
      </c>
      <c r="S67" s="35">
        <f t="shared" ref="S67:S68" si="3">O67+Q67</f>
        <v>430000</v>
      </c>
      <c r="T67" s="28"/>
      <c r="U67" s="28"/>
      <c r="V67" s="28"/>
      <c r="W67" s="28"/>
    </row>
    <row r="68" spans="1:23" x14ac:dyDescent="0.3">
      <c r="N68" t="s">
        <v>79</v>
      </c>
      <c r="O68" s="29">
        <f>(30*14000)+(30*25000)</f>
        <v>1170000</v>
      </c>
      <c r="Q68" s="29">
        <f>122*14000</f>
        <v>1708000</v>
      </c>
      <c r="S68" s="43">
        <f t="shared" si="3"/>
        <v>2878000</v>
      </c>
    </row>
    <row r="69" spans="1:23" ht="13.5" customHeight="1" x14ac:dyDescent="0.3">
      <c r="A69" s="16" t="s">
        <v>80</v>
      </c>
      <c r="M69" t="s">
        <v>81</v>
      </c>
      <c r="O69" s="35">
        <f>O64-(SUM(O66:O68))</f>
        <v>245000</v>
      </c>
      <c r="Q69" s="35">
        <f>Q64-(SUM(Q66:Q68))</f>
        <v>3252000</v>
      </c>
      <c r="S69" s="58">
        <f>S64-(SUM(S66:S68))</f>
        <v>2209000</v>
      </c>
      <c r="U69" s="30">
        <v>2209000</v>
      </c>
      <c r="V69" s="30">
        <v>1609000</v>
      </c>
      <c r="W69" s="46">
        <f>U69-V69</f>
        <v>600000</v>
      </c>
    </row>
    <row r="70" spans="1:23" ht="13.5" customHeight="1" x14ac:dyDescent="0.3">
      <c r="A70" s="16"/>
      <c r="O70" s="34"/>
      <c r="P70" s="28"/>
      <c r="Q70" s="34"/>
      <c r="R70" s="28"/>
      <c r="S70" s="34"/>
    </row>
    <row r="71" spans="1:23" ht="13.5" customHeight="1" x14ac:dyDescent="0.3">
      <c r="A71" s="55" t="s">
        <v>82</v>
      </c>
      <c r="B71" s="55"/>
      <c r="C71" s="55"/>
      <c r="D71" s="55"/>
      <c r="E71" s="55"/>
      <c r="F71" s="55"/>
      <c r="G71" s="55"/>
      <c r="H71" s="55"/>
      <c r="I71" s="55"/>
      <c r="M71" t="s">
        <v>83</v>
      </c>
      <c r="O71" s="11">
        <f>O64/O56</f>
        <v>0.46001367053998632</v>
      </c>
      <c r="P71" s="28"/>
      <c r="Q71" s="11">
        <f>Q64/Q56</f>
        <v>0.56097560975609762</v>
      </c>
      <c r="R71" s="28"/>
      <c r="S71" s="11">
        <f>S64/S56</f>
        <v>0.53718070009460739</v>
      </c>
    </row>
    <row r="72" spans="1:23" ht="13.5" customHeight="1" x14ac:dyDescent="0.3">
      <c r="A72" s="55"/>
      <c r="B72" s="55"/>
      <c r="C72" s="55"/>
      <c r="D72" s="55"/>
      <c r="E72" s="55"/>
      <c r="F72" s="55"/>
      <c r="G72" s="55"/>
      <c r="H72" s="55"/>
      <c r="I72" s="55"/>
      <c r="M72" t="s">
        <v>84</v>
      </c>
      <c r="O72" s="11">
        <f>O69/O56</f>
        <v>3.3492822966507178E-2</v>
      </c>
      <c r="Q72" s="11">
        <f>Q69/Q56</f>
        <v>0.28327526132404179</v>
      </c>
      <c r="S72" s="11">
        <f>S69/S56</f>
        <v>0.13932513402712079</v>
      </c>
    </row>
    <row r="73" spans="1:23" ht="13.5" customHeight="1" x14ac:dyDescent="0.3">
      <c r="A73" s="55"/>
      <c r="B73" s="55"/>
      <c r="C73" s="55"/>
      <c r="D73" s="55"/>
      <c r="E73" s="55"/>
      <c r="F73" s="55"/>
      <c r="G73" s="55"/>
      <c r="H73" s="55"/>
      <c r="I73" s="55"/>
    </row>
    <row r="74" spans="1:23" ht="13.5" customHeight="1" x14ac:dyDescent="0.3">
      <c r="A74" s="55"/>
      <c r="B74" s="55"/>
      <c r="C74" s="55"/>
      <c r="D74" s="55"/>
      <c r="E74" s="55"/>
      <c r="F74" s="55"/>
      <c r="G74" s="55"/>
      <c r="H74" s="55"/>
      <c r="I74" s="55"/>
    </row>
    <row r="75" spans="1:23" ht="83.4" customHeight="1" x14ac:dyDescent="0.3">
      <c r="A75" s="55"/>
      <c r="B75" s="55"/>
      <c r="C75" s="55"/>
      <c r="D75" s="55"/>
      <c r="E75" s="55"/>
      <c r="F75" s="55"/>
      <c r="G75" s="55"/>
      <c r="H75" s="55"/>
      <c r="I75" s="55"/>
    </row>
    <row r="76" spans="1:23" hidden="1" x14ac:dyDescent="0.3">
      <c r="A76" s="16" t="s">
        <v>85</v>
      </c>
      <c r="D76" s="16" t="s">
        <v>86</v>
      </c>
      <c r="E76" s="16" t="s">
        <v>23</v>
      </c>
      <c r="F76" s="16" t="s">
        <v>87</v>
      </c>
    </row>
    <row r="77" spans="1:23" hidden="1" x14ac:dyDescent="0.3">
      <c r="A77" t="s">
        <v>32</v>
      </c>
      <c r="D77" s="4">
        <v>14000</v>
      </c>
      <c r="E77">
        <v>2</v>
      </c>
      <c r="F77">
        <f>E77*D77</f>
        <v>28000</v>
      </c>
    </row>
    <row r="78" spans="1:23" hidden="1" x14ac:dyDescent="0.3">
      <c r="A78" t="s">
        <v>26</v>
      </c>
      <c r="D78" s="4">
        <v>25000</v>
      </c>
      <c r="E78">
        <v>1</v>
      </c>
      <c r="F78" s="23">
        <f>E78*D78</f>
        <v>25000</v>
      </c>
    </row>
    <row r="79" spans="1:23" hidden="1" x14ac:dyDescent="0.3">
      <c r="D79" s="4"/>
    </row>
    <row r="80" spans="1:23" hidden="1" x14ac:dyDescent="0.3">
      <c r="A80" t="s">
        <v>33</v>
      </c>
      <c r="D80" s="4"/>
      <c r="F80">
        <f>SUM(F77:F78)</f>
        <v>53000</v>
      </c>
    </row>
    <row r="81" spans="1:9" hidden="1" x14ac:dyDescent="0.3">
      <c r="A81" t="s">
        <v>34</v>
      </c>
      <c r="D81" s="4"/>
      <c r="F81" s="23">
        <f>60000</f>
        <v>60000</v>
      </c>
    </row>
    <row r="82" spans="1:9" hidden="1" x14ac:dyDescent="0.3">
      <c r="A82" t="s">
        <v>35</v>
      </c>
      <c r="D82" s="4"/>
      <c r="F82">
        <f>F81-F80</f>
        <v>7000</v>
      </c>
    </row>
    <row r="83" spans="1:9" hidden="1" x14ac:dyDescent="0.3">
      <c r="A83" t="s">
        <v>88</v>
      </c>
      <c r="D83" s="4">
        <v>8000</v>
      </c>
      <c r="E83">
        <v>5</v>
      </c>
      <c r="F83" s="23">
        <f>E83*D83</f>
        <v>40000</v>
      </c>
    </row>
    <row r="84" spans="1:9" hidden="1" x14ac:dyDescent="0.3">
      <c r="A84" t="s">
        <v>89</v>
      </c>
      <c r="F84" s="28">
        <f>-(F83-F82)</f>
        <v>-33000</v>
      </c>
    </row>
    <row r="85" spans="1:9" hidden="1" x14ac:dyDescent="0.3"/>
    <row r="86" spans="1:9" x14ac:dyDescent="0.3">
      <c r="A86" s="40"/>
      <c r="B86" s="40"/>
      <c r="C86" s="40"/>
      <c r="D86" s="40"/>
      <c r="E86" s="40"/>
      <c r="F86" s="40"/>
      <c r="G86" s="40"/>
      <c r="H86" s="40"/>
      <c r="I86" s="40"/>
    </row>
    <row r="87" spans="1:9" x14ac:dyDescent="0.3">
      <c r="A87" s="40"/>
      <c r="B87" s="40"/>
      <c r="C87" s="40"/>
      <c r="D87" s="40"/>
      <c r="E87" s="40"/>
      <c r="F87" s="40"/>
      <c r="G87" s="40"/>
      <c r="H87" s="40"/>
      <c r="I87" s="40"/>
    </row>
    <row r="88" spans="1:9" x14ac:dyDescent="0.3">
      <c r="A88" s="16" t="s">
        <v>90</v>
      </c>
      <c r="B88" s="40"/>
      <c r="C88" s="40"/>
      <c r="D88" s="40"/>
      <c r="E88" s="40"/>
      <c r="F88" s="40"/>
      <c r="G88" s="40"/>
      <c r="H88" s="40"/>
      <c r="I88" s="40"/>
    </row>
    <row r="89" spans="1:9" ht="64.5" customHeight="1" x14ac:dyDescent="0.3">
      <c r="A89" s="52" t="s">
        <v>91</v>
      </c>
      <c r="B89" s="52"/>
      <c r="C89" s="52"/>
      <c r="D89" s="52"/>
      <c r="E89" s="52"/>
      <c r="F89" s="52"/>
      <c r="G89" s="52"/>
      <c r="H89" s="52"/>
      <c r="I89" s="52"/>
    </row>
    <row r="90" spans="1:9" ht="12.9" customHeight="1" x14ac:dyDescent="0.3">
      <c r="A90" s="1"/>
      <c r="B90" s="1"/>
      <c r="C90" s="1"/>
      <c r="D90" s="1"/>
      <c r="E90" s="1"/>
      <c r="F90" s="1"/>
      <c r="G90" s="1"/>
      <c r="H90" s="1"/>
      <c r="I90" s="1"/>
    </row>
    <row r="91" spans="1:9" ht="12.9" customHeight="1" x14ac:dyDescent="0.3">
      <c r="A91" s="1"/>
      <c r="B91" s="1"/>
      <c r="C91" s="1"/>
      <c r="D91" s="1"/>
      <c r="E91" s="1"/>
      <c r="F91" s="1"/>
      <c r="G91" s="1"/>
      <c r="H91" s="1"/>
      <c r="I91" s="1"/>
    </row>
    <row r="92" spans="1:9" ht="12.9" customHeight="1" x14ac:dyDescent="0.3">
      <c r="A92" s="1"/>
      <c r="B92" s="1"/>
      <c r="C92" s="1"/>
      <c r="D92" s="1"/>
      <c r="E92" s="1"/>
      <c r="F92" s="1"/>
      <c r="G92" s="1"/>
      <c r="H92" s="1"/>
      <c r="I92" s="1"/>
    </row>
    <row r="94" spans="1:9" x14ac:dyDescent="0.3">
      <c r="A94" s="16" t="s">
        <v>92</v>
      </c>
    </row>
    <row r="95" spans="1:9" x14ac:dyDescent="0.3">
      <c r="A95" s="16" t="s">
        <v>93</v>
      </c>
    </row>
    <row r="97" spans="1:9" x14ac:dyDescent="0.3">
      <c r="A97" s="16" t="s">
        <v>94</v>
      </c>
    </row>
    <row r="98" spans="1:9" x14ac:dyDescent="0.3">
      <c r="A98" t="s">
        <v>95</v>
      </c>
    </row>
    <row r="99" spans="1:9" x14ac:dyDescent="0.3">
      <c r="E99" s="4"/>
    </row>
    <row r="100" spans="1:9" x14ac:dyDescent="0.3">
      <c r="A100" t="s">
        <v>96</v>
      </c>
    </row>
    <row r="101" spans="1:9" x14ac:dyDescent="0.3">
      <c r="B101" t="s">
        <v>97</v>
      </c>
      <c r="D101">
        <v>210</v>
      </c>
    </row>
    <row r="102" spans="1:9" x14ac:dyDescent="0.3">
      <c r="B102" t="s">
        <v>98</v>
      </c>
      <c r="D102" s="23">
        <v>150</v>
      </c>
    </row>
    <row r="103" spans="1:9" x14ac:dyDescent="0.3">
      <c r="B103" t="s">
        <v>99</v>
      </c>
      <c r="D103">
        <f>(D101-D102)</f>
        <v>60</v>
      </c>
    </row>
    <row r="104" spans="1:9" x14ac:dyDescent="0.3">
      <c r="B104" t="s">
        <v>100</v>
      </c>
      <c r="D104" s="5">
        <v>10000</v>
      </c>
    </row>
    <row r="105" spans="1:9" x14ac:dyDescent="0.3">
      <c r="B105" t="s">
        <v>96</v>
      </c>
      <c r="D105" s="16">
        <f>D103*D104</f>
        <v>600000</v>
      </c>
    </row>
    <row r="108" spans="1:9" x14ac:dyDescent="0.3">
      <c r="A108" s="56" t="s">
        <v>101</v>
      </c>
      <c r="B108" s="56"/>
      <c r="C108" s="56"/>
      <c r="D108" s="56"/>
      <c r="E108" s="56"/>
      <c r="F108" s="56"/>
      <c r="G108" s="56"/>
      <c r="H108" s="56"/>
      <c r="I108" s="56"/>
    </row>
    <row r="109" spans="1:9" x14ac:dyDescent="0.3">
      <c r="A109" s="56"/>
      <c r="B109" s="56"/>
      <c r="C109" s="56"/>
      <c r="D109" s="56"/>
      <c r="E109" s="56"/>
      <c r="F109" s="56"/>
      <c r="G109" s="56"/>
      <c r="H109" s="56"/>
      <c r="I109" s="56"/>
    </row>
    <row r="110" spans="1:9" x14ac:dyDescent="0.3">
      <c r="A110" s="56"/>
      <c r="B110" s="56"/>
      <c r="C110" s="56"/>
      <c r="D110" s="56"/>
      <c r="E110" s="56"/>
      <c r="F110" s="56"/>
      <c r="G110" s="56"/>
      <c r="H110" s="56"/>
      <c r="I110" s="56"/>
    </row>
    <row r="111" spans="1:9" x14ac:dyDescent="0.3">
      <c r="A111" s="56"/>
      <c r="B111" s="56"/>
      <c r="C111" s="56"/>
      <c r="D111" s="56"/>
      <c r="E111" s="56"/>
      <c r="F111" s="56"/>
      <c r="G111" s="56"/>
      <c r="H111" s="56"/>
      <c r="I111" s="56"/>
    </row>
    <row r="112" spans="1:9" x14ac:dyDescent="0.3">
      <c r="A112" s="56"/>
      <c r="B112" s="56"/>
      <c r="C112" s="56"/>
      <c r="D112" s="56"/>
      <c r="E112" s="56"/>
      <c r="F112" s="56"/>
      <c r="G112" s="56"/>
      <c r="H112" s="56"/>
      <c r="I112" s="56"/>
    </row>
    <row r="116" spans="1:9" x14ac:dyDescent="0.3">
      <c r="A116" s="16" t="s">
        <v>102</v>
      </c>
    </row>
    <row r="117" spans="1:9" x14ac:dyDescent="0.3">
      <c r="A117" s="16" t="s">
        <v>103</v>
      </c>
    </row>
    <row r="119" spans="1:9" ht="24.6" customHeight="1" x14ac:dyDescent="0.3">
      <c r="A119" s="16" t="s">
        <v>104</v>
      </c>
    </row>
    <row r="120" spans="1:9" ht="44.4" customHeight="1" x14ac:dyDescent="0.3">
      <c r="A120" s="53" t="s">
        <v>105</v>
      </c>
      <c r="B120" s="53"/>
      <c r="C120" s="53"/>
      <c r="D120" s="53"/>
      <c r="E120" s="53"/>
      <c r="F120" s="53"/>
      <c r="G120" s="53"/>
      <c r="H120" s="53"/>
      <c r="I120" s="53"/>
    </row>
    <row r="122" spans="1:9" x14ac:dyDescent="0.3">
      <c r="A122" s="16" t="s">
        <v>106</v>
      </c>
    </row>
    <row r="123" spans="1:9" ht="98.1" customHeight="1" x14ac:dyDescent="0.3">
      <c r="A123" s="52" t="s">
        <v>107</v>
      </c>
      <c r="B123" s="52"/>
      <c r="C123" s="52"/>
      <c r="D123" s="52"/>
      <c r="E123" s="52"/>
      <c r="F123" s="52"/>
      <c r="G123" s="52"/>
      <c r="H123" s="52"/>
      <c r="I123" s="52"/>
    </row>
    <row r="126" spans="1:9" x14ac:dyDescent="0.3">
      <c r="A126" s="16" t="s">
        <v>108</v>
      </c>
    </row>
    <row r="128" spans="1:9" x14ac:dyDescent="0.3">
      <c r="A128" s="16" t="s">
        <v>109</v>
      </c>
    </row>
    <row r="129" spans="1:11" ht="102" customHeight="1" x14ac:dyDescent="0.3">
      <c r="A129" s="53" t="s">
        <v>110</v>
      </c>
      <c r="B129" s="53"/>
      <c r="C129" s="53"/>
      <c r="D129" s="53"/>
      <c r="E129" s="53"/>
      <c r="F129" s="53"/>
      <c r="G129" s="53"/>
      <c r="H129" s="53"/>
      <c r="I129" s="53"/>
      <c r="J129" s="53"/>
      <c r="K129" s="53"/>
    </row>
    <row r="131" spans="1:11" x14ac:dyDescent="0.3">
      <c r="A131" s="16" t="s">
        <v>111</v>
      </c>
    </row>
    <row r="133" spans="1:11" ht="39.6" customHeight="1" x14ac:dyDescent="0.3">
      <c r="A133" s="53" t="s">
        <v>112</v>
      </c>
      <c r="B133" s="53"/>
      <c r="C133" s="53"/>
      <c r="D133" s="53"/>
      <c r="E133" s="53"/>
      <c r="F133" s="53"/>
      <c r="G133" s="53"/>
      <c r="H133" s="53"/>
      <c r="I133" s="53"/>
      <c r="J133" s="53"/>
      <c r="K133" s="53"/>
    </row>
    <row r="135" spans="1:11" x14ac:dyDescent="0.3">
      <c r="A135" s="16" t="s">
        <v>113</v>
      </c>
    </row>
    <row r="137" spans="1:11" ht="53.1" customHeight="1" x14ac:dyDescent="0.3">
      <c r="A137" s="53" t="s">
        <v>114</v>
      </c>
      <c r="B137" s="53"/>
      <c r="C137" s="53"/>
      <c r="D137" s="53"/>
      <c r="E137" s="53"/>
      <c r="F137" s="53"/>
      <c r="G137" s="53"/>
      <c r="H137" s="53"/>
      <c r="I137" s="53"/>
      <c r="J137" s="53"/>
      <c r="K137" s="53"/>
    </row>
  </sheetData>
  <mergeCells count="10">
    <mergeCell ref="A123:I123"/>
    <mergeCell ref="A129:K129"/>
    <mergeCell ref="A133:K133"/>
    <mergeCell ref="A137:K137"/>
    <mergeCell ref="A1:H4"/>
    <mergeCell ref="A36:H40"/>
    <mergeCell ref="A89:I89"/>
    <mergeCell ref="A120:I120"/>
    <mergeCell ref="A71:I75"/>
    <mergeCell ref="A108:I112"/>
  </mergeCells>
  <dataValidations count="4">
    <dataValidation type="list" allowBlank="1" showInputMessage="1" showErrorMessage="1" sqref="C54" xr:uid="{C65E130B-F26A-423B-8E58-F38E61C549CA}">
      <formula1>$G$56:$J$56</formula1>
    </dataValidation>
    <dataValidation type="list" allowBlank="1" showInputMessage="1" showErrorMessage="1" sqref="E52" xr:uid="{54C715A0-AFB7-4DD6-9034-1381B18885E5}">
      <formula1>$Y$50:$Y$51</formula1>
    </dataValidation>
    <dataValidation type="list" allowBlank="1" showInputMessage="1" showErrorMessage="1" sqref="C52" xr:uid="{91D97ECE-8DA7-492F-AA33-ED53AFCF2262}">
      <formula1>$Z$50:$Z$51</formula1>
    </dataValidation>
    <dataValidation type="list" allowBlank="1" showInputMessage="1" showErrorMessage="1" sqref="Q48" xr:uid="{97161240-78C7-4800-83C0-6F49191A3FFF}">
      <formula1>$AA$50:$AA$51</formula1>
    </dataValidation>
  </dataValidation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A5244-59DF-4854-8752-4AE5BC53AB62}">
  <sheetPr>
    <tabColor rgb="FF92D050"/>
  </sheetPr>
  <dimension ref="A1:I35"/>
  <sheetViews>
    <sheetView topLeftCell="A17" workbookViewId="0">
      <selection activeCell="O13" sqref="O13"/>
    </sheetView>
  </sheetViews>
  <sheetFormatPr baseColWidth="10" defaultColWidth="11.44140625" defaultRowHeight="14.4" x14ac:dyDescent="0.3"/>
  <cols>
    <col min="2" max="2" width="16.6640625" customWidth="1"/>
    <col min="3" max="3" width="15.44140625" customWidth="1"/>
    <col min="4" max="4" width="16.6640625" customWidth="1"/>
    <col min="5" max="5" width="16.5546875" customWidth="1"/>
  </cols>
  <sheetData>
    <row r="1" spans="1:8" x14ac:dyDescent="0.3">
      <c r="A1" s="9" t="s">
        <v>115</v>
      </c>
      <c r="B1" s="4"/>
      <c r="C1" s="4"/>
      <c r="D1" s="4"/>
      <c r="E1" s="4"/>
      <c r="F1" s="4"/>
      <c r="G1" s="4"/>
      <c r="H1" s="4"/>
    </row>
    <row r="2" spans="1:8" x14ac:dyDescent="0.3">
      <c r="A2" s="4"/>
      <c r="B2" s="4"/>
      <c r="C2" s="8" t="s">
        <v>116</v>
      </c>
      <c r="D2" s="8" t="s">
        <v>117</v>
      </c>
      <c r="E2" s="8" t="s">
        <v>118</v>
      </c>
      <c r="F2" s="6"/>
      <c r="G2" s="4"/>
      <c r="H2" s="4"/>
    </row>
    <row r="3" spans="1:8" x14ac:dyDescent="0.3">
      <c r="A3" s="4"/>
      <c r="B3" s="4"/>
      <c r="C3" s="8" t="s">
        <v>119</v>
      </c>
      <c r="D3" s="8" t="s">
        <v>120</v>
      </c>
      <c r="E3" s="8" t="s">
        <v>121</v>
      </c>
      <c r="F3" s="6"/>
      <c r="G3" s="4"/>
      <c r="H3" s="4"/>
    </row>
    <row r="4" spans="1:8" x14ac:dyDescent="0.3">
      <c r="A4" s="4"/>
      <c r="B4" s="4"/>
      <c r="C4" s="6"/>
      <c r="D4" s="6"/>
      <c r="E4" s="6"/>
      <c r="F4" s="6"/>
      <c r="G4" s="4"/>
      <c r="H4" s="4"/>
    </row>
    <row r="5" spans="1:8" x14ac:dyDescent="0.3">
      <c r="A5" s="4" t="s">
        <v>122</v>
      </c>
      <c r="B5" s="4"/>
      <c r="D5" s="6">
        <f>10000*150</f>
        <v>1500000</v>
      </c>
      <c r="E5" s="6">
        <f>8000*150</f>
        <v>1200000</v>
      </c>
      <c r="F5" s="6"/>
      <c r="G5" s="4"/>
      <c r="H5" s="4"/>
    </row>
    <row r="6" spans="1:8" x14ac:dyDescent="0.3">
      <c r="A6" s="59" t="s">
        <v>123</v>
      </c>
      <c r="B6" s="59"/>
      <c r="C6" s="60">
        <f>10000*210</f>
        <v>2100000</v>
      </c>
      <c r="D6" s="6"/>
      <c r="E6" s="6">
        <f>2000*210</f>
        <v>420000</v>
      </c>
      <c r="F6" s="6"/>
      <c r="G6" s="4"/>
      <c r="H6" s="4"/>
    </row>
    <row r="7" spans="1:8" x14ac:dyDescent="0.3">
      <c r="A7" s="4" t="s">
        <v>124</v>
      </c>
      <c r="B7" s="4"/>
      <c r="C7" s="7"/>
      <c r="D7" s="7">
        <f>0.12*C6</f>
        <v>252000</v>
      </c>
      <c r="E7" s="7">
        <v>100000</v>
      </c>
      <c r="F7" s="6"/>
      <c r="G7" s="4"/>
      <c r="H7" s="4"/>
    </row>
    <row r="8" spans="1:8" x14ac:dyDescent="0.3">
      <c r="A8" s="4" t="s">
        <v>125</v>
      </c>
      <c r="B8" s="4"/>
      <c r="C8" s="6">
        <f>SUM(C6:C7)</f>
        <v>2100000</v>
      </c>
      <c r="D8" s="6">
        <f t="shared" ref="D8:E8" si="0">SUM(D5:D7)</f>
        <v>1752000</v>
      </c>
      <c r="E8" s="50">
        <f>SUM(E5:E7)</f>
        <v>1720000</v>
      </c>
      <c r="F8" s="6"/>
      <c r="G8" s="4"/>
      <c r="H8" s="4"/>
    </row>
    <row r="9" spans="1:8" x14ac:dyDescent="0.3">
      <c r="A9" s="4"/>
      <c r="B9" s="4"/>
      <c r="C9" s="6"/>
      <c r="D9" s="6"/>
      <c r="E9" s="6"/>
      <c r="F9" s="6"/>
      <c r="G9" s="4"/>
      <c r="H9" s="4"/>
    </row>
    <row r="10" spans="1:8" x14ac:dyDescent="0.3">
      <c r="A10" s="47" t="s">
        <v>126</v>
      </c>
      <c r="B10" s="47"/>
      <c r="C10" s="48">
        <f>+C8-E8</f>
        <v>380000</v>
      </c>
      <c r="D10" s="48" t="s">
        <v>127</v>
      </c>
      <c r="E10" s="6"/>
      <c r="F10" s="6"/>
      <c r="G10" s="4"/>
      <c r="H10" s="4"/>
    </row>
    <row r="11" spans="1:8" x14ac:dyDescent="0.3">
      <c r="A11" s="47" t="s">
        <v>96</v>
      </c>
      <c r="B11" s="47"/>
      <c r="C11" s="49">
        <v>600000</v>
      </c>
      <c r="D11" s="48"/>
      <c r="E11" s="6"/>
      <c r="F11" s="6"/>
      <c r="G11" s="4"/>
      <c r="H11" s="4"/>
    </row>
    <row r="12" spans="1:8" x14ac:dyDescent="0.3">
      <c r="A12" s="47" t="s">
        <v>128</v>
      </c>
      <c r="B12" s="47"/>
      <c r="C12" s="48">
        <f>+C11-C10</f>
        <v>220000</v>
      </c>
      <c r="D12" s="48"/>
      <c r="E12" s="6"/>
      <c r="F12" s="6"/>
      <c r="G12" s="4"/>
      <c r="H12" s="4"/>
    </row>
    <row r="13" spans="1:8" x14ac:dyDescent="0.3">
      <c r="A13" s="47"/>
      <c r="B13" s="47"/>
      <c r="C13" s="48"/>
      <c r="D13" s="48"/>
      <c r="E13" s="6"/>
      <c r="F13" s="6"/>
      <c r="G13" s="4"/>
      <c r="H13" s="4"/>
    </row>
    <row r="14" spans="1:8" x14ac:dyDescent="0.3">
      <c r="A14" s="47" t="s">
        <v>124</v>
      </c>
      <c r="B14" s="47"/>
      <c r="C14" s="48">
        <v>100000</v>
      </c>
      <c r="D14" s="48"/>
      <c r="E14" s="6"/>
      <c r="F14" s="6"/>
      <c r="G14" s="4"/>
      <c r="H14" s="4"/>
    </row>
    <row r="15" spans="1:8" x14ac:dyDescent="0.3">
      <c r="A15" s="47" t="s">
        <v>129</v>
      </c>
      <c r="B15" s="47"/>
      <c r="C15" s="48">
        <f>2000*60</f>
        <v>120000</v>
      </c>
      <c r="D15" s="48"/>
      <c r="E15" s="6"/>
      <c r="F15" s="6"/>
      <c r="G15" s="4"/>
      <c r="H15" s="4"/>
    </row>
    <row r="16" spans="1:8" x14ac:dyDescent="0.3">
      <c r="A16" s="4"/>
      <c r="B16" s="4"/>
      <c r="C16" s="4"/>
      <c r="D16" s="4"/>
      <c r="E16" s="4"/>
      <c r="F16" s="4"/>
      <c r="G16" s="4"/>
      <c r="H16" s="4"/>
    </row>
    <row r="17" spans="1:9" x14ac:dyDescent="0.3">
      <c r="A17" s="4"/>
      <c r="B17" s="4"/>
      <c r="C17" s="4"/>
      <c r="D17" s="4"/>
      <c r="E17" s="4"/>
      <c r="F17" s="4"/>
      <c r="G17" s="4"/>
      <c r="H17" s="4"/>
    </row>
    <row r="18" spans="1:9" ht="119.4" customHeight="1" x14ac:dyDescent="0.3">
      <c r="A18" s="57" t="s">
        <v>130</v>
      </c>
      <c r="B18" s="57"/>
      <c r="C18" s="57"/>
      <c r="D18" s="57"/>
      <c r="E18" s="57"/>
      <c r="F18" s="57"/>
      <c r="G18" s="57"/>
      <c r="H18" s="4"/>
    </row>
    <row r="19" spans="1:9" ht="14.4" hidden="1" customHeight="1" x14ac:dyDescent="0.3">
      <c r="A19" s="57"/>
      <c r="B19" s="57"/>
      <c r="C19" s="57"/>
      <c r="D19" s="57"/>
      <c r="E19" s="57"/>
      <c r="F19" s="57"/>
      <c r="G19" s="57"/>
      <c r="H19" s="4"/>
    </row>
    <row r="20" spans="1:9" ht="14.4" hidden="1" customHeight="1" x14ac:dyDescent="0.3">
      <c r="A20" s="57"/>
      <c r="B20" s="57"/>
      <c r="C20" s="57"/>
      <c r="D20" s="57"/>
      <c r="E20" s="57"/>
      <c r="F20" s="57"/>
      <c r="G20" s="57"/>
      <c r="H20" s="4"/>
    </row>
    <row r="21" spans="1:9" ht="14.4" hidden="1" customHeight="1" x14ac:dyDescent="0.3">
      <c r="A21" s="57"/>
      <c r="B21" s="57"/>
      <c r="C21" s="57"/>
      <c r="D21" s="57"/>
      <c r="E21" s="57"/>
      <c r="F21" s="57"/>
      <c r="G21" s="57"/>
    </row>
    <row r="22" spans="1:9" ht="14.4" hidden="1" customHeight="1" x14ac:dyDescent="0.3">
      <c r="A22" s="57"/>
      <c r="B22" s="57"/>
      <c r="C22" s="57"/>
      <c r="D22" s="57"/>
      <c r="E22" s="57"/>
      <c r="F22" s="57"/>
      <c r="G22" s="57"/>
    </row>
    <row r="23" spans="1:9" ht="14.4" hidden="1" customHeight="1" x14ac:dyDescent="0.3">
      <c r="A23" s="57"/>
      <c r="B23" s="57"/>
      <c r="C23" s="57"/>
      <c r="D23" s="57"/>
      <c r="E23" s="57"/>
      <c r="F23" s="57"/>
      <c r="G23" s="57"/>
    </row>
    <row r="25" spans="1:9" x14ac:dyDescent="0.3">
      <c r="A25" t="s">
        <v>131</v>
      </c>
    </row>
    <row r="27" spans="1:9" x14ac:dyDescent="0.3">
      <c r="A27" s="16" t="s">
        <v>132</v>
      </c>
    </row>
    <row r="28" spans="1:9" x14ac:dyDescent="0.3">
      <c r="A28" s="4" t="s">
        <v>133</v>
      </c>
    </row>
    <row r="29" spans="1:9" x14ac:dyDescent="0.3">
      <c r="A29" t="s">
        <v>134</v>
      </c>
    </row>
    <row r="31" spans="1:9" x14ac:dyDescent="0.3">
      <c r="A31" s="16" t="s">
        <v>135</v>
      </c>
    </row>
    <row r="32" spans="1:9" ht="47.1" customHeight="1" x14ac:dyDescent="0.3">
      <c r="A32" s="57" t="s">
        <v>136</v>
      </c>
      <c r="B32" s="53"/>
      <c r="C32" s="53"/>
      <c r="D32" s="53"/>
      <c r="E32" s="53"/>
      <c r="F32" s="53"/>
      <c r="G32" s="53"/>
      <c r="H32" s="53"/>
      <c r="I32" s="53"/>
    </row>
    <row r="34" spans="1:1" x14ac:dyDescent="0.3">
      <c r="A34" s="16" t="s">
        <v>137</v>
      </c>
    </row>
    <row r="35" spans="1:1" x14ac:dyDescent="0.3">
      <c r="A35" t="s">
        <v>138</v>
      </c>
    </row>
  </sheetData>
  <mergeCells count="2">
    <mergeCell ref="A18:G23"/>
    <mergeCell ref="A32:I32"/>
  </mergeCell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78982-E8D8-4B98-842F-EC1BB39655F7}">
  <dimension ref="A1:O89"/>
  <sheetViews>
    <sheetView tabSelected="1" topLeftCell="A45" zoomScaleNormal="100" workbookViewId="0">
      <selection activeCell="K69" sqref="K69"/>
    </sheetView>
  </sheetViews>
  <sheetFormatPr baseColWidth="10" defaultColWidth="11.44140625" defaultRowHeight="14.4" x14ac:dyDescent="0.3"/>
  <cols>
    <col min="1" max="1" width="5.5546875" customWidth="1"/>
    <col min="3" max="3" width="19.109375" customWidth="1"/>
    <col min="4" max="4" width="15.33203125" bestFit="1" customWidth="1"/>
    <col min="5" max="5" width="13.44140625" customWidth="1"/>
    <col min="8" max="8" width="10.88671875" customWidth="1"/>
    <col min="9" max="9" width="11.44140625" bestFit="1" customWidth="1"/>
    <col min="10" max="10" width="13.88671875" customWidth="1"/>
  </cols>
  <sheetData>
    <row r="1" spans="1:15" x14ac:dyDescent="0.3">
      <c r="A1" s="9" t="s">
        <v>139</v>
      </c>
      <c r="B1" s="4"/>
      <c r="C1" s="4"/>
      <c r="D1" s="4"/>
      <c r="E1" s="4"/>
      <c r="F1" s="4"/>
      <c r="G1" s="4"/>
      <c r="H1" s="4"/>
      <c r="I1" s="4"/>
      <c r="J1" s="4"/>
      <c r="K1" s="4"/>
      <c r="L1" s="4"/>
      <c r="M1" s="4"/>
      <c r="N1" s="4"/>
      <c r="O1" s="4"/>
    </row>
    <row r="2" spans="1:15" x14ac:dyDescent="0.3">
      <c r="A2" s="4"/>
      <c r="B2" s="4"/>
      <c r="C2" s="4"/>
      <c r="D2" s="4"/>
      <c r="E2" s="4"/>
      <c r="F2" s="4"/>
      <c r="G2" s="4"/>
      <c r="H2" s="4"/>
      <c r="I2" s="4"/>
      <c r="J2" s="4"/>
      <c r="K2" s="4"/>
      <c r="L2" s="4"/>
      <c r="M2" s="4"/>
      <c r="N2" s="4"/>
      <c r="O2" s="4"/>
    </row>
    <row r="3" spans="1:15" x14ac:dyDescent="0.3">
      <c r="A3" s="4" t="s">
        <v>140</v>
      </c>
      <c r="C3" s="25">
        <v>0.45</v>
      </c>
      <c r="E3" s="4"/>
      <c r="F3" s="4"/>
      <c r="G3" s="4"/>
      <c r="H3" s="4"/>
      <c r="I3" s="4"/>
      <c r="J3" s="4"/>
      <c r="K3" s="4"/>
      <c r="L3" s="4"/>
      <c r="M3" s="4"/>
      <c r="N3" s="4"/>
      <c r="O3" s="4"/>
    </row>
    <row r="4" spans="1:15" x14ac:dyDescent="0.3">
      <c r="A4" t="s">
        <v>141</v>
      </c>
      <c r="C4" s="10">
        <v>0.12</v>
      </c>
      <c r="E4" s="4"/>
      <c r="H4" s="4"/>
      <c r="I4" s="4"/>
      <c r="J4" s="4"/>
      <c r="K4" s="4"/>
      <c r="L4" s="4"/>
      <c r="M4" s="4"/>
      <c r="N4" s="4"/>
      <c r="O4" s="4"/>
    </row>
    <row r="5" spans="1:15" x14ac:dyDescent="0.3">
      <c r="E5" s="4"/>
      <c r="F5" s="4"/>
      <c r="G5" s="4"/>
      <c r="H5" s="4"/>
      <c r="I5" s="4"/>
      <c r="J5" s="4"/>
      <c r="K5" s="4"/>
      <c r="L5" s="4"/>
      <c r="M5" s="4"/>
      <c r="N5" s="4"/>
      <c r="O5" s="4"/>
    </row>
    <row r="6" spans="1:15" x14ac:dyDescent="0.3">
      <c r="G6" s="4"/>
      <c r="H6" s="4"/>
      <c r="I6" s="4"/>
      <c r="J6" s="4"/>
      <c r="K6" s="4"/>
      <c r="L6" s="4"/>
      <c r="M6" s="4"/>
      <c r="N6" s="4"/>
      <c r="O6" s="4"/>
    </row>
    <row r="7" spans="1:15" x14ac:dyDescent="0.3">
      <c r="A7" s="16" t="s">
        <v>142</v>
      </c>
      <c r="G7" s="4"/>
      <c r="H7" s="4"/>
      <c r="I7" s="4"/>
      <c r="J7" s="4"/>
      <c r="K7" s="4"/>
      <c r="L7" s="4"/>
      <c r="M7" s="4"/>
      <c r="N7" s="4"/>
      <c r="O7" s="4"/>
    </row>
    <row r="8" spans="1:15" x14ac:dyDescent="0.3">
      <c r="A8" s="4"/>
      <c r="B8" s="4"/>
      <c r="C8" s="4"/>
      <c r="D8" s="4"/>
      <c r="E8" s="4"/>
      <c r="F8" s="4"/>
      <c r="G8" s="4"/>
      <c r="H8" s="4"/>
      <c r="I8" s="4"/>
      <c r="J8" s="4"/>
      <c r="K8" s="4"/>
      <c r="L8" s="4"/>
      <c r="M8" s="4"/>
      <c r="N8" s="4"/>
      <c r="O8" s="4"/>
    </row>
    <row r="9" spans="1:15" x14ac:dyDescent="0.3">
      <c r="B9" s="4"/>
      <c r="C9" s="4"/>
      <c r="D9" s="4"/>
      <c r="E9" s="16" t="s">
        <v>143</v>
      </c>
      <c r="F9" s="8" t="s">
        <v>144</v>
      </c>
      <c r="G9" s="8" t="s">
        <v>145</v>
      </c>
      <c r="H9" s="4"/>
      <c r="I9" s="4"/>
      <c r="J9" s="4"/>
      <c r="K9" s="4"/>
      <c r="L9" s="4"/>
      <c r="M9" s="4"/>
      <c r="N9" s="4"/>
      <c r="O9" s="4"/>
    </row>
    <row r="10" spans="1:15" x14ac:dyDescent="0.3">
      <c r="A10" s="4" t="s">
        <v>146</v>
      </c>
      <c r="B10" s="4"/>
      <c r="C10" s="4"/>
      <c r="E10" s="4">
        <v>-2000000</v>
      </c>
      <c r="F10" s="6"/>
      <c r="G10" s="6"/>
      <c r="H10" s="4"/>
      <c r="I10" s="4"/>
      <c r="J10" s="4"/>
      <c r="K10" s="4"/>
      <c r="L10" s="4"/>
      <c r="M10" s="4"/>
      <c r="N10" s="4"/>
      <c r="O10" s="4"/>
    </row>
    <row r="11" spans="1:15" x14ac:dyDescent="0.3">
      <c r="A11" s="4" t="s">
        <v>147</v>
      </c>
      <c r="B11" s="4"/>
      <c r="C11" s="4"/>
      <c r="E11" s="5">
        <f>+D51</f>
        <v>837010.36866359448</v>
      </c>
      <c r="F11" s="6"/>
      <c r="G11" s="6"/>
      <c r="H11" s="4"/>
      <c r="I11" s="4"/>
      <c r="J11" s="4"/>
      <c r="K11" s="4"/>
      <c r="L11" s="4"/>
      <c r="M11" s="4"/>
      <c r="N11" s="4"/>
      <c r="O11" s="4"/>
    </row>
    <row r="12" spans="1:15" x14ac:dyDescent="0.3">
      <c r="A12" s="4" t="s">
        <v>148</v>
      </c>
      <c r="B12" s="4"/>
      <c r="C12" s="4"/>
      <c r="E12" s="4">
        <f>+E10+E11</f>
        <v>-1162989.6313364054</v>
      </c>
      <c r="F12" s="6"/>
      <c r="G12" s="6"/>
      <c r="H12" s="4"/>
      <c r="I12" s="4"/>
      <c r="J12" s="4"/>
      <c r="K12" s="4"/>
      <c r="L12" s="4"/>
      <c r="M12" s="4"/>
      <c r="N12" s="4"/>
      <c r="O12" s="4"/>
    </row>
    <row r="13" spans="1:15" x14ac:dyDescent="0.3">
      <c r="B13" s="4"/>
      <c r="C13" s="4"/>
      <c r="D13" s="4"/>
      <c r="F13" s="6"/>
      <c r="G13" s="6"/>
      <c r="H13" s="4"/>
      <c r="I13" s="4"/>
      <c r="J13" s="4"/>
      <c r="K13" s="4"/>
      <c r="L13" s="4"/>
      <c r="M13" s="4"/>
      <c r="N13" s="4"/>
      <c r="O13" s="4"/>
    </row>
    <row r="14" spans="1:15" x14ac:dyDescent="0.3">
      <c r="A14" s="4" t="s">
        <v>69</v>
      </c>
      <c r="B14" s="4"/>
      <c r="C14" s="4"/>
      <c r="D14" s="4"/>
      <c r="E14" s="4">
        <f>500*'MCV &amp; Cap'!E62</f>
        <v>112500</v>
      </c>
      <c r="F14" s="4">
        <f>8000*'MCV &amp; Cap'!E62</f>
        <v>1800000</v>
      </c>
      <c r="G14" s="4">
        <f>F14</f>
        <v>1800000</v>
      </c>
      <c r="I14" s="51" t="s">
        <v>149</v>
      </c>
      <c r="J14" s="4"/>
      <c r="K14" s="4"/>
      <c r="L14" s="4"/>
      <c r="M14" s="4"/>
      <c r="N14" s="4"/>
      <c r="O14" s="4"/>
    </row>
    <row r="15" spans="1:15" x14ac:dyDescent="0.3">
      <c r="A15" s="4"/>
      <c r="B15" s="4"/>
      <c r="C15" s="4"/>
      <c r="D15" s="4"/>
      <c r="E15" s="5"/>
      <c r="F15" s="5">
        <f>-$F$63</f>
        <v>-200000</v>
      </c>
      <c r="G15" s="5">
        <f>-$F$63</f>
        <v>-200000</v>
      </c>
      <c r="H15" s="4"/>
      <c r="I15" s="4"/>
      <c r="J15" s="4"/>
      <c r="K15" s="4"/>
      <c r="L15" s="4"/>
      <c r="M15" s="4"/>
      <c r="N15" s="4"/>
      <c r="O15" s="4"/>
    </row>
    <row r="16" spans="1:15" x14ac:dyDescent="0.3">
      <c r="A16" s="4"/>
      <c r="B16" s="4"/>
      <c r="C16" s="4"/>
      <c r="D16" s="4"/>
      <c r="E16" s="4">
        <f>SUM(E14:E15)</f>
        <v>112500</v>
      </c>
      <c r="F16" s="4">
        <f t="shared" ref="F16:G16" si="0">SUM(F14:F15)</f>
        <v>1600000</v>
      </c>
      <c r="G16" s="4">
        <f t="shared" si="0"/>
        <v>1600000</v>
      </c>
      <c r="H16" s="4"/>
      <c r="I16" s="4"/>
      <c r="J16" s="4"/>
      <c r="K16" s="4"/>
      <c r="L16" s="4"/>
      <c r="M16" s="4"/>
      <c r="N16" s="4"/>
      <c r="O16" s="4"/>
    </row>
    <row r="17" spans="1:15" x14ac:dyDescent="0.3">
      <c r="A17" s="4" t="s">
        <v>150</v>
      </c>
      <c r="B17" s="4"/>
      <c r="C17" s="4"/>
      <c r="D17" s="4"/>
      <c r="E17" s="5">
        <f>-+E14*C3</f>
        <v>-50625</v>
      </c>
      <c r="F17" s="5">
        <f>-+F16*C3</f>
        <v>-720000</v>
      </c>
      <c r="G17" s="5">
        <f>-+G16*C3</f>
        <v>-720000</v>
      </c>
      <c r="H17" s="4"/>
      <c r="I17" s="4"/>
      <c r="J17" s="4"/>
      <c r="K17" s="4"/>
      <c r="L17" s="4"/>
      <c r="M17" s="4"/>
      <c r="N17" s="4"/>
      <c r="O17" s="4"/>
    </row>
    <row r="18" spans="1:15" x14ac:dyDescent="0.3">
      <c r="A18" t="s">
        <v>151</v>
      </c>
      <c r="E18" s="4">
        <f>+E14+E17</f>
        <v>61875</v>
      </c>
      <c r="F18" s="4">
        <f>+F16+F17</f>
        <v>880000</v>
      </c>
      <c r="G18" s="4">
        <f>+G16+G17</f>
        <v>880000</v>
      </c>
      <c r="I18" s="4"/>
    </row>
    <row r="19" spans="1:15" x14ac:dyDescent="0.3">
      <c r="A19" s="4"/>
      <c r="E19" s="4"/>
      <c r="F19" s="4"/>
      <c r="G19" s="4"/>
      <c r="H19" s="4"/>
      <c r="I19" s="4"/>
      <c r="J19" s="24"/>
    </row>
    <row r="20" spans="1:15" x14ac:dyDescent="0.3">
      <c r="A20" s="4" t="s">
        <v>152</v>
      </c>
      <c r="E20" s="9">
        <f>E12+E18</f>
        <v>-1101114.6313364054</v>
      </c>
      <c r="F20" s="9">
        <f>F12+F18</f>
        <v>880000</v>
      </c>
      <c r="G20" s="9">
        <f>G12+G18</f>
        <v>880000</v>
      </c>
      <c r="H20" s="4"/>
      <c r="I20" s="4"/>
    </row>
    <row r="21" spans="1:15" x14ac:dyDescent="0.3">
      <c r="A21" s="9" t="s">
        <v>153</v>
      </c>
      <c r="D21" s="26">
        <f>NPV(C4,F20:G20)+E20</f>
        <v>386130.26662277803</v>
      </c>
      <c r="F21" s="4"/>
      <c r="G21" s="4"/>
      <c r="H21" s="4"/>
      <c r="I21" s="9"/>
      <c r="J21" s="24"/>
    </row>
    <row r="22" spans="1:15" x14ac:dyDescent="0.3">
      <c r="E22" s="4"/>
      <c r="F22" s="4"/>
      <c r="G22" s="4"/>
      <c r="H22" s="4"/>
    </row>
    <row r="23" spans="1:15" x14ac:dyDescent="0.3">
      <c r="E23" s="4"/>
      <c r="F23" s="4"/>
      <c r="G23" s="4"/>
      <c r="H23" s="4"/>
    </row>
    <row r="24" spans="1:15" x14ac:dyDescent="0.3">
      <c r="A24" t="s">
        <v>154</v>
      </c>
      <c r="E24" s="4"/>
      <c r="F24" s="4"/>
      <c r="G24" s="4"/>
      <c r="H24" s="4"/>
    </row>
    <row r="25" spans="1:15" x14ac:dyDescent="0.3">
      <c r="E25" s="4"/>
      <c r="F25" s="4"/>
      <c r="G25" s="4"/>
      <c r="H25" s="4"/>
    </row>
    <row r="26" spans="1:15" x14ac:dyDescent="0.3">
      <c r="B26" s="4"/>
      <c r="C26" s="4"/>
      <c r="D26" s="4"/>
      <c r="E26" s="16" t="s">
        <v>143</v>
      </c>
      <c r="F26" s="8" t="s">
        <v>144</v>
      </c>
      <c r="G26" s="8" t="s">
        <v>145</v>
      </c>
      <c r="H26" s="4"/>
    </row>
    <row r="27" spans="1:15" x14ac:dyDescent="0.3">
      <c r="A27" s="4" t="s">
        <v>146</v>
      </c>
      <c r="B27" s="4"/>
      <c r="C27" s="4"/>
      <c r="E27" s="4">
        <v>-2000000</v>
      </c>
      <c r="F27" s="6"/>
      <c r="G27" s="6"/>
      <c r="H27" s="4"/>
    </row>
    <row r="28" spans="1:15" x14ac:dyDescent="0.3">
      <c r="A28" s="4" t="s">
        <v>147</v>
      </c>
      <c r="B28" s="4"/>
      <c r="C28" s="4"/>
      <c r="E28" s="5">
        <f>D51</f>
        <v>837010.36866359448</v>
      </c>
      <c r="F28" s="6"/>
      <c r="G28" s="6"/>
      <c r="H28" s="4"/>
    </row>
    <row r="29" spans="1:15" x14ac:dyDescent="0.3">
      <c r="A29" s="4" t="s">
        <v>148</v>
      </c>
      <c r="B29" s="4"/>
      <c r="C29" s="4"/>
      <c r="E29" s="4">
        <f>+E27+E28</f>
        <v>-1162989.6313364054</v>
      </c>
      <c r="F29" s="6"/>
      <c r="G29" s="6"/>
      <c r="H29" s="4"/>
    </row>
    <row r="30" spans="1:15" x14ac:dyDescent="0.3">
      <c r="B30" s="4"/>
      <c r="C30" s="4"/>
      <c r="D30" s="4"/>
      <c r="F30" s="6"/>
      <c r="G30" s="6"/>
      <c r="H30" s="4"/>
    </row>
    <row r="31" spans="1:15" x14ac:dyDescent="0.3">
      <c r="B31" s="4"/>
      <c r="C31" s="4"/>
      <c r="D31" s="4"/>
      <c r="E31" s="4">
        <f>E14</f>
        <v>112500</v>
      </c>
      <c r="F31" s="6">
        <v>0</v>
      </c>
      <c r="G31" s="6">
        <v>0</v>
      </c>
      <c r="H31" s="4"/>
    </row>
    <row r="32" spans="1:15" x14ac:dyDescent="0.3">
      <c r="A32" s="4" t="s">
        <v>155</v>
      </c>
      <c r="B32" s="4"/>
      <c r="C32" s="4"/>
      <c r="D32" s="4"/>
      <c r="E32" s="23"/>
      <c r="F32" s="5">
        <f>-$F$63</f>
        <v>-200000</v>
      </c>
      <c r="G32" s="5">
        <f>-$F$63</f>
        <v>-200000</v>
      </c>
      <c r="H32" s="4"/>
    </row>
    <row r="33" spans="1:9" x14ac:dyDescent="0.3">
      <c r="A33" s="4"/>
      <c r="B33" s="4"/>
      <c r="C33" s="4"/>
      <c r="D33" s="4"/>
      <c r="E33" s="4">
        <f>SUM(E31:E32)</f>
        <v>112500</v>
      </c>
      <c r="F33" s="4">
        <f>SUM(F31:F32)</f>
        <v>-200000</v>
      </c>
      <c r="G33" s="4">
        <f>SUM(G31:G32)</f>
        <v>-200000</v>
      </c>
      <c r="H33" s="4"/>
    </row>
    <row r="34" spans="1:9" x14ac:dyDescent="0.3">
      <c r="A34" s="4" t="s">
        <v>150</v>
      </c>
      <c r="B34" s="4"/>
      <c r="C34" s="4"/>
      <c r="D34" s="4"/>
      <c r="E34" s="5">
        <f>-+E31*$C$3</f>
        <v>-50625</v>
      </c>
      <c r="F34" s="5">
        <f>+-F32*$C$3</f>
        <v>90000</v>
      </c>
      <c r="G34" s="5">
        <f>+-G32*$C$3</f>
        <v>90000</v>
      </c>
      <c r="H34" s="4"/>
    </row>
    <row r="35" spans="1:9" x14ac:dyDescent="0.3">
      <c r="A35" t="s">
        <v>151</v>
      </c>
      <c r="E35" s="4">
        <f>SUM(E33:E34)</f>
        <v>61875</v>
      </c>
      <c r="F35" s="4">
        <f>SUM(F33:F34)</f>
        <v>-110000</v>
      </c>
      <c r="G35" s="4">
        <f>SUM(G33:G34)</f>
        <v>-110000</v>
      </c>
      <c r="H35" s="4"/>
    </row>
    <row r="36" spans="1:9" x14ac:dyDescent="0.3">
      <c r="A36" s="4"/>
      <c r="E36" s="4"/>
      <c r="F36" s="4"/>
      <c r="G36" s="4"/>
    </row>
    <row r="37" spans="1:9" x14ac:dyDescent="0.3">
      <c r="A37" s="4" t="s">
        <v>152</v>
      </c>
      <c r="E37" s="9">
        <f>E29+E35</f>
        <v>-1101114.6313364054</v>
      </c>
      <c r="F37" s="9">
        <f>F29+F35</f>
        <v>-110000</v>
      </c>
      <c r="G37" s="9">
        <f>G29+G35</f>
        <v>-110000</v>
      </c>
    </row>
    <row r="38" spans="1:9" x14ac:dyDescent="0.3">
      <c r="A38" s="9" t="s">
        <v>153</v>
      </c>
      <c r="D38" s="26">
        <f>NPV(12%,F37:G37)+E37</f>
        <v>-1287020.2435813034</v>
      </c>
      <c r="F38" s="4"/>
      <c r="G38" s="4"/>
      <c r="I38" s="24"/>
    </row>
    <row r="39" spans="1:9" x14ac:dyDescent="0.3">
      <c r="A39" s="9"/>
      <c r="D39" s="27"/>
      <c r="F39" s="4"/>
      <c r="G39" s="4"/>
    </row>
    <row r="40" spans="1:9" x14ac:dyDescent="0.3">
      <c r="A40" s="9"/>
      <c r="D40" s="27"/>
      <c r="F40" s="4"/>
      <c r="G40" s="4"/>
    </row>
    <row r="41" spans="1:9" x14ac:dyDescent="0.3">
      <c r="A41" s="9" t="s">
        <v>156</v>
      </c>
      <c r="D41" s="27"/>
      <c r="F41" s="4"/>
      <c r="G41" s="4"/>
    </row>
    <row r="42" spans="1:9" x14ac:dyDescent="0.3">
      <c r="A42" s="9"/>
      <c r="B42" s="10">
        <v>0.75</v>
      </c>
      <c r="C42" s="24">
        <f>D21</f>
        <v>386130.26662277803</v>
      </c>
      <c r="D42" s="27"/>
      <c r="F42" s="4"/>
      <c r="G42" s="4"/>
    </row>
    <row r="43" spans="1:9" x14ac:dyDescent="0.3">
      <c r="A43" s="9"/>
      <c r="B43" s="10">
        <v>0.25</v>
      </c>
      <c r="C43" s="24">
        <f>D38</f>
        <v>-1287020.2435813034</v>
      </c>
      <c r="D43" s="27"/>
      <c r="F43" s="4"/>
      <c r="G43" s="4"/>
    </row>
    <row r="44" spans="1:9" x14ac:dyDescent="0.3">
      <c r="A44" s="9" t="s">
        <v>156</v>
      </c>
      <c r="C44" s="24">
        <f>(B42*C42)+(B43*C43)</f>
        <v>-32157.360928242328</v>
      </c>
      <c r="D44" s="27"/>
      <c r="F44" s="4"/>
      <c r="G44" s="4"/>
    </row>
    <row r="45" spans="1:9" x14ac:dyDescent="0.3">
      <c r="A45" s="9"/>
      <c r="D45" s="27"/>
      <c r="F45" s="4"/>
      <c r="G45" s="4"/>
    </row>
    <row r="46" spans="1:9" x14ac:dyDescent="0.3">
      <c r="A46" s="9"/>
      <c r="D46" s="27"/>
      <c r="F46" s="4"/>
      <c r="G46" s="4"/>
    </row>
    <row r="47" spans="1:9" x14ac:dyDescent="0.3">
      <c r="A47" s="9"/>
      <c r="D47" s="27"/>
      <c r="F47" s="4"/>
      <c r="G47" s="4"/>
    </row>
    <row r="48" spans="1:9" x14ac:dyDescent="0.3">
      <c r="A48" s="16" t="s">
        <v>157</v>
      </c>
      <c r="D48" s="4"/>
    </row>
    <row r="49" spans="1:7" x14ac:dyDescent="0.3">
      <c r="A49" t="s">
        <v>144</v>
      </c>
      <c r="D49" s="4">
        <f>0.75*-E10*C3</f>
        <v>675000</v>
      </c>
    </row>
    <row r="50" spans="1:7" x14ac:dyDescent="0.3">
      <c r="A50" t="s">
        <v>158</v>
      </c>
      <c r="D50" s="5">
        <f>-(((0.25*E10)*0.5*C3)/(0.12+0.5))/1.12</f>
        <v>162010.36866359448</v>
      </c>
    </row>
    <row r="51" spans="1:7" x14ac:dyDescent="0.3">
      <c r="A51" t="s">
        <v>159</v>
      </c>
      <c r="D51" s="4">
        <f>+D49+D50</f>
        <v>837010.36866359448</v>
      </c>
    </row>
    <row r="52" spans="1:7" x14ac:dyDescent="0.3">
      <c r="D52" s="4"/>
    </row>
    <row r="53" spans="1:7" x14ac:dyDescent="0.3">
      <c r="D53" s="4"/>
    </row>
    <row r="54" spans="1:7" s="16" customFormat="1" x14ac:dyDescent="0.3">
      <c r="A54" s="16" t="s">
        <v>160</v>
      </c>
      <c r="D54" s="9"/>
    </row>
    <row r="57" spans="1:7" x14ac:dyDescent="0.3">
      <c r="A57" s="9" t="s">
        <v>161</v>
      </c>
      <c r="B57" s="4"/>
      <c r="C57" s="4"/>
      <c r="D57" s="4"/>
      <c r="E57" s="4"/>
      <c r="F57" s="4"/>
    </row>
    <row r="58" spans="1:7" x14ac:dyDescent="0.3">
      <c r="A58" s="4" t="s">
        <v>162</v>
      </c>
      <c r="B58" s="4"/>
      <c r="C58" s="4"/>
      <c r="D58" s="4"/>
      <c r="E58" s="4"/>
      <c r="F58" s="4"/>
    </row>
    <row r="59" spans="1:7" x14ac:dyDescent="0.3">
      <c r="A59" s="4"/>
      <c r="B59" s="4" t="s">
        <v>163</v>
      </c>
      <c r="C59" s="4"/>
      <c r="D59" s="4"/>
      <c r="F59" s="4">
        <f>120000*25</f>
        <v>3000000</v>
      </c>
    </row>
    <row r="60" spans="1:7" x14ac:dyDescent="0.3">
      <c r="A60" s="4"/>
      <c r="B60" s="4" t="s">
        <v>164</v>
      </c>
      <c r="C60" s="4"/>
      <c r="D60" s="4"/>
      <c r="F60" s="5">
        <f>30*60000</f>
        <v>1800000</v>
      </c>
    </row>
    <row r="61" spans="1:7" x14ac:dyDescent="0.3">
      <c r="A61" s="4"/>
      <c r="B61" s="4" t="s">
        <v>165</v>
      </c>
      <c r="C61" s="4"/>
      <c r="D61" s="4"/>
      <c r="F61" s="4">
        <f>+F59-F60</f>
        <v>1200000</v>
      </c>
    </row>
    <row r="62" spans="1:7" x14ac:dyDescent="0.3">
      <c r="A62" s="4"/>
      <c r="B62" s="4" t="s">
        <v>166</v>
      </c>
      <c r="C62" s="4"/>
      <c r="D62" s="4"/>
      <c r="F62" s="61">
        <v>1000000</v>
      </c>
      <c r="G62" t="s">
        <v>179</v>
      </c>
    </row>
    <row r="63" spans="1:7" x14ac:dyDescent="0.3">
      <c r="A63" s="4"/>
      <c r="B63" s="4" t="s">
        <v>167</v>
      </c>
      <c r="C63" s="4"/>
      <c r="D63" s="4"/>
      <c r="F63" s="4">
        <f>+F61-F62</f>
        <v>200000</v>
      </c>
    </row>
    <row r="64" spans="1:7" x14ac:dyDescent="0.3">
      <c r="A64" s="4"/>
      <c r="B64" s="4"/>
      <c r="C64" s="4"/>
      <c r="D64" s="4"/>
      <c r="E64" s="4"/>
      <c r="F64" s="4"/>
    </row>
    <row r="65" spans="1:9" x14ac:dyDescent="0.3">
      <c r="A65" s="4"/>
      <c r="B65" s="4"/>
      <c r="C65" s="4"/>
      <c r="D65" s="4"/>
      <c r="E65" s="4"/>
      <c r="F65" s="4"/>
    </row>
    <row r="66" spans="1:9" x14ac:dyDescent="0.3">
      <c r="A66" s="4"/>
      <c r="C66" s="4"/>
      <c r="D66" s="4"/>
      <c r="E66" s="4"/>
      <c r="F66" s="10"/>
    </row>
    <row r="69" spans="1:9" x14ac:dyDescent="0.3">
      <c r="B69" s="16" t="s">
        <v>168</v>
      </c>
    </row>
    <row r="70" spans="1:9" ht="51.6" customHeight="1" x14ac:dyDescent="0.3">
      <c r="B70" s="52" t="s">
        <v>169</v>
      </c>
      <c r="C70" s="52"/>
      <c r="D70" s="52"/>
      <c r="E70" s="52"/>
      <c r="F70" s="52"/>
      <c r="G70" s="52"/>
      <c r="H70" s="52"/>
      <c r="I70" s="52"/>
    </row>
    <row r="75" spans="1:9" x14ac:dyDescent="0.3">
      <c r="B75" s="16" t="s">
        <v>170</v>
      </c>
    </row>
    <row r="76" spans="1:9" ht="45.9" customHeight="1" x14ac:dyDescent="0.3">
      <c r="B76" s="53" t="s">
        <v>171</v>
      </c>
      <c r="C76" s="53"/>
      <c r="D76" s="53"/>
      <c r="E76" s="53"/>
      <c r="F76" s="53"/>
      <c r="G76" s="53"/>
      <c r="H76" s="53"/>
      <c r="I76" s="53"/>
    </row>
    <row r="77" spans="1:9" ht="42.9" customHeight="1" x14ac:dyDescent="0.3">
      <c r="B77" s="53" t="s">
        <v>172</v>
      </c>
      <c r="C77" s="53"/>
      <c r="D77" s="53"/>
      <c r="E77" s="53"/>
      <c r="F77" s="53"/>
      <c r="G77" s="53"/>
      <c r="H77" s="53"/>
      <c r="I77" s="53"/>
    </row>
    <row r="78" spans="1:9" ht="27.6" customHeight="1" x14ac:dyDescent="0.3">
      <c r="B78" s="53" t="s">
        <v>173</v>
      </c>
      <c r="C78" s="53"/>
      <c r="D78" s="53"/>
      <c r="E78" s="53"/>
      <c r="F78" s="53"/>
      <c r="G78" s="53"/>
      <c r="H78" s="53"/>
      <c r="I78" s="53"/>
    </row>
    <row r="81" spans="2:9" x14ac:dyDescent="0.3">
      <c r="B81" s="16" t="s">
        <v>174</v>
      </c>
    </row>
    <row r="82" spans="2:9" ht="30.6" customHeight="1" x14ac:dyDescent="0.3">
      <c r="B82" s="53" t="s">
        <v>175</v>
      </c>
      <c r="C82" s="53"/>
      <c r="D82" s="53"/>
      <c r="E82" s="53"/>
      <c r="F82" s="53"/>
      <c r="G82" s="53"/>
      <c r="H82" s="53"/>
      <c r="I82" s="53"/>
    </row>
    <row r="83" spans="2:9" x14ac:dyDescent="0.3">
      <c r="B83" t="s">
        <v>176</v>
      </c>
    </row>
    <row r="84" spans="2:9" x14ac:dyDescent="0.3">
      <c r="B84" t="s">
        <v>177</v>
      </c>
    </row>
    <row r="86" spans="2:9" x14ac:dyDescent="0.3">
      <c r="B86" s="16" t="s">
        <v>137</v>
      </c>
    </row>
    <row r="89" spans="2:9" ht="46.5" customHeight="1" x14ac:dyDescent="0.3">
      <c r="B89" s="53" t="s">
        <v>178</v>
      </c>
      <c r="C89" s="53"/>
      <c r="D89" s="53"/>
      <c r="E89" s="53"/>
      <c r="F89" s="53"/>
      <c r="G89" s="53"/>
      <c r="H89" s="53"/>
      <c r="I89" s="53"/>
    </row>
  </sheetData>
  <mergeCells count="6">
    <mergeCell ref="B70:I70"/>
    <mergeCell ref="B82:I82"/>
    <mergeCell ref="B76:I76"/>
    <mergeCell ref="B77:I77"/>
    <mergeCell ref="B89:I89"/>
    <mergeCell ref="B78:I78"/>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F4B283919F7A04E9CDC443BFD166F77" ma:contentTypeVersion="4" ma:contentTypeDescription="Create a new document." ma:contentTypeScope="" ma:versionID="12ec5126627feb4d615406ac977e398d">
  <xsd:schema xmlns:xsd="http://www.w3.org/2001/XMLSchema" xmlns:xs="http://www.w3.org/2001/XMLSchema" xmlns:p="http://schemas.microsoft.com/office/2006/metadata/properties" xmlns:ns2="5674f0a4-3645-4119-81c3-d28b34f876e3" targetNamespace="http://schemas.microsoft.com/office/2006/metadata/properties" ma:root="true" ma:fieldsID="2766d383dfafd6154fd78088492871af" ns2:_="">
    <xsd:import namespace="5674f0a4-3645-4119-81c3-d28b34f876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4f0a4-3645-4119-81c3-d28b34f876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D2C054-F981-40D4-813A-8BFC53DE21BD}">
  <ds:schemaRefs>
    <ds:schemaRef ds:uri="http://schemas.microsoft.com/sharepoint/v3/contenttype/forms"/>
  </ds:schemaRefs>
</ds:datastoreItem>
</file>

<file path=customXml/itemProps2.xml><?xml version="1.0" encoding="utf-8"?>
<ds:datastoreItem xmlns:ds="http://schemas.openxmlformats.org/officeDocument/2006/customXml" ds:itemID="{2805980F-7BD0-49E4-B821-14C48F32DB33}">
  <ds:schemaRefs>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purl.org/dc/terms/"/>
    <ds:schemaRef ds:uri="http://purl.org/dc/elements/1.1/"/>
    <ds:schemaRef ds:uri="http://purl.org/dc/dcmitype/"/>
    <ds:schemaRef ds:uri="5674f0a4-3645-4119-81c3-d28b34f876e3"/>
    <ds:schemaRef ds:uri="http://schemas.microsoft.com/office/2006/metadata/properties"/>
  </ds:schemaRefs>
</ds:datastoreItem>
</file>

<file path=customXml/itemProps3.xml><?xml version="1.0" encoding="utf-8"?>
<ds:datastoreItem xmlns:ds="http://schemas.openxmlformats.org/officeDocument/2006/customXml" ds:itemID="{B31ED420-F2AC-407C-B328-55E90A4B1E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4f0a4-3645-4119-81c3-d28b34f87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Annexe 1</vt:lpstr>
      <vt:lpstr>MCV &amp; Cap</vt:lpstr>
      <vt:lpstr>DCT</vt:lpstr>
      <vt:lpstr>DLT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claude laurin</dc:creator>
  <cp:keywords/>
  <dc:description/>
  <cp:lastModifiedBy>SOKRI Marzouk</cp:lastModifiedBy>
  <cp:revision/>
  <dcterms:created xsi:type="dcterms:W3CDTF">2024-10-15T18:59:52Z</dcterms:created>
  <dcterms:modified xsi:type="dcterms:W3CDTF">2025-03-21T02:51:54Z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0x010100DF4B283919F7A04E9CDC443BFD166F77</vt:lpwstr>
  </property>
</Properties>
</file>