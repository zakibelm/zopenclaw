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D:\DESS\Contrôle de gestion stratégique\Séance 4\"/>
    </mc:Choice>
  </mc:AlternateContent>
  <xr:revisionPtr revIDLastSave="0" documentId="13_ncr:1_{3D661356-AFD5-4EF5-8B25-9069967F613C}" xr6:coauthVersionLast="47" xr6:coauthVersionMax="47" xr10:uidLastSave="{00000000-0000-0000-0000-000000000000}"/>
  <bookViews>
    <workbookView xWindow="-108" yWindow="-108" windowWidth="23256" windowHeight="13896" activeTab="3" xr2:uid="{C5293DB0-ADD1-44FE-8DAA-6CF8B6473660}"/>
  </bookViews>
  <sheets>
    <sheet name="PPP-déchets organiques" sheetId="1" r:id="rId1"/>
    <sheet name="Services conseils_x0009_" sheetId="2" r:id="rId2"/>
    <sheet name="Recyclage-MCV" sheetId="5" r:id="rId3"/>
    <sheet name="Recyclage - Rentabilité" sheetId="6" r:id="rId4"/>
    <sheet name="Recyclage - VAN" sheetId="7" r:id="rId5"/>
    <sheet name="Pristine Patrimoniale" sheetId="4" r:id="rId6"/>
    <sheet name="Pristine - capitalisation " sheetId="3"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7" i="6" l="1"/>
  <c r="C16" i="3"/>
  <c r="C20" i="5"/>
  <c r="H15" i="6"/>
  <c r="H18" i="6" s="1"/>
  <c r="H10" i="6"/>
  <c r="H7" i="6"/>
  <c r="H27" i="6"/>
  <c r="F29" i="6"/>
  <c r="F30" i="6"/>
  <c r="F28" i="6"/>
  <c r="G26" i="6"/>
  <c r="H25" i="6"/>
  <c r="G24" i="6"/>
  <c r="H21" i="6"/>
  <c r="H14" i="6"/>
  <c r="H12" i="6"/>
  <c r="H17" i="6"/>
  <c r="H23" i="6"/>
  <c r="F13" i="6"/>
  <c r="G15" i="6"/>
  <c r="G10" i="6"/>
  <c r="G16" i="6"/>
  <c r="G11" i="6"/>
  <c r="F15" i="6"/>
  <c r="F14" i="6"/>
  <c r="G14" i="6" s="1"/>
  <c r="F9" i="6"/>
  <c r="G9" i="6" s="1"/>
  <c r="H9" i="6" s="1"/>
  <c r="F8" i="6"/>
  <c r="G8" i="6" s="1"/>
  <c r="H8" i="6" s="1"/>
  <c r="F10" i="6"/>
  <c r="C18" i="5"/>
  <c r="G6" i="5"/>
  <c r="G9" i="5"/>
  <c r="G5" i="5"/>
  <c r="G20" i="6"/>
  <c r="H20" i="6" s="1"/>
  <c r="F22" i="6"/>
  <c r="G22" i="6" s="1"/>
  <c r="H22" i="6" s="1"/>
  <c r="I9" i="5"/>
  <c r="J9" i="5"/>
  <c r="E9" i="5"/>
  <c r="F9" i="5"/>
  <c r="D9" i="5"/>
  <c r="E8" i="5"/>
  <c r="F8" i="5"/>
  <c r="I8" i="5"/>
  <c r="J8" i="5"/>
  <c r="D8" i="5"/>
  <c r="C16" i="5"/>
  <c r="F20" i="6"/>
  <c r="J6" i="5"/>
  <c r="I6" i="5"/>
  <c r="C13" i="7"/>
  <c r="C17" i="7"/>
  <c r="C19" i="7"/>
  <c r="C31" i="7"/>
  <c r="D27" i="7"/>
  <c r="B22" i="1"/>
  <c r="C21" i="1"/>
  <c r="C17" i="1"/>
  <c r="D12" i="1"/>
  <c r="J9" i="1"/>
  <c r="I9" i="1"/>
  <c r="B5" i="1"/>
  <c r="H19" i="6" l="1"/>
  <c r="H28" i="6" s="1"/>
  <c r="H29" i="6" s="1"/>
  <c r="F18" i="6"/>
  <c r="F7" i="6"/>
  <c r="F19" i="6" s="1"/>
  <c r="G13" i="6"/>
  <c r="B23" i="1"/>
  <c r="J11" i="1"/>
  <c r="C9" i="1"/>
  <c r="C10" i="1"/>
  <c r="C19" i="1"/>
  <c r="C20" i="1" s="1"/>
  <c r="D13" i="1"/>
  <c r="E13" i="1"/>
  <c r="F13" i="1"/>
  <c r="G13" i="1"/>
  <c r="H13" i="1"/>
  <c r="I13" i="1"/>
  <c r="J13" i="1"/>
  <c r="K13" i="1"/>
  <c r="L13" i="1"/>
  <c r="M13" i="1"/>
  <c r="N13" i="1"/>
  <c r="O13" i="1"/>
  <c r="P13" i="1"/>
  <c r="Q13" i="1"/>
  <c r="R13" i="1"/>
  <c r="S13" i="1"/>
  <c r="T13" i="1"/>
  <c r="U13" i="1"/>
  <c r="V13" i="1"/>
  <c r="W13" i="1"/>
  <c r="X13" i="1"/>
  <c r="Y13" i="1"/>
  <c r="Z13" i="1"/>
  <c r="AA13" i="1"/>
  <c r="AB13" i="1"/>
  <c r="AC13" i="1"/>
  <c r="AD13" i="1"/>
  <c r="AE13" i="1"/>
  <c r="AF13" i="1"/>
  <c r="C13" i="1"/>
  <c r="K11" i="1"/>
  <c r="L11" i="1" s="1"/>
  <c r="M11" i="1" s="1"/>
  <c r="N11" i="1" s="1"/>
  <c r="O11" i="1" s="1"/>
  <c r="P11" i="1" s="1"/>
  <c r="Q11" i="1" s="1"/>
  <c r="R11" i="1" s="1"/>
  <c r="S11" i="1" s="1"/>
  <c r="T11" i="1" s="1"/>
  <c r="U11" i="1" s="1"/>
  <c r="V11" i="1" s="1"/>
  <c r="W11" i="1" s="1"/>
  <c r="X11" i="1" s="1"/>
  <c r="Y11" i="1" s="1"/>
  <c r="Z11" i="1" s="1"/>
  <c r="AA11" i="1" s="1"/>
  <c r="AB11" i="1" s="1"/>
  <c r="AC11" i="1" s="1"/>
  <c r="AD11" i="1" s="1"/>
  <c r="AE11" i="1" s="1"/>
  <c r="AF11" i="1" s="1"/>
  <c r="I11" i="1"/>
  <c r="H11" i="1"/>
  <c r="F11" i="1"/>
  <c r="E11" i="1"/>
  <c r="D11" i="1"/>
  <c r="C11" i="1"/>
  <c r="D10" i="1"/>
  <c r="E10" i="1"/>
  <c r="F10" i="1"/>
  <c r="G10" i="1"/>
  <c r="H10" i="1"/>
  <c r="I10" i="1"/>
  <c r="J10" i="1"/>
  <c r="K10" i="1"/>
  <c r="L10" i="1"/>
  <c r="M10" i="1"/>
  <c r="N10" i="1"/>
  <c r="O10" i="1"/>
  <c r="P10" i="1"/>
  <c r="Q10" i="1"/>
  <c r="R10" i="1"/>
  <c r="S10" i="1"/>
  <c r="T10" i="1"/>
  <c r="U10" i="1"/>
  <c r="V10" i="1"/>
  <c r="W10" i="1"/>
  <c r="X10" i="1"/>
  <c r="Y10" i="1"/>
  <c r="Z10" i="1"/>
  <c r="AA10" i="1"/>
  <c r="AB10" i="1"/>
  <c r="AC10" i="1"/>
  <c r="AD10" i="1"/>
  <c r="AE10" i="1"/>
  <c r="AF10" i="1"/>
  <c r="AF8" i="1"/>
  <c r="K9" i="1"/>
  <c r="D16" i="1"/>
  <c r="E16" i="1" s="1"/>
  <c r="F16" i="1" s="1"/>
  <c r="G16" i="1" s="1"/>
  <c r="H16" i="1" s="1"/>
  <c r="I16" i="1" s="1"/>
  <c r="J16" i="1" s="1"/>
  <c r="K16" i="1" s="1"/>
  <c r="L16" i="1" s="1"/>
  <c r="M16" i="1" s="1"/>
  <c r="N16" i="1" s="1"/>
  <c r="O16" i="1" s="1"/>
  <c r="P16" i="1" s="1"/>
  <c r="Q16" i="1" s="1"/>
  <c r="R16" i="1" s="1"/>
  <c r="S16" i="1" s="1"/>
  <c r="T16" i="1" s="1"/>
  <c r="U16" i="1" s="1"/>
  <c r="V16" i="1" s="1"/>
  <c r="W16" i="1" s="1"/>
  <c r="X16" i="1" s="1"/>
  <c r="Y16" i="1" s="1"/>
  <c r="Z16" i="1" s="1"/>
  <c r="AA16" i="1" s="1"/>
  <c r="AB16" i="1" s="1"/>
  <c r="AC16" i="1" s="1"/>
  <c r="AD16" i="1" s="1"/>
  <c r="AE16" i="1" s="1"/>
  <c r="AF16" i="1" s="1"/>
  <c r="D15" i="1"/>
  <c r="E15" i="1" s="1"/>
  <c r="F15" i="1" s="1"/>
  <c r="G15" i="1" s="1"/>
  <c r="E12" i="1"/>
  <c r="G11" i="1"/>
  <c r="D9" i="1"/>
  <c r="E9" i="1"/>
  <c r="F9" i="1"/>
  <c r="G9" i="1"/>
  <c r="H9" i="1"/>
  <c r="L27" i="1"/>
  <c r="C8" i="1" s="1"/>
  <c r="D8" i="1" s="1"/>
  <c r="C35" i="7"/>
  <c r="D28" i="7"/>
  <c r="D29" i="7" s="1"/>
  <c r="F26" i="7"/>
  <c r="G26" i="7" s="1"/>
  <c r="H26" i="7" s="1"/>
  <c r="I26" i="7" s="1"/>
  <c r="J26" i="7" s="1"/>
  <c r="K26" i="7" s="1"/>
  <c r="L26" i="7" s="1"/>
  <c r="M26" i="7" s="1"/>
  <c r="E26" i="7"/>
  <c r="E25" i="7"/>
  <c r="F25" i="7" s="1"/>
  <c r="D10" i="7"/>
  <c r="D11" i="7" s="1"/>
  <c r="E9" i="7"/>
  <c r="E10" i="7" s="1"/>
  <c r="F8" i="7"/>
  <c r="E8" i="7"/>
  <c r="H30" i="6" l="1"/>
  <c r="G18" i="6"/>
  <c r="H13" i="6"/>
  <c r="G19" i="6"/>
  <c r="G28" i="6" s="1"/>
  <c r="F12" i="1"/>
  <c r="G12" i="1" s="1"/>
  <c r="H12" i="1" s="1"/>
  <c r="I12" i="1" s="1"/>
  <c r="J12" i="1" s="1"/>
  <c r="K12" i="1" s="1"/>
  <c r="L12" i="1" s="1"/>
  <c r="M12" i="1" s="1"/>
  <c r="N12" i="1" s="1"/>
  <c r="O12" i="1" s="1"/>
  <c r="P12" i="1" s="1"/>
  <c r="Q12" i="1" s="1"/>
  <c r="R12" i="1" s="1"/>
  <c r="S12" i="1" s="1"/>
  <c r="T12" i="1" s="1"/>
  <c r="U12" i="1" s="1"/>
  <c r="V12" i="1" s="1"/>
  <c r="W12" i="1" s="1"/>
  <c r="X12" i="1" s="1"/>
  <c r="Y12" i="1" s="1"/>
  <c r="Z12" i="1" s="1"/>
  <c r="AA12" i="1" s="1"/>
  <c r="AB12" i="1" s="1"/>
  <c r="AC12" i="1" s="1"/>
  <c r="AD12" i="1" s="1"/>
  <c r="AE12" i="1" s="1"/>
  <c r="AF12" i="1" s="1"/>
  <c r="H15" i="1"/>
  <c r="I15" i="1" s="1"/>
  <c r="J15" i="1" s="1"/>
  <c r="K15" i="1" s="1"/>
  <c r="L15" i="1" s="1"/>
  <c r="M15" i="1" s="1"/>
  <c r="N15" i="1" s="1"/>
  <c r="O15" i="1" s="1"/>
  <c r="P15" i="1" s="1"/>
  <c r="Q15" i="1" s="1"/>
  <c r="R15" i="1" s="1"/>
  <c r="S15" i="1" s="1"/>
  <c r="T15" i="1" s="1"/>
  <c r="U15" i="1" s="1"/>
  <c r="V15" i="1" s="1"/>
  <c r="W15" i="1" s="1"/>
  <c r="X15" i="1" s="1"/>
  <c r="Y15" i="1" s="1"/>
  <c r="Z15" i="1" s="1"/>
  <c r="AA15" i="1" s="1"/>
  <c r="AB15" i="1" s="1"/>
  <c r="AC15" i="1" s="1"/>
  <c r="AD15" i="1" s="1"/>
  <c r="AE15" i="1" s="1"/>
  <c r="AF15" i="1" s="1"/>
  <c r="AF17" i="1" s="1"/>
  <c r="E8" i="1"/>
  <c r="F8" i="1" s="1"/>
  <c r="G8" i="1"/>
  <c r="F17" i="1"/>
  <c r="H17" i="1"/>
  <c r="E17" i="1"/>
  <c r="G17" i="1"/>
  <c r="D17" i="1"/>
  <c r="E11" i="7"/>
  <c r="E12" i="7" s="1"/>
  <c r="F10" i="7"/>
  <c r="F27" i="7"/>
  <c r="G25" i="7"/>
  <c r="D12" i="7"/>
  <c r="E27" i="7"/>
  <c r="G8" i="7"/>
  <c r="F9" i="7"/>
  <c r="G9" i="7" s="1"/>
  <c r="H9" i="7" s="1"/>
  <c r="I9" i="7" s="1"/>
  <c r="J9" i="7" s="1"/>
  <c r="K9" i="7" s="1"/>
  <c r="L9" i="7" s="1"/>
  <c r="M9" i="7" s="1"/>
  <c r="C37" i="4"/>
  <c r="D37" i="4" s="1"/>
  <c r="F37" i="4" s="1"/>
  <c r="G37" i="4" s="1"/>
  <c r="H37" i="4" s="1"/>
  <c r="M37" i="4" s="1"/>
  <c r="D11" i="4" s="1"/>
  <c r="J35" i="4"/>
  <c r="B35" i="4"/>
  <c r="C34" i="4"/>
  <c r="C33" i="4"/>
  <c r="D33" i="4" s="1"/>
  <c r="D32" i="4"/>
  <c r="F32" i="4" s="1"/>
  <c r="G32" i="4" s="1"/>
  <c r="H32" i="4" s="1"/>
  <c r="M32" i="4" s="1"/>
  <c r="C32" i="4"/>
  <c r="E20" i="4"/>
  <c r="E19" i="4"/>
  <c r="E15" i="4"/>
  <c r="E14" i="4"/>
  <c r="E10" i="4"/>
  <c r="E9" i="4"/>
  <c r="E8" i="4"/>
  <c r="E7" i="4"/>
  <c r="C10" i="3"/>
  <c r="D10" i="3"/>
  <c r="E10" i="3"/>
  <c r="D30" i="3"/>
  <c r="E30" i="3"/>
  <c r="E39" i="3"/>
  <c r="C56" i="3"/>
  <c r="C58" i="3" s="1"/>
  <c r="D25" i="3" s="1"/>
  <c r="D56" i="3"/>
  <c r="D58" i="3" s="1"/>
  <c r="E25" i="3" s="1"/>
  <c r="C69" i="3"/>
  <c r="D69" i="3"/>
  <c r="C78" i="3"/>
  <c r="D78" i="3"/>
  <c r="F53" i="2"/>
  <c r="E53" i="2"/>
  <c r="D53" i="2"/>
  <c r="C53" i="2"/>
  <c r="F52" i="2"/>
  <c r="E52" i="2"/>
  <c r="D52" i="2"/>
  <c r="C52" i="2"/>
  <c r="F51" i="2"/>
  <c r="E51" i="2"/>
  <c r="D51" i="2"/>
  <c r="C51" i="2"/>
  <c r="F50" i="2"/>
  <c r="E50" i="2"/>
  <c r="D50" i="2"/>
  <c r="C50" i="2"/>
  <c r="E41" i="2"/>
  <c r="F40" i="2" s="1"/>
  <c r="F27" i="2"/>
  <c r="E27" i="2"/>
  <c r="E28" i="2" s="1"/>
  <c r="D27" i="2"/>
  <c r="D28" i="2" s="1"/>
  <c r="F26" i="2"/>
  <c r="E26" i="2"/>
  <c r="D26" i="2"/>
  <c r="C26" i="2"/>
  <c r="C25" i="2"/>
  <c r="C27" i="2" s="1"/>
  <c r="C14" i="2"/>
  <c r="F11" i="2"/>
  <c r="E11" i="2"/>
  <c r="D11" i="2"/>
  <c r="D13" i="2" s="1"/>
  <c r="C11" i="2"/>
  <c r="C12" i="2" s="1"/>
  <c r="F9" i="2"/>
  <c r="E9" i="2"/>
  <c r="D9" i="2"/>
  <c r="D41" i="2" s="1"/>
  <c r="E40" i="2" s="1"/>
  <c r="E42" i="2" s="1"/>
  <c r="C9" i="2"/>
  <c r="G29" i="6" l="1"/>
  <c r="G30" i="6"/>
  <c r="F19" i="1"/>
  <c r="F20" i="1" s="1"/>
  <c r="C23" i="1"/>
  <c r="E19" i="1"/>
  <c r="E20" i="1" s="1"/>
  <c r="L9" i="1"/>
  <c r="H8" i="1"/>
  <c r="G19" i="1"/>
  <c r="G20" i="1" s="1"/>
  <c r="T17" i="1"/>
  <c r="Y17" i="1"/>
  <c r="V17" i="1"/>
  <c r="Z17" i="1"/>
  <c r="O17" i="1"/>
  <c r="AC17" i="1"/>
  <c r="AD17" i="1"/>
  <c r="M17" i="1"/>
  <c r="J17" i="1"/>
  <c r="Q17" i="1"/>
  <c r="P17" i="1"/>
  <c r="S17" i="1"/>
  <c r="L17" i="1"/>
  <c r="X17" i="1"/>
  <c r="I17" i="1"/>
  <c r="N17" i="1"/>
  <c r="AA17" i="1"/>
  <c r="AB17" i="1"/>
  <c r="R17" i="1"/>
  <c r="W17" i="1"/>
  <c r="U17" i="1"/>
  <c r="AE17" i="1"/>
  <c r="K17" i="1"/>
  <c r="D19" i="1"/>
  <c r="D20" i="1" s="1"/>
  <c r="F11" i="7"/>
  <c r="F12" i="7" s="1"/>
  <c r="H8" i="7"/>
  <c r="G10" i="7"/>
  <c r="E28" i="7"/>
  <c r="E29" i="7" s="1"/>
  <c r="G27" i="7"/>
  <c r="H25" i="7"/>
  <c r="F28" i="7"/>
  <c r="F29" i="7" s="1"/>
  <c r="I33" i="4"/>
  <c r="K33" i="4" s="1"/>
  <c r="L33" i="4" s="1"/>
  <c r="F33" i="4"/>
  <c r="G33" i="4" s="1"/>
  <c r="H33" i="4" s="1"/>
  <c r="E11" i="4"/>
  <c r="E12" i="4" s="1"/>
  <c r="D12" i="4"/>
  <c r="D34" i="4"/>
  <c r="I34" i="4" s="1"/>
  <c r="K34" i="4" s="1"/>
  <c r="L34" i="4" s="1"/>
  <c r="M34" i="4" s="1"/>
  <c r="C12" i="4"/>
  <c r="C17" i="4" s="1"/>
  <c r="C21" i="4" s="1"/>
  <c r="C80" i="3"/>
  <c r="D34" i="3" s="1"/>
  <c r="D80" i="3"/>
  <c r="E34" i="3" s="1"/>
  <c r="C13" i="3"/>
  <c r="D16" i="3" s="1"/>
  <c r="E21" i="3" s="1"/>
  <c r="E13" i="3"/>
  <c r="D13" i="3"/>
  <c r="F29" i="2"/>
  <c r="C28" i="2"/>
  <c r="C29" i="2" s="1"/>
  <c r="F42" i="2"/>
  <c r="F13" i="2"/>
  <c r="D12" i="2"/>
  <c r="F28" i="2"/>
  <c r="C41" i="2"/>
  <c r="E12" i="2"/>
  <c r="E15" i="2" s="1"/>
  <c r="E17" i="2" s="1"/>
  <c r="D15" i="2"/>
  <c r="D17" i="2" s="1"/>
  <c r="E13" i="2"/>
  <c r="F12" i="2"/>
  <c r="F15" i="2" s="1"/>
  <c r="F17" i="2" s="1"/>
  <c r="D29" i="2"/>
  <c r="C13" i="2"/>
  <c r="C15" i="2" s="1"/>
  <c r="C17" i="2" s="1"/>
  <c r="E29" i="2"/>
  <c r="F41" i="2"/>
  <c r="D21" i="1" l="1"/>
  <c r="D23" i="1" s="1"/>
  <c r="E21" i="1"/>
  <c r="E23" i="1" s="1"/>
  <c r="F21" i="1"/>
  <c r="F23" i="1" s="1"/>
  <c r="G21" i="1"/>
  <c r="G23" i="1" s="1"/>
  <c r="M9" i="1"/>
  <c r="H19" i="1"/>
  <c r="H20" i="1" s="1"/>
  <c r="I8" i="1"/>
  <c r="H27" i="7"/>
  <c r="I25" i="7"/>
  <c r="I8" i="7"/>
  <c r="H10" i="7"/>
  <c r="G28" i="7"/>
  <c r="G29" i="7" s="1"/>
  <c r="G11" i="7"/>
  <c r="G12" i="7" s="1"/>
  <c r="M33" i="4"/>
  <c r="M35" i="4" s="1"/>
  <c r="D16" i="4" s="1"/>
  <c r="E16" i="4" s="1"/>
  <c r="E17" i="4" s="1"/>
  <c r="E21" i="4" s="1"/>
  <c r="D21" i="3"/>
  <c r="D22" i="3" s="1"/>
  <c r="D23" i="3" s="1"/>
  <c r="D26" i="3" s="1"/>
  <c r="D31" i="3" s="1"/>
  <c r="D35" i="3" s="1"/>
  <c r="D41" i="3" s="1"/>
  <c r="D46" i="3" s="1"/>
  <c r="E22" i="3"/>
  <c r="E23" i="3" s="1"/>
  <c r="E26" i="3" s="1"/>
  <c r="E31" i="3" s="1"/>
  <c r="E35" i="3" s="1"/>
  <c r="E41" i="3" s="1"/>
  <c r="E46" i="3" s="1"/>
  <c r="E31" i="2"/>
  <c r="E35" i="2" s="1"/>
  <c r="E19" i="2"/>
  <c r="E33" i="2" s="1"/>
  <c r="E38" i="2" s="1"/>
  <c r="E44" i="2" s="1"/>
  <c r="E46" i="2" s="1"/>
  <c r="E21" i="2"/>
  <c r="E18" i="2"/>
  <c r="F21" i="2"/>
  <c r="F18" i="2"/>
  <c r="F19" i="2" s="1"/>
  <c r="F33" i="2" s="1"/>
  <c r="F38" i="2" s="1"/>
  <c r="F44" i="2" s="1"/>
  <c r="F46" i="2" s="1"/>
  <c r="F31" i="2"/>
  <c r="F35" i="2" s="1"/>
  <c r="C31" i="2"/>
  <c r="C35" i="2" s="1"/>
  <c r="C19" i="2"/>
  <c r="C33" i="2" s="1"/>
  <c r="C38" i="2" s="1"/>
  <c r="C44" i="2" s="1"/>
  <c r="C46" i="2" s="1"/>
  <c r="C21" i="2"/>
  <c r="C18" i="2"/>
  <c r="D21" i="2"/>
  <c r="D18" i="2"/>
  <c r="D19" i="2" s="1"/>
  <c r="D33" i="2" s="1"/>
  <c r="D38" i="2" s="1"/>
  <c r="D44" i="2" s="1"/>
  <c r="D46" i="2" s="1"/>
  <c r="D31" i="2"/>
  <c r="D35" i="2" s="1"/>
  <c r="C42" i="2"/>
  <c r="D40" i="2"/>
  <c r="D42" i="2" s="1"/>
  <c r="H21" i="1" l="1"/>
  <c r="H23" i="1" s="1"/>
  <c r="N9" i="1"/>
  <c r="J8" i="1"/>
  <c r="I19" i="1"/>
  <c r="I20" i="1" s="1"/>
  <c r="H28" i="7"/>
  <c r="H29" i="7" s="1"/>
  <c r="I10" i="7"/>
  <c r="J8" i="7"/>
  <c r="H12" i="7"/>
  <c r="H11" i="7"/>
  <c r="I27" i="7"/>
  <c r="J25" i="7"/>
  <c r="D17" i="4"/>
  <c r="D21" i="4" s="1"/>
  <c r="I21" i="1" l="1"/>
  <c r="I23" i="1" s="1"/>
  <c r="O9" i="1"/>
  <c r="K8" i="1"/>
  <c r="I28" i="7"/>
  <c r="I29" i="7" s="1"/>
  <c r="J27" i="7"/>
  <c r="K25" i="7"/>
  <c r="I11" i="7"/>
  <c r="I12" i="7" s="1"/>
  <c r="J10" i="7"/>
  <c r="K8" i="7"/>
  <c r="L8" i="1" l="1"/>
  <c r="P9" i="1"/>
  <c r="J19" i="1"/>
  <c r="J20" i="1" s="1"/>
  <c r="J11" i="7"/>
  <c r="J12" i="7" s="1"/>
  <c r="K10" i="7"/>
  <c r="L8" i="7"/>
  <c r="K27" i="7"/>
  <c r="L25" i="7"/>
  <c r="J29" i="7"/>
  <c r="J28" i="7"/>
  <c r="J21" i="1" l="1"/>
  <c r="J23" i="1" s="1"/>
  <c r="Q9" i="1"/>
  <c r="M8" i="1"/>
  <c r="K19" i="1"/>
  <c r="K20" i="1" s="1"/>
  <c r="M25" i="7"/>
  <c r="M27" i="7" s="1"/>
  <c r="L27" i="7"/>
  <c r="K28" i="7"/>
  <c r="K29" i="7" s="1"/>
  <c r="L10" i="7"/>
  <c r="M8" i="7"/>
  <c r="M10" i="7" s="1"/>
  <c r="K11" i="7"/>
  <c r="K12" i="7"/>
  <c r="K21" i="1" l="1"/>
  <c r="K23" i="1" s="1"/>
  <c r="N8" i="1"/>
  <c r="R9" i="1"/>
  <c r="L19" i="1"/>
  <c r="L20" i="1" s="1"/>
  <c r="M11" i="7"/>
  <c r="M12" i="7" s="1"/>
  <c r="L11" i="7"/>
  <c r="L12" i="7" s="1"/>
  <c r="M28" i="7"/>
  <c r="M29" i="7" s="1"/>
  <c r="L28" i="7"/>
  <c r="L29" i="7" s="1"/>
  <c r="S9" i="1" l="1"/>
  <c r="L21" i="1"/>
  <c r="L23" i="1" s="1"/>
  <c r="O8" i="1"/>
  <c r="M19" i="1"/>
  <c r="M20" i="1" s="1"/>
  <c r="C37" i="7"/>
  <c r="M21" i="1" l="1"/>
  <c r="M23" i="1" s="1"/>
  <c r="P8" i="1"/>
  <c r="T9" i="1"/>
  <c r="N19" i="1"/>
  <c r="N20" i="1" s="1"/>
  <c r="N21" i="1" l="1"/>
  <c r="N23" i="1" s="1"/>
  <c r="U9" i="1"/>
  <c r="Q8" i="1"/>
  <c r="O19" i="1"/>
  <c r="O20" i="1" s="1"/>
  <c r="O21" i="1" l="1"/>
  <c r="O23" i="1" s="1"/>
  <c r="R8" i="1"/>
  <c r="V9" i="1"/>
  <c r="P19" i="1"/>
  <c r="P20" i="1" s="1"/>
  <c r="P21" i="1" l="1"/>
  <c r="P23" i="1" s="1"/>
  <c r="W9" i="1"/>
  <c r="S8" i="1"/>
  <c r="Q19" i="1"/>
  <c r="Q20" i="1" s="1"/>
  <c r="Q21" i="1" l="1"/>
  <c r="Q23" i="1" s="1"/>
  <c r="T8" i="1"/>
  <c r="X9" i="1"/>
  <c r="R19" i="1"/>
  <c r="R20" i="1" s="1"/>
  <c r="R21" i="1" l="1"/>
  <c r="R23" i="1" s="1"/>
  <c r="Y9" i="1"/>
  <c r="U8" i="1"/>
  <c r="S19" i="1"/>
  <c r="S20" i="1" s="1"/>
  <c r="S21" i="1" l="1"/>
  <c r="S23" i="1" s="1"/>
  <c r="V8" i="1"/>
  <c r="Z9" i="1"/>
  <c r="T19" i="1"/>
  <c r="T20" i="1" s="1"/>
  <c r="T21" i="1" l="1"/>
  <c r="T23" i="1" s="1"/>
  <c r="AA9" i="1"/>
  <c r="W8" i="1"/>
  <c r="U19" i="1"/>
  <c r="U20" i="1" s="1"/>
  <c r="U21" i="1" l="1"/>
  <c r="U23" i="1" s="1"/>
  <c r="X8" i="1"/>
  <c r="AB9" i="1"/>
  <c r="V19" i="1"/>
  <c r="V20" i="1" s="1"/>
  <c r="V21" i="1" l="1"/>
  <c r="V23" i="1" s="1"/>
  <c r="AC9" i="1"/>
  <c r="Y8" i="1"/>
  <c r="W19" i="1"/>
  <c r="W20" i="1" s="1"/>
  <c r="W21" i="1" l="1"/>
  <c r="W23" i="1" s="1"/>
  <c r="Z8" i="1"/>
  <c r="AD9" i="1"/>
  <c r="X19" i="1"/>
  <c r="X20" i="1" s="1"/>
  <c r="X21" i="1" l="1"/>
  <c r="X23" i="1" s="1"/>
  <c r="AE9" i="1"/>
  <c r="AA8" i="1"/>
  <c r="Y19" i="1"/>
  <c r="Y20" i="1" s="1"/>
  <c r="AF9" i="1" l="1"/>
  <c r="Y21" i="1"/>
  <c r="Y23" i="1" s="1"/>
  <c r="AB8" i="1"/>
  <c r="Z19" i="1"/>
  <c r="Z20" i="1" s="1"/>
  <c r="Z21" i="1" l="1"/>
  <c r="Z23" i="1" s="1"/>
  <c r="AC8" i="1"/>
  <c r="AA19" i="1"/>
  <c r="AA20" i="1" s="1"/>
  <c r="AA21" i="1" l="1"/>
  <c r="AA23" i="1" s="1"/>
  <c r="AD8" i="1"/>
  <c r="AB19" i="1"/>
  <c r="AB20" i="1" s="1"/>
  <c r="AB21" i="1" l="1"/>
  <c r="AB23" i="1" s="1"/>
  <c r="AE8" i="1"/>
  <c r="AC19" i="1"/>
  <c r="AC20" i="1" s="1"/>
  <c r="AC21" i="1" l="1"/>
  <c r="AC23" i="1" s="1"/>
  <c r="AD19" i="1"/>
  <c r="AD20" i="1" s="1"/>
  <c r="AD21" i="1" l="1"/>
  <c r="AD23" i="1" s="1"/>
  <c r="AF19" i="1"/>
  <c r="AF20" i="1" s="1"/>
  <c r="AE19" i="1"/>
  <c r="AE20" i="1" s="1"/>
  <c r="AF21" i="1" l="1"/>
  <c r="AF23" i="1" s="1"/>
  <c r="AE21" i="1"/>
  <c r="AE23" i="1" s="1"/>
  <c r="B25" i="1"/>
</calcChain>
</file>

<file path=xl/sharedStrings.xml><?xml version="1.0" encoding="utf-8"?>
<sst xmlns="http://schemas.openxmlformats.org/spreadsheetml/2006/main" count="305" uniqueCount="269">
  <si>
    <t>Données</t>
  </si>
  <si>
    <t>Inflation</t>
  </si>
  <si>
    <t>Hypothèses/justification</t>
  </si>
  <si>
    <t>Amortissement</t>
  </si>
  <si>
    <t>Bénéfice d'exploitation</t>
  </si>
  <si>
    <t>Option 2 : Prestation de services-conseils</t>
  </si>
  <si>
    <t>Annexe I
Option 2 : Services-conseils</t>
  </si>
  <si>
    <t>Services-conseils :</t>
  </si>
  <si>
    <t>2021 (9 mois)</t>
  </si>
  <si>
    <t>Produits :</t>
  </si>
  <si>
    <t>Services-conseils</t>
  </si>
  <si>
    <t>Charges :</t>
  </si>
  <si>
    <t>Salaires</t>
  </si>
  <si>
    <t>Selon les employés et le salaire annuel, avec inflation</t>
  </si>
  <si>
    <t>Avantages sociaux</t>
  </si>
  <si>
    <t>25% des salaires versés, comme le reste de WDI</t>
  </si>
  <si>
    <t>Charges d'exploitation</t>
  </si>
  <si>
    <t>23% des salaires (déjà ajustés avec l'inflation)</t>
  </si>
  <si>
    <t>Marketing et dépenses connexes</t>
  </si>
  <si>
    <t>Incluant les frais de représentation déductibles à 50%</t>
  </si>
  <si>
    <t>Charges totales</t>
  </si>
  <si>
    <t>Impôt sur les bénéfices (26,5%)</t>
  </si>
  <si>
    <t xml:space="preserve">Bénéfice net de la division </t>
  </si>
  <si>
    <t xml:space="preserve">Marge d'exploitation </t>
  </si>
  <si>
    <t>Bénéfice différenciel - impact sur les activités actuelles</t>
  </si>
  <si>
    <t>Coût de renonciation découlant des recommandations perdues</t>
  </si>
  <si>
    <t>Application de la marge avant impôt, excluant l'amortissement car fixe, pour estimer les produits et charges des recommandations perdues</t>
  </si>
  <si>
    <t>Honoraires épargnés</t>
  </si>
  <si>
    <t>Bénéfice d'exploitation perdu</t>
  </si>
  <si>
    <t>En prenant en compte l'augmentation future des honoraires</t>
  </si>
  <si>
    <t xml:space="preserve">Bénéfice net perdu </t>
  </si>
  <si>
    <t xml:space="preserve">Bénéfice d'exploitation différentiel </t>
  </si>
  <si>
    <t>Bénéfice net différentiel</t>
  </si>
  <si>
    <t xml:space="preserve">Marge d'exploitation différentielle </t>
  </si>
  <si>
    <t xml:space="preserve">Flux de trésorerie disponibles </t>
  </si>
  <si>
    <t>Variation des comptes clients</t>
  </si>
  <si>
    <t xml:space="preserve">   Solde d'ouverture des comptes clients</t>
  </si>
  <si>
    <t xml:space="preserve">  Clients non encaissés fin d'année</t>
  </si>
  <si>
    <t xml:space="preserve">  Variation des comptse clients</t>
  </si>
  <si>
    <t>Flux de trésorerie nets  (objectif)</t>
  </si>
  <si>
    <t>Flux de trésorerie nets (en proportion de l'objectif)</t>
  </si>
  <si>
    <t>Heures facturables utilisées par semaine</t>
  </si>
  <si>
    <t>Thom Lancaster</t>
  </si>
  <si>
    <t>Techniciens</t>
  </si>
  <si>
    <t>Hypothèse : 4 semaines de vacances par année</t>
  </si>
  <si>
    <t>Techniciens superviseurs</t>
  </si>
  <si>
    <t>Ingénieurs principaux</t>
  </si>
  <si>
    <t>Données utilisées pour les calculs ci-dessus</t>
  </si>
  <si>
    <t>Nombre d’employés</t>
  </si>
  <si>
    <t>Salaire annuel de départ</t>
  </si>
  <si>
    <t>Adjoint administratif</t>
  </si>
  <si>
    <t>Heures facturables par personne</t>
  </si>
  <si>
    <t>Taux horaire facturable</t>
  </si>
  <si>
    <t>Option 3 - Usines de recyclage -Analyse de la MCV et de la perte découlant de la fermeture temporaire</t>
  </si>
  <si>
    <t xml:space="preserve">Objectif : Calculer la marge sur coûts variables des diverses matières recyclables ET déterminer la marge sur coûts variables différentielle ou la perte découlant de la fermeture temporaire de la division du recyclage. </t>
  </si>
  <si>
    <t>Carton ondulé</t>
  </si>
  <si>
    <t>Papiers mélangés</t>
  </si>
  <si>
    <t>Verre</t>
  </si>
  <si>
    <t>Total pour les matières recyclables actuelles</t>
  </si>
  <si>
    <t>Plastiques PET</t>
  </si>
  <si>
    <t>Aluminium</t>
  </si>
  <si>
    <t>Marge sur coûts variables liée à la vente de matières recyclées traitées</t>
  </si>
  <si>
    <t>Option 3 - Usines de recyclage - analyse de rentabilité</t>
  </si>
  <si>
    <t>Objectif : Calculer le bénéfice d’exploitation et le bénéfice net des différents scénarios pour la division du recyclage.</t>
  </si>
  <si>
    <t>Scénario 2</t>
  </si>
  <si>
    <t>Scénario 3 – 1</t>
  </si>
  <si>
    <t>Scénario 3 – 2</t>
  </si>
  <si>
    <t>Recyclage carton ondulé, vente verre et papiers</t>
  </si>
  <si>
    <t>Recyclage carton ondulé, ajout aluminium</t>
  </si>
  <si>
    <t>Recyclage carton ondulé, ajout plastiques</t>
  </si>
  <si>
    <t>Option 3 : Usines de recyclage - Analyse de l'investissement</t>
  </si>
  <si>
    <t>Objectif : Calculer la VAN du recyclage de l’aluminium et des plastiques PET, et les flux de trésorerie disponibles connexes.</t>
  </si>
  <si>
    <t>Option 4 : Évaluation de Pristine - Approche patrimoniale</t>
  </si>
  <si>
    <t>Objectif : Calculer la valeur de Pristine selon l’approche patrimoniale.</t>
  </si>
  <si>
    <t>Notes</t>
  </si>
  <si>
    <t xml:space="preserve">Valeur comptable </t>
  </si>
  <si>
    <t>Ajustement 
à la JVM</t>
  </si>
  <si>
    <t xml:space="preserve">JVM </t>
  </si>
  <si>
    <t>Trésorerie</t>
  </si>
  <si>
    <t xml:space="preserve">Créances clients, montant net </t>
  </si>
  <si>
    <t xml:space="preserve">Titres négociables </t>
  </si>
  <si>
    <t xml:space="preserve">Frais payés d’avance </t>
  </si>
  <si>
    <t>Impôts latents / frais de vente</t>
  </si>
  <si>
    <t>Note 1</t>
  </si>
  <si>
    <t>Immobilisations corporelles (net)</t>
  </si>
  <si>
    <t>R-D en cours</t>
  </si>
  <si>
    <t>Donnée fournie</t>
  </si>
  <si>
    <t xml:space="preserve">WDI n’a pas l’option d’acheter les actifs si elle décide de renoncer à l’achat des actions; il n’est donc pas nécessaire que l’analyse tienne compte d’un coût de renonciation lié à l’achat des actifs. </t>
  </si>
  <si>
    <t>Fournisseurs</t>
  </si>
  <si>
    <t xml:space="preserve">Impôts à payer </t>
  </si>
  <si>
    <t>Actif net</t>
  </si>
  <si>
    <t>Note 1: Calcul des impôts latents et des frais de vente pour les titres négociables et les immobilisations corporelles</t>
  </si>
  <si>
    <t>JVM (Ann. VIII)</t>
  </si>
  <si>
    <t>Frais de vente @ 5 % (Ann. VIII)</t>
  </si>
  <si>
    <t xml:space="preserve">Produit net </t>
  </si>
  <si>
    <t>PBR (Ann. VIII)</t>
  </si>
  <si>
    <t>Gain (perte) en capital</t>
  </si>
  <si>
    <t>Gain (perte) imposable</t>
  </si>
  <si>
    <t>Impôts estimés @ 24 %*</t>
  </si>
  <si>
    <t>Plus faible du prix et du produit</t>
  </si>
  <si>
    <t>FNACC (Ann. VIII)</t>
  </si>
  <si>
    <t>Récupération / (perte finale)</t>
  </si>
  <si>
    <t>Impôts estimés @ 26,5 %</t>
  </si>
  <si>
    <t>Impôts latents et frais de vente</t>
  </si>
  <si>
    <t>A</t>
  </si>
  <si>
    <t>B</t>
  </si>
  <si>
    <t>C = A - B</t>
  </si>
  <si>
    <t>D</t>
  </si>
  <si>
    <t>E = C - D</t>
  </si>
  <si>
    <t>F = E × 50 %</t>
  </si>
  <si>
    <t>G = F × 24 %</t>
  </si>
  <si>
    <t>H</t>
  </si>
  <si>
    <t>I</t>
  </si>
  <si>
    <t>J = H - I</t>
  </si>
  <si>
    <t>K = J × 26,5 %</t>
  </si>
  <si>
    <t>L = B + G + K</t>
  </si>
  <si>
    <t>Immobilisations corporelles</t>
  </si>
  <si>
    <t>Terrain</t>
  </si>
  <si>
    <t>Aucune récupération / perte finale sur le terrain</t>
  </si>
  <si>
    <t>Bâtiment</t>
  </si>
  <si>
    <t>Matériel</t>
  </si>
  <si>
    <t>Pas de perte en capital sur des immobilisations amortissables</t>
  </si>
  <si>
    <t>Total des immobilisations corporelles</t>
  </si>
  <si>
    <t>[5]</t>
  </si>
  <si>
    <t>Titres négociables</t>
  </si>
  <si>
    <t>Aucune récupération / perte finale sur les titres négociables</t>
  </si>
  <si>
    <t>[2]</t>
  </si>
  <si>
    <t>* Suppose que des dividendes suffisants sont versés pour obtenir un remboursement complet dans le compte de l’IMRTD (54 2/3 % - 30 2/3 % = 24 %).</t>
  </si>
  <si>
    <t>Option 4 : Évaluation de Pristine Méthode de la capitalisation des flux</t>
  </si>
  <si>
    <t>1. Normalisation du BAIIA</t>
  </si>
  <si>
    <t>Bénéfice avant impôts</t>
  </si>
  <si>
    <t>Éléments de normalisation :</t>
  </si>
  <si>
    <t>Salaires – propriétaire (réel)</t>
  </si>
  <si>
    <t>Augmentation des flux de trésorerie de 100 000$, car un poste similaire à celui de Connie est normalement rémunéré 400 000$ dans des sociétés comparables.</t>
  </si>
  <si>
    <t xml:space="preserve"> Loyers inférieurs aux taux du marché</t>
  </si>
  <si>
    <t>Diminution des flux de trésorerie de 125 000$, afin que les flux de trésorerie tiennent compte des tarifs en vigueur sur le marché.</t>
  </si>
  <si>
    <t>Bénéfice normalisé avant impôts</t>
  </si>
  <si>
    <t>Produits d’intérêts découlant des actifs excédentaires – 
   titres négociables</t>
  </si>
  <si>
    <t>Les titres négociables constituent des actifs excédentaires; les produits d’intérêts connexes doivent donc être éliminés.</t>
  </si>
  <si>
    <t>BAIIA normalisé</t>
  </si>
  <si>
    <t xml:space="preserve">
Bas : Moyenne de 2018 à 2020</t>
  </si>
  <si>
    <t>Haut : Montant de 2020</t>
  </si>
  <si>
    <t>Fourchette de BAIIA sélectionnée</t>
  </si>
  <si>
    <t>2. Tableau de capitalisation</t>
  </si>
  <si>
    <t>Bas</t>
  </si>
  <si>
    <t>Haut</t>
  </si>
  <si>
    <t>Fourchette de BAIIA choisie</t>
  </si>
  <si>
    <t>Impôts sur les bénéfices (26,5 %)</t>
  </si>
  <si>
    <t>Flux de trésorerie normalisés après impôts</t>
  </si>
  <si>
    <t>Réinvestissement de maintien, déduction faite de l'économie 
   d’impôts</t>
  </si>
  <si>
    <t>note 1</t>
  </si>
  <si>
    <t>Flux de trésorerie discrétionnaires disponibles prévisibles normalisés</t>
  </si>
  <si>
    <t>3. Flux de trésorerie discrétionnaire capitalisés</t>
  </si>
  <si>
    <t>CMPC – Taux de capitalisation</t>
  </si>
  <si>
    <t xml:space="preserve">Multiple de capitalisation, arrondi à deux décimales  </t>
  </si>
  <si>
    <t>Flux de trésorerie discrétionnaires capitalisés</t>
  </si>
  <si>
    <t>4. Valeur capitalisée des activités</t>
  </si>
  <si>
    <t>VA de l'économie d’impôts liée à la FNACC des actifs existants</t>
  </si>
  <si>
    <t>note 2</t>
  </si>
  <si>
    <t xml:space="preserve">Valeur capitalisée des activités </t>
  </si>
  <si>
    <t>5. Valeur des actifs excédentaires</t>
  </si>
  <si>
    <t>Ajouter la valeur des actifs excédentaires :</t>
  </si>
  <si>
    <t>Voir analyse approche patrimoniale</t>
  </si>
  <si>
    <t>Valeur de l’entreprise</t>
  </si>
  <si>
    <t>6. Emprunts portants intérpet</t>
  </si>
  <si>
    <t xml:space="preserve">Moins : Encours des emprunts portant intérêt   </t>
  </si>
  <si>
    <t>Valeur des capitaux propres</t>
  </si>
  <si>
    <t>Notes supplémentaires :</t>
  </si>
  <si>
    <t>Économie d’impôts liée au matériel</t>
  </si>
  <si>
    <t>Coût initial</t>
  </si>
  <si>
    <t>DPA</t>
  </si>
  <si>
    <t>Taux d’imposition</t>
  </si>
  <si>
    <t>Taux d’actualisation</t>
  </si>
  <si>
    <t>Valeur actualisée de l’économie 
   d’impôts</t>
  </si>
  <si>
    <t xml:space="preserve">Réinvestissement de mantien net </t>
  </si>
  <si>
    <t>Note 2</t>
  </si>
  <si>
    <t xml:space="preserve">Formule de l’économie d’impôts = [(JVM estimée ou Solde de la FNACC × Taux de DPA × Taux d’imposition) / (Taux d’actualisation + Taux de DPA)]   </t>
  </si>
  <si>
    <t>Économie d’impôts liée au bâtiment</t>
  </si>
  <si>
    <t>FNACC</t>
  </si>
  <si>
    <t>Note 1</t>
  </si>
  <si>
    <t>Valeur actualisée totale de la FNACC des actifs existants</t>
  </si>
  <si>
    <t>Flux de trésorerie d’exploitation nets liés à l’aluminium</t>
  </si>
  <si>
    <t>Total de la marge sur coûts variables</t>
  </si>
  <si>
    <t>Coûts d’exploitation différentiels, augmentant au taux de 2 %</t>
  </si>
  <si>
    <t>Flux de trésorerie d’exploitation différentiels avant impôts</t>
  </si>
  <si>
    <r>
      <t xml:space="preserve">Impôts sur les bénéfices </t>
    </r>
    <r>
      <rPr>
        <sz val="11"/>
        <color theme="1"/>
        <rFont val="Calibri"/>
        <family val="2"/>
      </rPr>
      <t>–</t>
    </r>
    <r>
      <rPr>
        <sz val="11"/>
        <color theme="1"/>
        <rFont val="Arial"/>
        <family val="2"/>
      </rPr>
      <t xml:space="preserve"> 26,5 %</t>
    </r>
  </si>
  <si>
    <t>Flux de trésorerie d’exploitation nets différentiels après impôts</t>
  </si>
  <si>
    <t>Valeur actualisée</t>
  </si>
  <si>
    <t>Investissement</t>
  </si>
  <si>
    <t>Économie d’impôts</t>
  </si>
  <si>
    <t>Valeur actualisée nette du recyclage d’aluminium</t>
  </si>
  <si>
    <r>
      <t xml:space="preserve">Flux de trésorerie d’exploitation nets liés aux plastiques </t>
    </r>
    <r>
      <rPr>
        <b/>
        <sz val="11"/>
        <color rgb="FFFF0000"/>
        <rFont val="Arial"/>
        <family val="2"/>
      </rPr>
      <t xml:space="preserve">PET </t>
    </r>
  </si>
  <si>
    <t>Valeur actualisée nette du recyclage de plastiques PET</t>
  </si>
  <si>
    <t>Analyse de projet d'investissement PPP</t>
  </si>
  <si>
    <t>Année 0</t>
  </si>
  <si>
    <t>Matriel (Catégorie 53)</t>
  </si>
  <si>
    <t xml:space="preserve">Capacité annuelle </t>
  </si>
  <si>
    <t>Tonnes</t>
  </si>
  <si>
    <t>Taux d'inflation</t>
  </si>
  <si>
    <t>Nombre de ménages unifamiliaux</t>
  </si>
  <si>
    <t>Débours</t>
  </si>
  <si>
    <t>Croissance annuelle  nombre MU</t>
  </si>
  <si>
    <t>Vente ménages unifamiliaux</t>
  </si>
  <si>
    <t>Vente clients commerciaux</t>
  </si>
  <si>
    <t>Hypothese augmentation annuelle a partir de fin 2028</t>
  </si>
  <si>
    <t>Employés embauchés</t>
  </si>
  <si>
    <t>Taux d'imposition</t>
  </si>
  <si>
    <t>Sortie de fond</t>
  </si>
  <si>
    <t>Cout de collecte</t>
  </si>
  <si>
    <t>Vente Compost</t>
  </si>
  <si>
    <t>Flux de trésorerie avant impot</t>
  </si>
  <si>
    <t>Total cout exploitation</t>
  </si>
  <si>
    <t>Total revenues</t>
  </si>
  <si>
    <t>Facturation par année MU</t>
  </si>
  <si>
    <t>Cout exploitation usine</t>
  </si>
  <si>
    <t>FM net d'impot</t>
  </si>
  <si>
    <t>Impot</t>
  </si>
  <si>
    <t>Quote de part de WDI</t>
  </si>
  <si>
    <t>Quote par de bénifice net avant impot</t>
  </si>
  <si>
    <t>VAN</t>
  </si>
  <si>
    <t xml:space="preserve">Autres clients commerciaux </t>
  </si>
  <si>
    <t>Frais annuel MU</t>
  </si>
  <si>
    <t>Nombre client MU</t>
  </si>
  <si>
    <t>Économie d'impot lié a l'ortissement</t>
  </si>
  <si>
    <t>Croissance vente CM</t>
  </si>
  <si>
    <t>taux d'actualisation il est dans le texte</t>
  </si>
  <si>
    <t>la capacité annuelle de traitement des 4 usines</t>
  </si>
  <si>
    <t>Remise</t>
  </si>
  <si>
    <t>Note</t>
  </si>
  <si>
    <t>On fait les calculs pour 2021</t>
  </si>
  <si>
    <t>Tonnes recus</t>
  </si>
  <si>
    <t>Ventes</t>
  </si>
  <si>
    <t xml:space="preserve">Cout variables </t>
  </si>
  <si>
    <t>Remise pour le plastique PET et l'aluminium</t>
  </si>
  <si>
    <t xml:space="preserve">les couts de main d'ouvre les autres couts d'éxploitations et l'amortissments ont fixes </t>
  </si>
  <si>
    <t xml:space="preserve">les cout d'éxploitation supplémentaires minimaux de 270 000 annuelement pour entretenir les batiments et le matériel et prévenir la détérioration pendant la fermeture </t>
  </si>
  <si>
    <t xml:space="preserve">les cout d'éxploitation supplémetaires </t>
  </si>
  <si>
    <t>Voir page 20 22 45</t>
  </si>
  <si>
    <t>(hypothése WDI traite les matieres recyclées)</t>
  </si>
  <si>
    <t>Perte de MCV sur les diverses matieres recyclables</t>
  </si>
  <si>
    <t>Perte temporaire découlant de la fermeture de la division recyclage</t>
  </si>
  <si>
    <t>MCV total</t>
  </si>
  <si>
    <t>Bénifice d'exploitation</t>
  </si>
  <si>
    <t>MCV unitaires</t>
  </si>
  <si>
    <t>Autres couts d'exploitaition (augmentation 1%)</t>
  </si>
  <si>
    <t>Cout de Main d'œuvre (augmentation selon le taux d'inflation)</t>
  </si>
  <si>
    <t>Chiffre d'affaire</t>
  </si>
  <si>
    <t xml:space="preserve">MCV pour les matieres recyclables </t>
  </si>
  <si>
    <t>Cout d'expoitation supplementaires minimaux</t>
  </si>
  <si>
    <t xml:space="preserve">Vente verre </t>
  </si>
  <si>
    <t>Recyclage carton ondulé</t>
  </si>
  <si>
    <t>Vente papier</t>
  </si>
  <si>
    <t>CMV Recyclage carton ondulé</t>
  </si>
  <si>
    <t>CMV verre</t>
  </si>
  <si>
    <t>CMV papier</t>
  </si>
  <si>
    <t>Vente Aluminium</t>
  </si>
  <si>
    <t>CMV aluminum</t>
  </si>
  <si>
    <t>CMV total</t>
  </si>
  <si>
    <t>Vente Plastique</t>
  </si>
  <si>
    <t>CMV Plastique</t>
  </si>
  <si>
    <t>Impots</t>
  </si>
  <si>
    <t>Coûts d’exploitation différentiels Aluminium</t>
  </si>
  <si>
    <t>Coûts d’exploitation différentiels plastique</t>
  </si>
  <si>
    <t>Pour 2022</t>
  </si>
  <si>
    <t>Amortissment matariel aluminium</t>
  </si>
  <si>
    <t>Amortissement matériel plastique</t>
  </si>
  <si>
    <t xml:space="preserve">Durée de vie </t>
  </si>
  <si>
    <t>10 ans</t>
  </si>
  <si>
    <t>Bénéfice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</si>
</sst>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0\ &quot;$&quot;_);[Red]\(#,##0\ &quot;$&quot;\)"/>
    <numFmt numFmtId="8" formatCode="#,##0.00\ &quot;$&quot;_);[Red]\(#,##0.00\ &quot;$&quot;\)"/>
    <numFmt numFmtId="42" formatCode="_ * #,##0_)\ &quot;$&quot;_ ;_ * \(#,##0\)\ &quot;$&quot;_ ;_ * &quot;-&quot;_)\ &quot;$&quot;_ ;_ @_ "/>
    <numFmt numFmtId="44" formatCode="_ * #,##0.00_)\ &quot;$&quot;_ ;_ * \(#,##0.00\)\ &quot;$&quot;_ ;_ * &quot;-&quot;??_)\ &quot;$&quot;_ ;_ @_ "/>
    <numFmt numFmtId="43" formatCode="_ * #,##0.00_)_ ;_ * \(#,##0.00\)_ ;_ * &quot;-&quot;??_)_ ;_ @_ "/>
    <numFmt numFmtId="164" formatCode="&quot;$&quot;#,##0.00_);[Red]\(&quot;$&quot;#,##0.00\)"/>
    <numFmt numFmtId="165" formatCode="_(&quot;$&quot;* #,##0_);_(&quot;$&quot;* \(#,##0\);_(&quot;$&quot;* &quot;-&quot;_);_(@_)"/>
    <numFmt numFmtId="166" formatCode="_(* #,##0_);_(* \(#,##0\);_(* &quot;-&quot;_);_(@_)"/>
    <numFmt numFmtId="167" formatCode="_(* #,##0.00_);_(* \(#,##0.00\);_(* &quot;-&quot;??_);_(@_)"/>
    <numFmt numFmtId="168" formatCode="_ * #,##0_)_ ;_ * \(#,##0\)_ ;_ * &quot;-&quot;??_)_ ;_ @_ "/>
    <numFmt numFmtId="169" formatCode="_ * #,##0.00_)\ _$_ ;_ * \(#,##0.00\)\ _$_ ;_ * &quot;-&quot;??_)\ _$_ ;_ @_ "/>
    <numFmt numFmtId="170" formatCode="_ * #,##0.0000_)_ ;_ * \(#,##0.0000\)_ ;_ * &quot;-&quot;??_)_ ;_ @_ "/>
    <numFmt numFmtId="171" formatCode="_ * #,##0_)\ _$_ ;_ * \(#,##0\)\ _$_ ;_ * &quot;-&quot;_)\ _$_ ;_ @_ "/>
    <numFmt numFmtId="172" formatCode="0_^%"/>
    <numFmt numFmtId="173" formatCode="_(* #,##0.00_);_(* \(#,##0.00\);_(* &quot;-&quot;_);_(@_)"/>
    <numFmt numFmtId="174" formatCode="0.0_^%"/>
    <numFmt numFmtId="175" formatCode="_(* #,##0.0000_);_(* \(#,##0.0000\);_(* &quot;-&quot;_);_(@_)"/>
    <numFmt numFmtId="176" formatCode="_-* #,##0.0000_-;\-* #,##0.0000_-;_-* &quot;-&quot;??_-;_-@_-"/>
    <numFmt numFmtId="177" formatCode="_(* #,##0_);_(* \(#,##0\);_(* &quot;-&quot;??_);_(@_)"/>
    <numFmt numFmtId="178" formatCode="_-* #,##0_-;\-* #,##0_-;_-* &quot;-&quot;_-;_-@_-"/>
    <numFmt numFmtId="179" formatCode="_-* #,##0_-;\-* #,##0_-;_-* &quot;-&quot;??_-;_-@_-"/>
    <numFmt numFmtId="180" formatCode="_-&quot;$&quot;* #,##0_-;\-&quot;$&quot;* #,##0_-;_-&quot;$&quot;* &quot;-&quot;??_-;_-@_-"/>
    <numFmt numFmtId="181" formatCode="&quot;$&quot;#,##0.00;[Red]\-&quot;$&quot;#,##0.00"/>
    <numFmt numFmtId="182" formatCode="0.0%"/>
    <numFmt numFmtId="183" formatCode="_ * #,##0.000_)\ &quot;$&quot;_ ;_ * \(#,##0.000\)\ &quot;$&quot;_ ;_ * &quot;-&quot;??_)\ &quot;$&quot;_ ;_ @_ "/>
    <numFmt numFmtId="184" formatCode="_ * #,##0.0000_)\ &quot;$&quot;_ ;_ * \(#,##0.0000\)\ &quot;$&quot;_ ;_ * &quot;-&quot;??_)\ &quot;$&quot;_ ;_ @_ "/>
    <numFmt numFmtId="185" formatCode="_ * #,##0.000000_)\ &quot;$&quot;_ ;_ * \(#,##0.000000\)\ &quot;$&quot;_ ;_ * &quot;-&quot;??_)\ &quot;$&quot;_ ;_ @_ "/>
  </numFmts>
  <fonts count="23" x14ac:knownFonts="1">
    <font>
      <sz val="11"/>
      <color theme="1"/>
      <name val="Calibri"/>
      <family val="2"/>
      <scheme val="minor"/>
    </font>
    <font>
      <sz val="11"/>
      <color theme="1"/>
      <name val="Calibri"/>
      <family val="2"/>
      <scheme val="minor"/>
    </font>
    <font>
      <sz val="10"/>
      <color theme="1"/>
      <name val="Arial"/>
      <family val="2"/>
    </font>
    <font>
      <b/>
      <u/>
      <sz val="12"/>
      <color theme="1"/>
      <name val="Arial"/>
      <family val="2"/>
    </font>
    <font>
      <sz val="12"/>
      <color theme="1"/>
      <name val="Arial"/>
      <family val="2"/>
    </font>
    <font>
      <i/>
      <sz val="12"/>
      <color theme="1"/>
      <name val="Arial"/>
      <family val="2"/>
    </font>
    <font>
      <b/>
      <sz val="12"/>
      <color theme="1"/>
      <name val="Arial"/>
      <family val="2"/>
    </font>
    <font>
      <b/>
      <i/>
      <sz val="12"/>
      <color theme="1"/>
      <name val="Arial"/>
      <family val="2"/>
    </font>
    <font>
      <b/>
      <sz val="12"/>
      <name val="Arial"/>
      <family val="2"/>
    </font>
    <font>
      <u/>
      <sz val="12"/>
      <color theme="1"/>
      <name val="Arial"/>
      <family val="2"/>
    </font>
    <font>
      <b/>
      <sz val="11"/>
      <color theme="1"/>
      <name val="Arial"/>
      <family val="2"/>
    </font>
    <font>
      <sz val="11"/>
      <name val="Arial"/>
      <family val="2"/>
    </font>
    <font>
      <sz val="11"/>
      <color theme="1"/>
      <name val="Arial"/>
      <family val="2"/>
    </font>
    <font>
      <b/>
      <sz val="11"/>
      <name val="Arial"/>
      <family val="2"/>
    </font>
    <font>
      <strike/>
      <sz val="11"/>
      <name val="Arial"/>
      <family val="2"/>
    </font>
    <font>
      <sz val="11"/>
      <color rgb="FFFF0000"/>
      <name val="Arial"/>
      <family val="2"/>
    </font>
    <font>
      <i/>
      <sz val="11"/>
      <name val="Arial"/>
      <family val="2"/>
    </font>
    <font>
      <sz val="12"/>
      <name val="Arial"/>
      <family val="2"/>
    </font>
    <font>
      <sz val="11"/>
      <name val="Calibri"/>
      <family val="2"/>
      <scheme val="minor"/>
    </font>
    <font>
      <sz val="11"/>
      <color theme="1"/>
      <name val="Calibri"/>
      <family val="2"/>
    </font>
    <font>
      <b/>
      <sz val="11"/>
      <color rgb="FFFF0000"/>
      <name val="Arial"/>
      <family val="2"/>
    </font>
    <font>
      <sz val="8"/>
      <name val="Calibri"/>
      <family val="2"/>
      <scheme val="minor"/>
    </font>
    <font>
      <sz val="11"/>
      <color theme="1" tint="0.14999847407452621"/>
      <name val="Arial"/>
      <family val="2"/>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rgb="FFFFC000"/>
        <bgColor indexed="64"/>
      </patternFill>
    </fill>
    <fill>
      <patternFill patternType="solid">
        <fgColor theme="8" tint="0.79998168889431442"/>
        <bgColor indexed="64"/>
      </patternFill>
    </fill>
  </fills>
  <borders count="16">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double">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293">
    <xf numFmtId="0" fontId="0" fillId="0" borderId="0" xfId="0"/>
    <xf numFmtId="43" fontId="2" fillId="2" borderId="0" xfId="1" applyFont="1" applyFill="1"/>
    <xf numFmtId="0" fontId="2" fillId="2" borderId="0" xfId="0" applyFont="1" applyFill="1"/>
    <xf numFmtId="49" fontId="3" fillId="2" borderId="1" xfId="0" applyNumberFormat="1" applyFont="1" applyFill="1" applyBorder="1"/>
    <xf numFmtId="43" fontId="4" fillId="2" borderId="0" xfId="1" applyFont="1" applyFill="1"/>
    <xf numFmtId="0" fontId="4" fillId="2" borderId="0" xfId="0" applyFont="1" applyFill="1"/>
    <xf numFmtId="0" fontId="5" fillId="2" borderId="0" xfId="0" applyFont="1" applyFill="1" applyAlignment="1">
      <alignment horizontal="left"/>
    </xf>
    <xf numFmtId="0" fontId="7" fillId="2" borderId="0" xfId="0" applyFont="1" applyFill="1" applyAlignment="1">
      <alignment horizontal="left"/>
    </xf>
    <xf numFmtId="0" fontId="5" fillId="2" borderId="0" xfId="0" applyFont="1" applyFill="1" applyAlignment="1">
      <alignment horizontal="left" wrapText="1"/>
    </xf>
    <xf numFmtId="10" fontId="4" fillId="2" borderId="0" xfId="1" applyNumberFormat="1" applyFont="1" applyFill="1" applyBorder="1"/>
    <xf numFmtId="43" fontId="4" fillId="2" borderId="0" xfId="1" applyFont="1" applyFill="1" applyBorder="1"/>
    <xf numFmtId="168" fontId="4" fillId="2" borderId="0" xfId="1" applyNumberFormat="1" applyFont="1" applyFill="1" applyBorder="1"/>
    <xf numFmtId="168" fontId="4" fillId="2" borderId="5" xfId="1" applyNumberFormat="1" applyFont="1" applyFill="1" applyBorder="1"/>
    <xf numFmtId="0" fontId="6" fillId="2" borderId="0" xfId="0" applyFont="1" applyFill="1"/>
    <xf numFmtId="168" fontId="4" fillId="2" borderId="0" xfId="1" applyNumberFormat="1" applyFont="1" applyFill="1"/>
    <xf numFmtId="168" fontId="4" fillId="2" borderId="0" xfId="0" applyNumberFormat="1" applyFont="1" applyFill="1"/>
    <xf numFmtId="9" fontId="4" fillId="2" borderId="0" xfId="2" applyFont="1" applyFill="1"/>
    <xf numFmtId="0" fontId="5" fillId="2" borderId="0" xfId="0" applyFont="1" applyFill="1"/>
    <xf numFmtId="43" fontId="7" fillId="2" borderId="0" xfId="1" applyFont="1" applyFill="1" applyAlignment="1">
      <alignment vertical="center"/>
    </xf>
    <xf numFmtId="43" fontId="6" fillId="2" borderId="0" xfId="1" applyFont="1" applyFill="1" applyAlignment="1">
      <alignment vertical="center"/>
    </xf>
    <xf numFmtId="0" fontId="4" fillId="2" borderId="0" xfId="0" applyFont="1" applyFill="1" applyAlignment="1">
      <alignment horizontal="center"/>
    </xf>
    <xf numFmtId="9" fontId="4" fillId="2" borderId="0" xfId="0" applyNumberFormat="1" applyFont="1" applyFill="1"/>
    <xf numFmtId="0" fontId="9" fillId="2" borderId="0" xfId="0" applyFont="1" applyFill="1" applyAlignment="1">
      <alignment vertical="center" wrapText="1"/>
    </xf>
    <xf numFmtId="0" fontId="6" fillId="2" borderId="0" xfId="0" applyFont="1" applyFill="1" applyAlignment="1">
      <alignment horizontal="center"/>
    </xf>
    <xf numFmtId="0" fontId="7" fillId="2" borderId="0" xfId="0" applyFont="1" applyFill="1"/>
    <xf numFmtId="0" fontId="4" fillId="2" borderId="0" xfId="0" applyFont="1" applyFill="1" applyAlignment="1">
      <alignment vertical="center" wrapText="1"/>
    </xf>
    <xf numFmtId="0" fontId="4" fillId="2" borderId="5" xfId="0" applyFont="1" applyFill="1" applyBorder="1" applyAlignment="1">
      <alignment vertical="center" wrapText="1"/>
    </xf>
    <xf numFmtId="168" fontId="4" fillId="2" borderId="5" xfId="1" applyNumberFormat="1" applyFont="1" applyFill="1" applyBorder="1" applyAlignment="1">
      <alignment horizontal="right" vertical="center" wrapText="1"/>
    </xf>
    <xf numFmtId="0" fontId="6" fillId="2" borderId="5" xfId="0" applyFont="1" applyFill="1" applyBorder="1" applyAlignment="1">
      <alignment vertical="center" wrapText="1"/>
    </xf>
    <xf numFmtId="168" fontId="4" fillId="2" borderId="5" xfId="0" applyNumberFormat="1" applyFont="1" applyFill="1" applyBorder="1"/>
    <xf numFmtId="9" fontId="4" fillId="2" borderId="0" xfId="1" applyNumberFormat="1" applyFont="1" applyFill="1"/>
    <xf numFmtId="170" fontId="4" fillId="2" borderId="0" xfId="1" applyNumberFormat="1" applyFont="1" applyFill="1"/>
    <xf numFmtId="0" fontId="6" fillId="2" borderId="0" xfId="0" applyFont="1" applyFill="1" applyAlignment="1">
      <alignment vertical="center" wrapText="1"/>
    </xf>
    <xf numFmtId="0" fontId="6" fillId="2" borderId="9" xfId="0" applyFont="1" applyFill="1" applyBorder="1" applyAlignment="1">
      <alignment vertical="center" wrapText="1"/>
    </xf>
    <xf numFmtId="168" fontId="6" fillId="2" borderId="9" xfId="1" applyNumberFormat="1" applyFont="1" applyFill="1" applyBorder="1"/>
    <xf numFmtId="0" fontId="5" fillId="2" borderId="0" xfId="0" applyFont="1" applyFill="1" applyAlignment="1">
      <alignment wrapText="1"/>
    </xf>
    <xf numFmtId="0" fontId="6" fillId="2" borderId="7" xfId="0" applyFont="1" applyFill="1" applyBorder="1"/>
    <xf numFmtId="9" fontId="8" fillId="2" borderId="6" xfId="2" applyFont="1" applyFill="1" applyBorder="1" applyAlignment="1">
      <alignment horizontal="center"/>
    </xf>
    <xf numFmtId="9" fontId="8" fillId="2" borderId="8" xfId="2" applyFont="1" applyFill="1" applyBorder="1" applyAlignment="1">
      <alignment horizontal="center"/>
    </xf>
    <xf numFmtId="9" fontId="4" fillId="2" borderId="0" xfId="2" applyFont="1" applyFill="1" applyBorder="1"/>
    <xf numFmtId="0" fontId="3" fillId="2" borderId="0" xfId="0" applyFont="1" applyFill="1" applyAlignment="1">
      <alignment vertical="center"/>
    </xf>
    <xf numFmtId="169" fontId="5" fillId="2" borderId="0" xfId="0" applyNumberFormat="1" applyFont="1" applyFill="1" applyAlignment="1">
      <alignment wrapText="1"/>
    </xf>
    <xf numFmtId="0" fontId="4" fillId="2" borderId="0" xfId="0" applyFont="1" applyFill="1" applyAlignment="1">
      <alignment horizontal="right" wrapText="1"/>
    </xf>
    <xf numFmtId="0" fontId="4" fillId="2" borderId="5" xfId="0" applyFont="1" applyFill="1" applyBorder="1"/>
    <xf numFmtId="0" fontId="5" fillId="2" borderId="0" xfId="0" applyFont="1" applyFill="1" applyAlignment="1">
      <alignment horizontal="right" wrapText="1"/>
    </xf>
    <xf numFmtId="0" fontId="4" fillId="2" borderId="10" xfId="0" applyFont="1" applyFill="1" applyBorder="1" applyAlignment="1">
      <alignment vertical="center" wrapText="1"/>
    </xf>
    <xf numFmtId="168" fontId="4" fillId="2" borderId="10" xfId="1" applyNumberFormat="1" applyFont="1" applyFill="1" applyBorder="1"/>
    <xf numFmtId="168" fontId="6" fillId="2" borderId="0" xfId="1" applyNumberFormat="1" applyFont="1" applyFill="1" applyBorder="1"/>
    <xf numFmtId="0" fontId="4" fillId="2" borderId="5" xfId="0" applyFont="1" applyFill="1" applyBorder="1" applyAlignment="1">
      <alignment vertical="center"/>
    </xf>
    <xf numFmtId="0" fontId="4" fillId="2" borderId="11" xfId="0" applyFont="1" applyFill="1" applyBorder="1" applyAlignment="1">
      <alignment vertical="center" wrapText="1"/>
    </xf>
    <xf numFmtId="168" fontId="4" fillId="2" borderId="11" xfId="1" applyNumberFormat="1" applyFont="1" applyFill="1" applyBorder="1"/>
    <xf numFmtId="168" fontId="8" fillId="0" borderId="6" xfId="0" applyNumberFormat="1" applyFont="1" applyBorder="1"/>
    <xf numFmtId="0" fontId="5" fillId="2" borderId="0" xfId="0" applyFont="1" applyFill="1" applyAlignment="1">
      <alignment vertical="center"/>
    </xf>
    <xf numFmtId="43" fontId="4" fillId="2" borderId="0" xfId="0" applyNumberFormat="1" applyFont="1" applyFill="1"/>
    <xf numFmtId="0" fontId="6" fillId="2" borderId="12"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4" fillId="2" borderId="12" xfId="0" applyFont="1" applyFill="1" applyBorder="1" applyAlignment="1">
      <alignment vertical="center"/>
    </xf>
    <xf numFmtId="0" fontId="4" fillId="2" borderId="12" xfId="0" applyFont="1" applyFill="1" applyBorder="1" applyAlignment="1">
      <alignment horizontal="right" vertical="center" wrapText="1"/>
    </xf>
    <xf numFmtId="0" fontId="5" fillId="2" borderId="12" xfId="0" applyFont="1" applyFill="1" applyBorder="1" applyAlignment="1">
      <alignment horizontal="right" vertical="center" wrapText="1"/>
    </xf>
    <xf numFmtId="6" fontId="4" fillId="2" borderId="12" xfId="0" applyNumberFormat="1" applyFont="1" applyFill="1" applyBorder="1" applyAlignment="1">
      <alignment horizontal="right" vertical="center" wrapText="1"/>
    </xf>
    <xf numFmtId="0" fontId="4" fillId="2" borderId="12" xfId="0" applyFont="1" applyFill="1" applyBorder="1" applyAlignment="1">
      <alignment vertical="center" wrapText="1"/>
    </xf>
    <xf numFmtId="3" fontId="4" fillId="2" borderId="12" xfId="0" applyNumberFormat="1" applyFont="1" applyFill="1" applyBorder="1" applyAlignment="1">
      <alignment horizontal="right" vertical="center" wrapText="1"/>
    </xf>
    <xf numFmtId="3" fontId="5" fillId="2" borderId="12" xfId="0" applyNumberFormat="1" applyFont="1" applyFill="1" applyBorder="1" applyAlignment="1">
      <alignment horizontal="right" vertical="center" wrapText="1"/>
    </xf>
    <xf numFmtId="6" fontId="4" fillId="2" borderId="0" xfId="0" applyNumberFormat="1" applyFont="1" applyFill="1"/>
    <xf numFmtId="0" fontId="4" fillId="2" borderId="2" xfId="0" applyFont="1" applyFill="1" applyBorder="1"/>
    <xf numFmtId="3" fontId="5" fillId="2" borderId="0" xfId="0" applyNumberFormat="1" applyFont="1" applyFill="1" applyAlignment="1">
      <alignment horizontal="right" vertical="center" wrapText="1"/>
    </xf>
    <xf numFmtId="0" fontId="4" fillId="2" borderId="3" xfId="0" applyFont="1" applyFill="1" applyBorder="1"/>
    <xf numFmtId="9" fontId="4" fillId="2" borderId="4" xfId="0" applyNumberFormat="1" applyFont="1" applyFill="1" applyBorder="1"/>
    <xf numFmtId="166" fontId="11" fillId="0" borderId="0" xfId="0" applyNumberFormat="1" applyFont="1"/>
    <xf numFmtId="0" fontId="10" fillId="0" borderId="0" xfId="0" applyFont="1"/>
    <xf numFmtId="0" fontId="12" fillId="0" borderId="0" xfId="0" applyFont="1"/>
    <xf numFmtId="166" fontId="11" fillId="0" borderId="0" xfId="0" applyNumberFormat="1" applyFont="1" applyAlignment="1">
      <alignment horizontal="left"/>
    </xf>
    <xf numFmtId="166" fontId="13" fillId="0" borderId="0" xfId="0" applyNumberFormat="1" applyFont="1" applyAlignment="1">
      <alignment horizontal="center"/>
    </xf>
    <xf numFmtId="0" fontId="13" fillId="0" borderId="5" xfId="0" quotePrefix="1" applyFont="1" applyBorder="1" applyAlignment="1">
      <alignment horizontal="center" wrapText="1"/>
    </xf>
    <xf numFmtId="0" fontId="10" fillId="0" borderId="0" xfId="0" quotePrefix="1" applyFont="1" applyAlignment="1">
      <alignment horizontal="center" wrapText="1"/>
    </xf>
    <xf numFmtId="0" fontId="11" fillId="0" borderId="0" xfId="0" applyFont="1" applyAlignment="1">
      <alignment horizontal="center"/>
    </xf>
    <xf numFmtId="171" fontId="11" fillId="0" borderId="0" xfId="1" applyNumberFormat="1" applyFont="1" applyFill="1" applyBorder="1" applyAlignment="1"/>
    <xf numFmtId="166" fontId="11" fillId="0" borderId="0" xfId="1" applyNumberFormat="1" applyFont="1" applyFill="1" applyBorder="1" applyAlignment="1">
      <alignment horizontal="right" wrapText="1"/>
    </xf>
    <xf numFmtId="171" fontId="11" fillId="0" borderId="0" xfId="1" applyNumberFormat="1" applyFont="1" applyFill="1" applyBorder="1" applyAlignment="1">
      <alignment horizontal="right" wrapText="1"/>
    </xf>
    <xf numFmtId="0" fontId="11" fillId="0" borderId="0" xfId="0" applyFont="1" applyAlignment="1">
      <alignment horizontal="left"/>
    </xf>
    <xf numFmtId="171" fontId="11" fillId="0" borderId="10" xfId="1" applyNumberFormat="1" applyFont="1" applyFill="1" applyBorder="1" applyAlignment="1"/>
    <xf numFmtId="171" fontId="11" fillId="0" borderId="5" xfId="1" applyNumberFormat="1" applyFont="1" applyFill="1" applyBorder="1" applyAlignment="1"/>
    <xf numFmtId="42" fontId="11" fillId="0" borderId="11" xfId="1" applyNumberFormat="1" applyFont="1" applyFill="1" applyBorder="1" applyAlignment="1"/>
    <xf numFmtId="165" fontId="11" fillId="0" borderId="0" xfId="1" applyNumberFormat="1" applyFont="1" applyFill="1" applyBorder="1" applyAlignment="1">
      <alignment horizontal="right" wrapText="1"/>
    </xf>
    <xf numFmtId="0" fontId="11" fillId="0" borderId="0" xfId="0" applyFont="1" applyAlignment="1">
      <alignment horizontal="center" wrapText="1"/>
    </xf>
    <xf numFmtId="166" fontId="11" fillId="0" borderId="0" xfId="0" applyNumberFormat="1" applyFont="1" applyAlignment="1">
      <alignment horizontal="center" wrapText="1"/>
    </xf>
    <xf numFmtId="166" fontId="11" fillId="0" borderId="0" xfId="0" applyNumberFormat="1" applyFont="1" applyAlignment="1">
      <alignment horizontal="center"/>
    </xf>
    <xf numFmtId="166" fontId="11" fillId="0" borderId="0" xfId="0" applyNumberFormat="1" applyFont="1" applyAlignment="1">
      <alignment vertical="top"/>
    </xf>
    <xf numFmtId="166" fontId="11" fillId="0" borderId="0" xfId="0" applyNumberFormat="1" applyFont="1" applyAlignment="1">
      <alignment wrapText="1"/>
    </xf>
    <xf numFmtId="166" fontId="13" fillId="0" borderId="0" xfId="0" applyNumberFormat="1" applyFont="1"/>
    <xf numFmtId="0" fontId="13" fillId="0" borderId="5" xfId="0" applyFont="1" applyBorder="1" applyAlignment="1">
      <alignment horizontal="center"/>
    </xf>
    <xf numFmtId="166" fontId="13" fillId="0" borderId="5" xfId="0" applyNumberFormat="1" applyFont="1" applyBorder="1" applyAlignment="1">
      <alignment horizontal="center"/>
    </xf>
    <xf numFmtId="42" fontId="11" fillId="0" borderId="0" xfId="1" applyNumberFormat="1" applyFont="1" applyFill="1" applyBorder="1" applyAlignment="1"/>
    <xf numFmtId="172" fontId="11" fillId="0" borderId="0" xfId="2" applyNumberFormat="1" applyFont="1" applyFill="1" applyBorder="1" applyAlignment="1"/>
    <xf numFmtId="173" fontId="11" fillId="0" borderId="5" xfId="1" applyNumberFormat="1" applyFont="1" applyFill="1" applyBorder="1" applyAlignment="1"/>
    <xf numFmtId="166" fontId="14" fillId="0" borderId="0" xfId="0" applyNumberFormat="1" applyFont="1"/>
    <xf numFmtId="166" fontId="15" fillId="0" borderId="0" xfId="0" applyNumberFormat="1" applyFont="1"/>
    <xf numFmtId="171" fontId="11" fillId="0" borderId="9" xfId="1" applyNumberFormat="1" applyFont="1" applyFill="1" applyBorder="1" applyAlignment="1"/>
    <xf numFmtId="0" fontId="11" fillId="0" borderId="0" xfId="0" applyFont="1"/>
    <xf numFmtId="166" fontId="11" fillId="0" borderId="0" xfId="0" applyNumberFormat="1" applyFont="1" applyAlignment="1">
      <alignment vertical="center" wrapText="1"/>
    </xf>
    <xf numFmtId="167" fontId="12" fillId="0" borderId="0" xfId="0" applyNumberFormat="1" applyFont="1"/>
    <xf numFmtId="171" fontId="12" fillId="0" borderId="0" xfId="0" applyNumberFormat="1" applyFont="1"/>
    <xf numFmtId="171" fontId="11" fillId="0" borderId="0" xfId="0" applyNumberFormat="1" applyFont="1"/>
    <xf numFmtId="172" fontId="12" fillId="0" borderId="0" xfId="2" applyNumberFormat="1" applyFont="1"/>
    <xf numFmtId="172" fontId="11" fillId="0" borderId="0" xfId="2" applyNumberFormat="1" applyFont="1"/>
    <xf numFmtId="174" fontId="12" fillId="0" borderId="0" xfId="2" applyNumberFormat="1" applyFont="1"/>
    <xf numFmtId="174" fontId="11" fillId="0" borderId="0" xfId="2" applyNumberFormat="1" applyFont="1"/>
    <xf numFmtId="175" fontId="11" fillId="0" borderId="0" xfId="0" applyNumberFormat="1" applyFont="1" applyAlignment="1">
      <alignment wrapText="1"/>
    </xf>
    <xf numFmtId="176" fontId="11" fillId="0" borderId="0" xfId="1" applyNumberFormat="1" applyFont="1" applyFill="1" applyBorder="1" applyAlignment="1">
      <alignment wrapText="1"/>
    </xf>
    <xf numFmtId="172" fontId="12" fillId="0" borderId="5" xfId="2" applyNumberFormat="1" applyFont="1" applyBorder="1"/>
    <xf numFmtId="172" fontId="11" fillId="0" borderId="5" xfId="2" applyNumberFormat="1" applyFont="1" applyBorder="1"/>
    <xf numFmtId="167" fontId="12" fillId="0" borderId="0" xfId="0" applyNumberFormat="1" applyFont="1" applyAlignment="1">
      <alignment vertical="top" wrapText="1"/>
    </xf>
    <xf numFmtId="171" fontId="11" fillId="0" borderId="5" xfId="0" applyNumberFormat="1" applyFont="1" applyBorder="1"/>
    <xf numFmtId="177" fontId="12" fillId="0" borderId="5" xfId="0" applyNumberFormat="1" applyFont="1" applyBorder="1"/>
    <xf numFmtId="177" fontId="11" fillId="0" borderId="5" xfId="0" applyNumberFormat="1" applyFont="1" applyBorder="1"/>
    <xf numFmtId="171" fontId="11" fillId="0" borderId="11" xfId="0" applyNumberFormat="1" applyFont="1" applyBorder="1"/>
    <xf numFmtId="178" fontId="11" fillId="0" borderId="0" xfId="0" applyNumberFormat="1" applyFont="1" applyAlignment="1">
      <alignment horizontal="left"/>
    </xf>
    <xf numFmtId="167" fontId="11" fillId="0" borderId="0" xfId="0" applyNumberFormat="1" applyFont="1"/>
    <xf numFmtId="177" fontId="12" fillId="0" borderId="0" xfId="0" applyNumberFormat="1" applyFont="1"/>
    <xf numFmtId="177" fontId="11" fillId="0" borderId="0" xfId="0" applyNumberFormat="1" applyFont="1"/>
    <xf numFmtId="166" fontId="16" fillId="0" borderId="0" xfId="0" applyNumberFormat="1" applyFont="1"/>
    <xf numFmtId="164" fontId="11" fillId="0" borderId="0" xfId="0" applyNumberFormat="1" applyFont="1" applyAlignment="1">
      <alignment wrapText="1"/>
    </xf>
    <xf numFmtId="166" fontId="16" fillId="0" borderId="0" xfId="0" applyNumberFormat="1" applyFont="1" applyAlignment="1">
      <alignment horizontal="right" wrapText="1"/>
    </xf>
    <xf numFmtId="0" fontId="10" fillId="0" borderId="0" xfId="0" applyFont="1" applyAlignment="1">
      <alignment wrapText="1"/>
    </xf>
    <xf numFmtId="166" fontId="11" fillId="0" borderId="0" xfId="1" applyNumberFormat="1" applyFont="1" applyFill="1" applyBorder="1" applyAlignment="1">
      <alignment horizontal="center" wrapText="1"/>
    </xf>
    <xf numFmtId="0" fontId="5" fillId="0" borderId="15" xfId="0" applyFont="1" applyBorder="1"/>
    <xf numFmtId="171" fontId="13" fillId="0" borderId="0" xfId="1" applyNumberFormat="1" applyFont="1" applyFill="1" applyBorder="1" applyAlignment="1"/>
    <xf numFmtId="0" fontId="11" fillId="0" borderId="0" xfId="0" applyFont="1" applyAlignment="1">
      <alignment horizontal="left" vertical="center"/>
    </xf>
    <xf numFmtId="166" fontId="13" fillId="0" borderId="0" xfId="0" applyNumberFormat="1" applyFont="1" applyAlignment="1">
      <alignment vertical="center"/>
    </xf>
    <xf numFmtId="166" fontId="11" fillId="0" borderId="0" xfId="0" applyNumberFormat="1" applyFont="1" applyAlignment="1">
      <alignment horizontal="left" vertical="center" indent="5"/>
    </xf>
    <xf numFmtId="166" fontId="11" fillId="0" borderId="5" xfId="0" applyNumberFormat="1" applyFont="1" applyBorder="1" applyAlignment="1">
      <alignment horizontal="center" wrapText="1"/>
    </xf>
    <xf numFmtId="166" fontId="13" fillId="0" borderId="5" xfId="0" applyNumberFormat="1" applyFont="1" applyBorder="1" applyAlignment="1">
      <alignment horizontal="center" wrapText="1"/>
    </xf>
    <xf numFmtId="166" fontId="11" fillId="0" borderId="0" xfId="0" applyNumberFormat="1" applyFont="1" applyAlignment="1">
      <alignment vertical="center"/>
    </xf>
    <xf numFmtId="167" fontId="12" fillId="0" borderId="0" xfId="0" applyNumberFormat="1" applyFont="1" applyAlignment="1">
      <alignment horizontal="center"/>
    </xf>
    <xf numFmtId="166" fontId="11" fillId="0" borderId="0" xfId="0" applyNumberFormat="1" applyFont="1" applyAlignment="1">
      <alignment horizontal="center" vertical="center" wrapText="1"/>
    </xf>
    <xf numFmtId="171" fontId="11" fillId="0" borderId="0" xfId="1" applyNumberFormat="1" applyFont="1" applyFill="1" applyBorder="1" applyAlignment="1">
      <alignment vertical="center" wrapText="1"/>
    </xf>
    <xf numFmtId="167" fontId="11" fillId="0" borderId="0" xfId="0" applyNumberFormat="1" applyFont="1" applyAlignment="1">
      <alignment horizontal="center"/>
    </xf>
    <xf numFmtId="166" fontId="13" fillId="0" borderId="0" xfId="0" applyNumberFormat="1" applyFont="1" applyAlignment="1">
      <alignment vertical="center" wrapText="1"/>
    </xf>
    <xf numFmtId="165" fontId="11" fillId="0" borderId="0" xfId="1" applyNumberFormat="1" applyFont="1" applyFill="1" applyBorder="1" applyAlignment="1">
      <alignment horizontal="right" vertical="center" wrapText="1"/>
    </xf>
    <xf numFmtId="166" fontId="11" fillId="0" borderId="5" xfId="0" applyNumberFormat="1" applyFont="1" applyBorder="1" applyAlignment="1">
      <alignment horizontal="center" vertical="center" wrapText="1"/>
    </xf>
    <xf numFmtId="0" fontId="11" fillId="0" borderId="5" xfId="0" applyFont="1" applyBorder="1" applyAlignment="1">
      <alignment horizontal="center" vertical="center" wrapText="1"/>
    </xf>
    <xf numFmtId="166" fontId="16" fillId="0" borderId="0" xfId="0" applyNumberFormat="1" applyFont="1" applyAlignment="1">
      <alignment horizontal="center" vertical="center" wrapText="1"/>
    </xf>
    <xf numFmtId="166" fontId="11" fillId="0" borderId="0" xfId="0" applyNumberFormat="1" applyFont="1" applyAlignment="1">
      <alignment horizontal="left" vertical="center" wrapText="1" indent="1"/>
    </xf>
    <xf numFmtId="166" fontId="11" fillId="0" borderId="0" xfId="0" applyNumberFormat="1" applyFont="1" applyAlignment="1">
      <alignment horizontal="center" vertical="center"/>
    </xf>
    <xf numFmtId="166" fontId="11" fillId="0" borderId="0" xfId="1" applyNumberFormat="1" applyFont="1" applyFill="1" applyBorder="1" applyAlignment="1">
      <alignment horizontal="center" vertical="center" wrapText="1"/>
    </xf>
    <xf numFmtId="166" fontId="11" fillId="0" borderId="9" xfId="0" applyNumberFormat="1" applyFont="1" applyBorder="1" applyAlignment="1">
      <alignment horizontal="left" vertical="center" indent="1"/>
    </xf>
    <xf numFmtId="166" fontId="11" fillId="0" borderId="0" xfId="0" applyNumberFormat="1" applyFont="1" applyAlignment="1">
      <alignment horizontal="left" vertical="center" indent="1"/>
    </xf>
    <xf numFmtId="166" fontId="11" fillId="0" borderId="9" xfId="0" applyNumberFormat="1" applyFont="1" applyBorder="1"/>
    <xf numFmtId="166" fontId="11" fillId="0" borderId="0" xfId="0" applyNumberFormat="1" applyFont="1" applyAlignment="1">
      <alignment horizontal="right" vertical="center"/>
    </xf>
    <xf numFmtId="166" fontId="11" fillId="0" borderId="0" xfId="1" applyNumberFormat="1" applyFont="1" applyFill="1" applyBorder="1" applyAlignment="1">
      <alignment horizontal="right" vertical="center" wrapText="1"/>
    </xf>
    <xf numFmtId="0" fontId="13" fillId="0" borderId="0" xfId="0" applyFont="1" applyAlignment="1">
      <alignment horizontal="center"/>
    </xf>
    <xf numFmtId="0" fontId="13" fillId="0" borderId="0" xfId="0" applyFont="1" applyAlignment="1">
      <alignment horizontal="center" wrapText="1"/>
    </xf>
    <xf numFmtId="167" fontId="13" fillId="0" borderId="0" xfId="0" applyNumberFormat="1" applyFont="1" applyAlignment="1">
      <alignment horizontal="center" wrapText="1"/>
    </xf>
    <xf numFmtId="0" fontId="13" fillId="0" borderId="0" xfId="0" applyFont="1"/>
    <xf numFmtId="169" fontId="11" fillId="0" borderId="0" xfId="1" applyNumberFormat="1" applyFont="1" applyBorder="1"/>
    <xf numFmtId="169" fontId="11" fillId="0" borderId="0" xfId="1" applyNumberFormat="1" applyFont="1" applyFill="1" applyBorder="1"/>
    <xf numFmtId="0" fontId="17" fillId="0" borderId="0" xfId="0" applyFont="1" applyAlignment="1">
      <alignment horizontal="left" vertical="center" indent="5"/>
    </xf>
    <xf numFmtId="179" fontId="11" fillId="0" borderId="0" xfId="0" applyNumberFormat="1" applyFont="1"/>
    <xf numFmtId="43" fontId="11" fillId="0" borderId="0" xfId="1" applyFont="1" applyBorder="1"/>
    <xf numFmtId="43" fontId="11" fillId="0" borderId="0" xfId="1" applyFont="1" applyBorder="1" applyAlignment="1">
      <alignment horizontal="center"/>
    </xf>
    <xf numFmtId="0" fontId="11" fillId="0" borderId="0" xfId="0" applyFont="1" applyAlignment="1">
      <alignment wrapText="1"/>
    </xf>
    <xf numFmtId="167" fontId="10" fillId="0" borderId="0" xfId="0" applyNumberFormat="1" applyFont="1" applyAlignment="1">
      <alignment horizontal="left"/>
    </xf>
    <xf numFmtId="0" fontId="10" fillId="0" borderId="0" xfId="0" applyFont="1" applyAlignment="1">
      <alignment horizontal="center"/>
    </xf>
    <xf numFmtId="0" fontId="12" fillId="0" borderId="0" xfId="0" applyFont="1" applyAlignment="1">
      <alignment wrapText="1"/>
    </xf>
    <xf numFmtId="0" fontId="13" fillId="0" borderId="0" xfId="0" applyFont="1" applyAlignment="1">
      <alignment horizontal="center" vertical="top" wrapText="1"/>
    </xf>
    <xf numFmtId="42" fontId="11" fillId="0" borderId="0" xfId="3" applyNumberFormat="1" applyFont="1" applyBorder="1"/>
    <xf numFmtId="180" fontId="11" fillId="0" borderId="0" xfId="3" applyNumberFormat="1" applyFont="1" applyBorder="1"/>
    <xf numFmtId="172" fontId="11" fillId="0" borderId="0" xfId="2" applyNumberFormat="1" applyFont="1" applyBorder="1"/>
    <xf numFmtId="9" fontId="11" fillId="0" borderId="0" xfId="3" applyNumberFormat="1" applyFont="1" applyBorder="1"/>
    <xf numFmtId="164" fontId="12" fillId="0" borderId="0" xfId="0" applyNumberFormat="1" applyFont="1"/>
    <xf numFmtId="167" fontId="10" fillId="0" borderId="0" xfId="0" applyNumberFormat="1" applyFont="1"/>
    <xf numFmtId="42" fontId="12" fillId="0" borderId="0" xfId="3" applyNumberFormat="1" applyFont="1" applyBorder="1"/>
    <xf numFmtId="180" fontId="12" fillId="0" borderId="0" xfId="3" applyNumberFormat="1" applyFont="1" applyBorder="1"/>
    <xf numFmtId="42" fontId="12" fillId="0" borderId="0" xfId="0" applyNumberFormat="1" applyFont="1"/>
    <xf numFmtId="167" fontId="13" fillId="0" borderId="0" xfId="0" applyNumberFormat="1" applyFont="1" applyAlignment="1">
      <alignment horizontal="left"/>
    </xf>
    <xf numFmtId="9" fontId="11" fillId="0" borderId="0" xfId="0" applyNumberFormat="1" applyFont="1"/>
    <xf numFmtId="44" fontId="11" fillId="0" borderId="0" xfId="0" applyNumberFormat="1" applyFont="1"/>
    <xf numFmtId="42" fontId="11" fillId="0" borderId="0" xfId="0" applyNumberFormat="1" applyFont="1"/>
    <xf numFmtId="167" fontId="12" fillId="0" borderId="0" xfId="0" applyNumberFormat="1" applyFont="1" applyAlignment="1">
      <alignment wrapText="1"/>
    </xf>
    <xf numFmtId="0" fontId="12" fillId="0" borderId="0" xfId="0" applyFont="1" applyAlignment="1">
      <alignment horizontal="center"/>
    </xf>
    <xf numFmtId="171" fontId="10" fillId="0" borderId="0" xfId="0" applyNumberFormat="1" applyFont="1"/>
    <xf numFmtId="0" fontId="16" fillId="0" borderId="0" xfId="0" applyFont="1"/>
    <xf numFmtId="179" fontId="11" fillId="0" borderId="0" xfId="1" applyNumberFormat="1" applyFont="1" applyBorder="1"/>
    <xf numFmtId="180" fontId="12" fillId="0" borderId="0" xfId="0" applyNumberFormat="1" applyFont="1"/>
    <xf numFmtId="180" fontId="11" fillId="0" borderId="0" xfId="0" applyNumberFormat="1" applyFont="1"/>
    <xf numFmtId="44" fontId="11" fillId="0" borderId="0" xfId="3" applyFont="1" applyBorder="1"/>
    <xf numFmtId="181" fontId="18" fillId="0" borderId="0" xfId="0" applyNumberFormat="1" applyFont="1"/>
    <xf numFmtId="0" fontId="18" fillId="0" borderId="0" xfId="0" applyFont="1"/>
    <xf numFmtId="0" fontId="12" fillId="0" borderId="0" xfId="0" applyFont="1" applyAlignment="1">
      <alignment horizontal="center" vertical="top" wrapText="1"/>
    </xf>
    <xf numFmtId="171" fontId="11" fillId="0" borderId="0" xfId="3" applyNumberFormat="1" applyFont="1"/>
    <xf numFmtId="171" fontId="11" fillId="0" borderId="5" xfId="3" applyNumberFormat="1" applyFont="1" applyBorder="1"/>
    <xf numFmtId="167" fontId="10" fillId="0" borderId="0" xfId="0" applyNumberFormat="1" applyFont="1" applyAlignment="1">
      <alignment horizontal="center"/>
    </xf>
    <xf numFmtId="171" fontId="13" fillId="0" borderId="0" xfId="0" applyNumberFormat="1" applyFont="1"/>
    <xf numFmtId="167" fontId="13" fillId="0" borderId="0" xfId="0" applyNumberFormat="1" applyFont="1"/>
    <xf numFmtId="171" fontId="11" fillId="0" borderId="9" xfId="0" applyNumberFormat="1" applyFont="1" applyBorder="1"/>
    <xf numFmtId="167" fontId="10" fillId="0" borderId="0" xfId="0" applyNumberFormat="1" applyFont="1" applyAlignment="1">
      <alignment wrapText="1"/>
    </xf>
    <xf numFmtId="171" fontId="12" fillId="0" borderId="5" xfId="0" applyNumberFormat="1" applyFont="1" applyBorder="1"/>
    <xf numFmtId="171" fontId="12" fillId="0" borderId="0" xfId="3" applyNumberFormat="1" applyFont="1"/>
    <xf numFmtId="171" fontId="12" fillId="0" borderId="5" xfId="3" applyNumberFormat="1" applyFont="1" applyBorder="1"/>
    <xf numFmtId="171" fontId="12" fillId="0" borderId="9" xfId="0" applyNumberFormat="1" applyFont="1" applyBorder="1"/>
    <xf numFmtId="44" fontId="0" fillId="0" borderId="0" xfId="3" applyFont="1"/>
    <xf numFmtId="9" fontId="0" fillId="0" borderId="0" xfId="3" applyNumberFormat="1" applyFont="1"/>
    <xf numFmtId="0" fontId="0" fillId="0" borderId="0" xfId="0" applyAlignment="1">
      <alignment wrapText="1"/>
    </xf>
    <xf numFmtId="0" fontId="0" fillId="0" borderId="0" xfId="0" applyAlignment="1">
      <alignment horizontal="center" vertical="center"/>
    </xf>
    <xf numFmtId="0" fontId="0" fillId="0" borderId="0" xfId="0" applyAlignment="1">
      <alignment horizontal="left" vertical="top" wrapText="1"/>
    </xf>
    <xf numFmtId="0" fontId="0" fillId="0" borderId="12" xfId="0" applyBorder="1"/>
    <xf numFmtId="0" fontId="0" fillId="0" borderId="12" xfId="0" applyBorder="1" applyAlignment="1">
      <alignment horizontal="center" vertical="center"/>
    </xf>
    <xf numFmtId="0" fontId="0" fillId="0" borderId="12" xfId="0" applyBorder="1" applyAlignment="1">
      <alignment horizontal="left" vertical="top" wrapText="1"/>
    </xf>
    <xf numFmtId="168" fontId="0" fillId="0" borderId="12" xfId="1" applyNumberFormat="1" applyFont="1" applyBorder="1" applyAlignment="1">
      <alignment horizontal="center" vertical="center"/>
    </xf>
    <xf numFmtId="0" fontId="0" fillId="0" borderId="12" xfId="0" applyBorder="1" applyAlignment="1">
      <alignment wrapText="1"/>
    </xf>
    <xf numFmtId="44" fontId="0" fillId="0" borderId="12" xfId="3" applyFont="1" applyBorder="1" applyAlignment="1">
      <alignment horizontal="center" vertical="center"/>
    </xf>
    <xf numFmtId="44" fontId="0" fillId="0" borderId="0" xfId="0" applyNumberFormat="1"/>
    <xf numFmtId="182" fontId="0" fillId="3" borderId="0" xfId="2" applyNumberFormat="1" applyFont="1" applyFill="1"/>
    <xf numFmtId="0" fontId="0" fillId="0" borderId="0" xfId="0" applyAlignment="1">
      <alignment horizontal="left" wrapText="1"/>
    </xf>
    <xf numFmtId="9" fontId="0" fillId="3" borderId="0" xfId="3" applyNumberFormat="1" applyFont="1" applyFill="1"/>
    <xf numFmtId="44" fontId="0" fillId="3" borderId="0" xfId="3" applyFont="1" applyFill="1"/>
    <xf numFmtId="0" fontId="0" fillId="4" borderId="0" xfId="0" applyFill="1"/>
    <xf numFmtId="44" fontId="0" fillId="4" borderId="0" xfId="0" applyNumberFormat="1" applyFill="1"/>
    <xf numFmtId="0" fontId="0" fillId="5" borderId="0" xfId="0" applyFill="1"/>
    <xf numFmtId="44" fontId="0" fillId="5" borderId="0" xfId="0" applyNumberFormat="1" applyFill="1"/>
    <xf numFmtId="10" fontId="0" fillId="3" borderId="0" xfId="3" applyNumberFormat="1" applyFont="1" applyFill="1"/>
    <xf numFmtId="8" fontId="11" fillId="0" borderId="0" xfId="3" applyNumberFormat="1" applyFont="1" applyAlignment="1">
      <alignment horizontal="center"/>
    </xf>
    <xf numFmtId="8" fontId="0" fillId="0" borderId="0" xfId="0" applyNumberFormat="1"/>
    <xf numFmtId="168" fontId="0" fillId="0" borderId="0" xfId="0" applyNumberFormat="1"/>
    <xf numFmtId="10" fontId="0" fillId="0" borderId="0" xfId="2" applyNumberFormat="1" applyFont="1"/>
    <xf numFmtId="183" fontId="0" fillId="0" borderId="0" xfId="0" applyNumberFormat="1"/>
    <xf numFmtId="184" fontId="0" fillId="0" borderId="0" xfId="0" applyNumberFormat="1"/>
    <xf numFmtId="183" fontId="0" fillId="0" borderId="0" xfId="3" applyNumberFormat="1" applyFont="1"/>
    <xf numFmtId="185" fontId="0" fillId="0" borderId="0" xfId="0" applyNumberFormat="1"/>
    <xf numFmtId="43" fontId="0" fillId="0" borderId="0" xfId="1" applyFont="1"/>
    <xf numFmtId="8" fontId="0" fillId="0" borderId="0" xfId="3" applyNumberFormat="1" applyFont="1"/>
    <xf numFmtId="8" fontId="12" fillId="0" borderId="0" xfId="3" applyNumberFormat="1" applyFont="1" applyAlignment="1">
      <alignment horizontal="center"/>
    </xf>
    <xf numFmtId="167" fontId="13" fillId="3" borderId="0" xfId="0" applyNumberFormat="1" applyFont="1" applyFill="1" applyAlignment="1">
      <alignment horizontal="center" wrapText="1"/>
    </xf>
    <xf numFmtId="169" fontId="13" fillId="0" borderId="0" xfId="0" applyNumberFormat="1" applyFont="1" applyAlignment="1">
      <alignment horizontal="center"/>
    </xf>
    <xf numFmtId="43" fontId="11" fillId="0" borderId="0" xfId="1" applyFont="1"/>
    <xf numFmtId="43" fontId="13" fillId="0" borderId="0" xfId="1" applyFont="1" applyAlignment="1">
      <alignment horizontal="center"/>
    </xf>
    <xf numFmtId="43" fontId="11" fillId="0" borderId="0" xfId="1" applyFont="1" applyFill="1" applyBorder="1"/>
    <xf numFmtId="43" fontId="13" fillId="0" borderId="0" xfId="1" applyFont="1"/>
    <xf numFmtId="9" fontId="11" fillId="0" borderId="0" xfId="0" applyNumberFormat="1" applyFont="1" applyAlignment="1">
      <alignment horizontal="center"/>
    </xf>
    <xf numFmtId="43" fontId="11" fillId="0" borderId="0" xfId="1" applyFont="1" applyAlignment="1">
      <alignment horizontal="center"/>
    </xf>
    <xf numFmtId="169" fontId="11" fillId="0" borderId="0" xfId="0" applyNumberFormat="1" applyFont="1" applyAlignment="1">
      <alignment horizontal="center"/>
    </xf>
    <xf numFmtId="44" fontId="13" fillId="0" borderId="0" xfId="3" applyFont="1" applyAlignment="1">
      <alignment horizontal="center" vertical="center"/>
    </xf>
    <xf numFmtId="44" fontId="13" fillId="0" borderId="0" xfId="3" applyFont="1" applyAlignment="1">
      <alignment vertical="center"/>
    </xf>
    <xf numFmtId="44" fontId="13" fillId="0" borderId="0" xfId="3" applyFont="1" applyAlignment="1">
      <alignment horizontal="center" vertical="center" wrapText="1"/>
    </xf>
    <xf numFmtId="169" fontId="15" fillId="0" borderId="0" xfId="0" applyNumberFormat="1" applyFont="1" applyAlignment="1">
      <alignment horizontal="center"/>
    </xf>
    <xf numFmtId="44" fontId="15" fillId="0" borderId="0" xfId="3" applyFont="1" applyAlignment="1">
      <alignment horizontal="center"/>
    </xf>
    <xf numFmtId="43" fontId="11" fillId="0" borderId="0" xfId="1" applyFont="1" applyAlignment="1">
      <alignment horizontal="center" vertical="top" wrapText="1"/>
    </xf>
    <xf numFmtId="0" fontId="11" fillId="0" borderId="0" xfId="0" applyFont="1" applyAlignment="1">
      <alignment vertical="center" wrapText="1"/>
    </xf>
    <xf numFmtId="43" fontId="11" fillId="0" borderId="0" xfId="1" applyFont="1" applyAlignment="1">
      <alignment horizontal="center" vertical="center" wrapText="1"/>
    </xf>
    <xf numFmtId="0" fontId="11" fillId="0" borderId="0" xfId="0" applyFont="1" applyAlignment="1">
      <alignment horizontal="left" vertical="top"/>
    </xf>
    <xf numFmtId="169" fontId="13" fillId="0" borderId="0" xfId="0" applyNumberFormat="1" applyFont="1"/>
    <xf numFmtId="43" fontId="11" fillId="6" borderId="0" xfId="1" applyFont="1" applyFill="1" applyAlignment="1">
      <alignment horizontal="center" vertical="center" wrapText="1"/>
    </xf>
    <xf numFmtId="43" fontId="11" fillId="0" borderId="0" xfId="1" applyFont="1" applyFill="1" applyAlignment="1">
      <alignment horizontal="center" vertical="center" wrapText="1"/>
    </xf>
    <xf numFmtId="43" fontId="11" fillId="0" borderId="0" xfId="1" applyFont="1" applyFill="1" applyAlignment="1">
      <alignment horizontal="center" vertical="top" wrapText="1"/>
    </xf>
    <xf numFmtId="43" fontId="22" fillId="0" borderId="0" xfId="1" applyFont="1" applyAlignment="1">
      <alignment horizontal="center" vertical="top" wrapText="1"/>
    </xf>
    <xf numFmtId="0" fontId="22" fillId="0" borderId="0" xfId="0" applyFont="1" applyAlignment="1">
      <alignment wrapText="1"/>
    </xf>
    <xf numFmtId="0" fontId="22" fillId="0" borderId="0" xfId="0" applyFont="1" applyAlignment="1">
      <alignment horizontal="left" vertical="top"/>
    </xf>
    <xf numFmtId="0" fontId="22" fillId="0" borderId="0" xfId="0" applyFont="1"/>
    <xf numFmtId="10" fontId="11" fillId="0" borderId="0" xfId="0" applyNumberFormat="1" applyFont="1" applyAlignment="1">
      <alignment horizontal="center"/>
    </xf>
    <xf numFmtId="43" fontId="11" fillId="4" borderId="0" xfId="1" applyFont="1" applyFill="1" applyAlignment="1">
      <alignment horizontal="center" vertical="center" wrapText="1"/>
    </xf>
    <xf numFmtId="43" fontId="11" fillId="4" borderId="0" xfId="1" applyFont="1" applyFill="1" applyAlignment="1">
      <alignment horizontal="center" vertical="top" wrapText="1"/>
    </xf>
    <xf numFmtId="43" fontId="22" fillId="0" borderId="0" xfId="1" applyFont="1" applyAlignment="1">
      <alignment horizontal="center" vertical="center" wrapText="1"/>
    </xf>
    <xf numFmtId="43" fontId="11" fillId="3" borderId="0" xfId="1" applyFont="1" applyFill="1" applyAlignment="1">
      <alignment vertical="center"/>
    </xf>
    <xf numFmtId="43" fontId="11" fillId="0" borderId="0" xfId="1" applyFont="1" applyBorder="1" applyAlignment="1">
      <alignment horizontal="center" vertical="center"/>
    </xf>
    <xf numFmtId="43" fontId="11" fillId="0" borderId="0" xfId="1" applyFont="1" applyBorder="1" applyAlignment="1">
      <alignment vertical="center"/>
    </xf>
    <xf numFmtId="43" fontId="11" fillId="7" borderId="0" xfId="1" applyFont="1" applyFill="1" applyBorder="1" applyAlignment="1">
      <alignment vertical="center"/>
    </xf>
    <xf numFmtId="169" fontId="12" fillId="0" borderId="0" xfId="0" applyNumberFormat="1" applyFont="1" applyAlignment="1">
      <alignment wrapText="1"/>
    </xf>
    <xf numFmtId="43" fontId="15" fillId="0" borderId="0" xfId="1" applyFont="1" applyBorder="1"/>
    <xf numFmtId="0" fontId="15" fillId="0" borderId="0" xfId="0" applyFont="1"/>
    <xf numFmtId="0" fontId="15" fillId="0" borderId="0" xfId="0" applyFont="1" applyAlignment="1">
      <alignment horizontal="center"/>
    </xf>
    <xf numFmtId="179" fontId="15" fillId="0" borderId="0" xfId="1" applyNumberFormat="1" applyFont="1" applyBorder="1"/>
    <xf numFmtId="43" fontId="15" fillId="0" borderId="0" xfId="1" applyFont="1" applyBorder="1" applyAlignment="1">
      <alignment vertical="center"/>
    </xf>
    <xf numFmtId="0" fontId="4" fillId="2" borderId="12" xfId="0" applyFont="1" applyFill="1" applyBorder="1" applyAlignment="1">
      <alignment vertical="center" wrapText="1"/>
    </xf>
    <xf numFmtId="0" fontId="6" fillId="2" borderId="13"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2" borderId="0" xfId="0" applyFont="1" applyFill="1" applyAlignment="1">
      <alignment horizontal="center"/>
    </xf>
    <xf numFmtId="43" fontId="6" fillId="2" borderId="0" xfId="1" applyFont="1" applyFill="1" applyAlignment="1">
      <alignment horizontal="center" vertical="center" wrapText="1"/>
    </xf>
    <xf numFmtId="0" fontId="5" fillId="2" borderId="0" xfId="0" applyFont="1" applyFill="1" applyAlignment="1">
      <alignment horizontal="left" vertical="center" wrapText="1"/>
    </xf>
    <xf numFmtId="168" fontId="6" fillId="2" borderId="0" xfId="1" applyNumberFormat="1" applyFont="1" applyFill="1" applyAlignment="1">
      <alignment horizontal="center"/>
    </xf>
    <xf numFmtId="0" fontId="5" fillId="2" borderId="0" xfId="0" applyFont="1" applyFill="1" applyAlignment="1">
      <alignment horizontal="left" vertical="center"/>
    </xf>
    <xf numFmtId="0" fontId="11" fillId="0" borderId="0" xfId="0" applyFont="1" applyAlignment="1">
      <alignment wrapText="1"/>
    </xf>
    <xf numFmtId="0" fontId="11" fillId="0" borderId="0" xfId="0" applyFont="1" applyAlignment="1">
      <alignment horizontal="left" wrapText="1"/>
    </xf>
    <xf numFmtId="0" fontId="11" fillId="0" borderId="0" xfId="0" applyFont="1"/>
    <xf numFmtId="166" fontId="16" fillId="0" borderId="0" xfId="0" applyNumberFormat="1" applyFont="1" applyAlignment="1">
      <alignment horizontal="center" vertical="center" wrapText="1"/>
    </xf>
    <xf numFmtId="166" fontId="16" fillId="0" borderId="0" xfId="0" applyNumberFormat="1" applyFont="1" applyAlignment="1">
      <alignment horizontal="left" vertical="center" wrapText="1"/>
    </xf>
    <xf numFmtId="0" fontId="10" fillId="0" borderId="0" xfId="0" applyFont="1" applyAlignment="1">
      <alignment wrapText="1"/>
    </xf>
    <xf numFmtId="166" fontId="13" fillId="0" borderId="0" xfId="0" applyNumberFormat="1" applyFont="1" applyAlignment="1">
      <alignment horizontal="left" vertical="center" wrapText="1"/>
    </xf>
    <xf numFmtId="166" fontId="11" fillId="0" borderId="0" xfId="0" applyNumberFormat="1" applyFont="1" applyAlignment="1">
      <alignment wrapText="1"/>
    </xf>
    <xf numFmtId="166" fontId="16" fillId="0" borderId="0" xfId="0" applyNumberFormat="1" applyFont="1" applyAlignment="1">
      <alignment horizontal="left" wrapText="1"/>
    </xf>
    <xf numFmtId="166" fontId="13" fillId="0" borderId="0" xfId="0" applyNumberFormat="1" applyFont="1" applyAlignment="1">
      <alignment wrapText="1"/>
    </xf>
    <xf numFmtId="166" fontId="11" fillId="0" borderId="0" xfId="0" applyNumberFormat="1" applyFont="1" applyAlignment="1">
      <alignment vertical="center" wrapText="1"/>
    </xf>
  </cellXfs>
  <cellStyles count="4">
    <cellStyle name="Milliers" xfId="1" builtinId="3"/>
    <cellStyle name="Monétaire" xfId="3" builtinId="4"/>
    <cellStyle name="Normal" xfId="0" builtinId="0"/>
    <cellStyle name="Pourcentag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2CE84-C908-4EF6-99C1-81470C175CA7}">
  <sheetPr>
    <tabColor rgb="FF00B050"/>
  </sheetPr>
  <dimension ref="A1:AH37"/>
  <sheetViews>
    <sheetView zoomScaleNormal="100" workbookViewId="0">
      <selection activeCell="B3" sqref="B3"/>
    </sheetView>
  </sheetViews>
  <sheetFormatPr baseColWidth="10" defaultColWidth="10.77734375" defaultRowHeight="14.55" customHeight="1" x14ac:dyDescent="0.3"/>
  <cols>
    <col min="1" max="1" width="32.77734375" bestFit="1" customWidth="1"/>
    <col min="2" max="2" width="15.77734375" bestFit="1" customWidth="1"/>
    <col min="3" max="9" width="15.21875" bestFit="1" customWidth="1"/>
    <col min="10" max="10" width="16.33203125" bestFit="1" customWidth="1"/>
    <col min="11" max="11" width="18.5546875" bestFit="1" customWidth="1"/>
    <col min="12" max="12" width="15.21875" style="200" bestFit="1" customWidth="1"/>
    <col min="13" max="13" width="17.21875" customWidth="1"/>
    <col min="14" max="32" width="15.21875" bestFit="1" customWidth="1"/>
    <col min="33" max="33" width="11.33203125" bestFit="1" customWidth="1"/>
  </cols>
  <sheetData>
    <row r="1" spans="1:34" ht="14.55" customHeight="1" x14ac:dyDescent="0.3">
      <c r="A1" t="s">
        <v>193</v>
      </c>
    </row>
    <row r="3" spans="1:34" ht="14.55" customHeight="1" x14ac:dyDescent="0.3">
      <c r="B3" t="s">
        <v>194</v>
      </c>
      <c r="C3" s="203">
        <v>2022</v>
      </c>
      <c r="D3" s="203">
        <v>2023</v>
      </c>
      <c r="E3" s="203">
        <v>2024</v>
      </c>
      <c r="F3" s="203">
        <v>2025</v>
      </c>
      <c r="G3" s="203">
        <v>2026</v>
      </c>
      <c r="H3" s="203">
        <v>2027</v>
      </c>
      <c r="I3" s="203">
        <v>2028</v>
      </c>
      <c r="J3" s="203">
        <v>2029</v>
      </c>
      <c r="K3" s="203">
        <v>2030</v>
      </c>
      <c r="L3" s="203">
        <v>2031</v>
      </c>
      <c r="M3" s="203">
        <v>2032</v>
      </c>
      <c r="N3" s="203">
        <v>2033</v>
      </c>
      <c r="O3" s="203">
        <v>2034</v>
      </c>
      <c r="P3" s="203">
        <v>2035</v>
      </c>
      <c r="Q3" s="203">
        <v>2036</v>
      </c>
      <c r="R3" s="203">
        <v>2037</v>
      </c>
      <c r="S3" s="203">
        <v>2038</v>
      </c>
      <c r="T3" s="203">
        <v>2039</v>
      </c>
      <c r="U3" s="203">
        <v>2040</v>
      </c>
      <c r="V3" s="203">
        <v>2041</v>
      </c>
      <c r="W3" s="203">
        <v>2042</v>
      </c>
      <c r="X3" s="203">
        <v>2043</v>
      </c>
      <c r="Y3" s="203">
        <v>2044</v>
      </c>
      <c r="Z3" s="203">
        <v>2045</v>
      </c>
      <c r="AA3" s="203">
        <v>2046</v>
      </c>
      <c r="AB3" s="203">
        <v>2047</v>
      </c>
      <c r="AC3" s="203">
        <v>2048</v>
      </c>
      <c r="AD3" s="203">
        <v>2049</v>
      </c>
      <c r="AE3" s="203">
        <v>2050</v>
      </c>
      <c r="AF3" s="203">
        <v>2051</v>
      </c>
    </row>
    <row r="5" spans="1:34" ht="14.55" customHeight="1" x14ac:dyDescent="0.3">
      <c r="A5" t="s">
        <v>195</v>
      </c>
      <c r="B5" s="200">
        <f>-12000000</f>
        <v>-12000000</v>
      </c>
    </row>
    <row r="6" spans="1:34" ht="14.55" customHeight="1" x14ac:dyDescent="0.3">
      <c r="D6" s="211"/>
      <c r="E6" s="224"/>
      <c r="I6" s="211"/>
      <c r="J6" s="225"/>
      <c r="K6" s="211"/>
    </row>
    <row r="7" spans="1:34" ht="14.55" customHeight="1" x14ac:dyDescent="0.3">
      <c r="A7" t="s">
        <v>200</v>
      </c>
      <c r="D7" s="211"/>
      <c r="E7" s="211"/>
      <c r="I7" s="226"/>
      <c r="J7" s="227"/>
      <c r="K7" s="226"/>
      <c r="S7" s="211"/>
      <c r="AF7" s="211"/>
    </row>
    <row r="8" spans="1:34" ht="14.55" customHeight="1" x14ac:dyDescent="0.3">
      <c r="A8" t="s">
        <v>221</v>
      </c>
      <c r="C8" s="211">
        <f>+L27</f>
        <v>78</v>
      </c>
      <c r="D8" s="211">
        <f t="shared" ref="D8:AF8" si="0">+C8*(100%+$L29)</f>
        <v>79.56</v>
      </c>
      <c r="E8" s="211">
        <f t="shared" si="0"/>
        <v>81.151200000000003</v>
      </c>
      <c r="F8" s="211">
        <f t="shared" si="0"/>
        <v>82.774224000000004</v>
      </c>
      <c r="G8" s="211">
        <f t="shared" si="0"/>
        <v>84.429708480000002</v>
      </c>
      <c r="H8" s="211">
        <f t="shared" si="0"/>
        <v>86.118302649599997</v>
      </c>
      <c r="I8" s="211">
        <f t="shared" si="0"/>
        <v>87.840668702591998</v>
      </c>
      <c r="J8" s="211">
        <f t="shared" si="0"/>
        <v>89.597482076643843</v>
      </c>
      <c r="K8" s="211">
        <f t="shared" si="0"/>
        <v>91.389431718176724</v>
      </c>
      <c r="L8" s="211">
        <f t="shared" si="0"/>
        <v>93.217220352540267</v>
      </c>
      <c r="M8" s="211">
        <f t="shared" si="0"/>
        <v>95.081564759591075</v>
      </c>
      <c r="N8" s="211">
        <f t="shared" si="0"/>
        <v>96.983196054782894</v>
      </c>
      <c r="O8" s="211">
        <f t="shared" si="0"/>
        <v>98.922859975878552</v>
      </c>
      <c r="P8" s="211">
        <f t="shared" si="0"/>
        <v>100.90131717539613</v>
      </c>
      <c r="Q8" s="211">
        <f t="shared" si="0"/>
        <v>102.91934351890406</v>
      </c>
      <c r="R8" s="211">
        <f t="shared" si="0"/>
        <v>104.97773038928214</v>
      </c>
      <c r="S8" s="211">
        <f t="shared" si="0"/>
        <v>107.07728499706779</v>
      </c>
      <c r="T8" s="211">
        <f t="shared" si="0"/>
        <v>109.21883069700915</v>
      </c>
      <c r="U8" s="211">
        <f t="shared" si="0"/>
        <v>111.40320731094934</v>
      </c>
      <c r="V8" s="211">
        <f t="shared" si="0"/>
        <v>113.63127145716832</v>
      </c>
      <c r="W8" s="211">
        <f t="shared" si="0"/>
        <v>115.9038968863117</v>
      </c>
      <c r="X8" s="211">
        <f t="shared" si="0"/>
        <v>118.22197482403793</v>
      </c>
      <c r="Y8" s="211">
        <f t="shared" si="0"/>
        <v>120.58641432051868</v>
      </c>
      <c r="Z8" s="211">
        <f t="shared" si="0"/>
        <v>122.99814260692906</v>
      </c>
      <c r="AA8" s="211">
        <f t="shared" si="0"/>
        <v>125.45810545906765</v>
      </c>
      <c r="AB8" s="211">
        <f t="shared" si="0"/>
        <v>127.96726756824901</v>
      </c>
      <c r="AC8" s="211">
        <f t="shared" si="0"/>
        <v>130.526612919614</v>
      </c>
      <c r="AD8" s="211">
        <f t="shared" si="0"/>
        <v>133.13714517800628</v>
      </c>
      <c r="AE8" s="211">
        <f t="shared" si="0"/>
        <v>135.79988808156639</v>
      </c>
      <c r="AF8" s="211">
        <f t="shared" si="0"/>
        <v>138.51588584319774</v>
      </c>
      <c r="AG8" s="211"/>
    </row>
    <row r="9" spans="1:34" ht="14.55" customHeight="1" x14ac:dyDescent="0.3">
      <c r="A9" t="s">
        <v>222</v>
      </c>
      <c r="C9" s="211">
        <f>+C34</f>
        <v>150000</v>
      </c>
      <c r="D9" s="211">
        <f t="shared" ref="D9:H9" si="1">+D34</f>
        <v>157000</v>
      </c>
      <c r="E9" s="211">
        <f t="shared" si="1"/>
        <v>158000</v>
      </c>
      <c r="F9" s="211">
        <f t="shared" si="1"/>
        <v>160000</v>
      </c>
      <c r="G9" s="211">
        <f t="shared" si="1"/>
        <v>163000</v>
      </c>
      <c r="H9" s="211">
        <f t="shared" si="1"/>
        <v>165000</v>
      </c>
      <c r="I9" s="211">
        <f>+I34</f>
        <v>167000</v>
      </c>
      <c r="J9" s="211">
        <f>+I9+(I9*$L32)</f>
        <v>167835</v>
      </c>
      <c r="K9" s="211">
        <f>+J9+(J9*$L32)</f>
        <v>168674.17499999999</v>
      </c>
      <c r="L9" s="211">
        <f t="shared" ref="L9:AE9" si="2">+K9+(K9*$L32)</f>
        <v>169517.54587499998</v>
      </c>
      <c r="M9" s="211">
        <f t="shared" si="2"/>
        <v>170365.13360437498</v>
      </c>
      <c r="N9" s="211">
        <f t="shared" si="2"/>
        <v>171216.95927239684</v>
      </c>
      <c r="O9" s="211">
        <f t="shared" si="2"/>
        <v>172073.04406875881</v>
      </c>
      <c r="P9" s="211">
        <f t="shared" si="2"/>
        <v>172933.40928910259</v>
      </c>
      <c r="Q9" s="211">
        <f t="shared" si="2"/>
        <v>173798.0763355481</v>
      </c>
      <c r="R9" s="211">
        <f t="shared" si="2"/>
        <v>174667.06671722585</v>
      </c>
      <c r="S9" s="211">
        <f>+R9+(R9*$L32)</f>
        <v>175540.40205081197</v>
      </c>
      <c r="T9" s="211">
        <f t="shared" si="2"/>
        <v>176418.10406106603</v>
      </c>
      <c r="U9" s="211">
        <f t="shared" si="2"/>
        <v>177300.19458137135</v>
      </c>
      <c r="V9" s="211">
        <f t="shared" si="2"/>
        <v>178186.69555427821</v>
      </c>
      <c r="W9" s="211">
        <f t="shared" si="2"/>
        <v>179077.62903204959</v>
      </c>
      <c r="X9" s="211">
        <f t="shared" si="2"/>
        <v>179973.01717720984</v>
      </c>
      <c r="Y9" s="211">
        <f t="shared" si="2"/>
        <v>180872.88226309587</v>
      </c>
      <c r="Z9" s="211">
        <f t="shared" si="2"/>
        <v>181777.24667441135</v>
      </c>
      <c r="AA9" s="211">
        <f t="shared" si="2"/>
        <v>182686.13290778341</v>
      </c>
      <c r="AB9" s="211">
        <f t="shared" si="2"/>
        <v>183599.56357232234</v>
      </c>
      <c r="AC9" s="211">
        <f t="shared" si="2"/>
        <v>184517.56139018395</v>
      </c>
      <c r="AD9" s="211">
        <f t="shared" si="2"/>
        <v>185440.14919713486</v>
      </c>
      <c r="AE9" s="211">
        <f t="shared" si="2"/>
        <v>186367.34994312053</v>
      </c>
      <c r="AF9" s="211">
        <f>+AE9+(AE9*$L32)</f>
        <v>187299.18669283614</v>
      </c>
      <c r="AG9" s="226"/>
    </row>
    <row r="10" spans="1:34" ht="14.55" customHeight="1" x14ac:dyDescent="0.3">
      <c r="A10" t="s">
        <v>202</v>
      </c>
      <c r="C10" s="211">
        <f>+C9*C8</f>
        <v>11700000</v>
      </c>
      <c r="D10" s="211">
        <f t="shared" ref="D10:AF10" si="3">+D9*D8</f>
        <v>12490920</v>
      </c>
      <c r="E10" s="211">
        <f t="shared" si="3"/>
        <v>12821889.6</v>
      </c>
      <c r="F10" s="211">
        <f t="shared" si="3"/>
        <v>13243875.84</v>
      </c>
      <c r="G10" s="211">
        <f t="shared" si="3"/>
        <v>13762042.482240001</v>
      </c>
      <c r="H10" s="211">
        <f t="shared" si="3"/>
        <v>14209519.937184</v>
      </c>
      <c r="I10" s="211">
        <f t="shared" si="3"/>
        <v>14669391.673332864</v>
      </c>
      <c r="J10" s="211">
        <f t="shared" si="3"/>
        <v>15037593.404333519</v>
      </c>
      <c r="K10" s="211">
        <f t="shared" si="3"/>
        <v>15415036.99878229</v>
      </c>
      <c r="L10" s="211">
        <f t="shared" si="3"/>
        <v>15801954.427451726</v>
      </c>
      <c r="M10" s="211">
        <f t="shared" si="3"/>
        <v>16198583.483580764</v>
      </c>
      <c r="N10" s="211">
        <f t="shared" si="3"/>
        <v>16605167.929018641</v>
      </c>
      <c r="O10" s="211">
        <f t="shared" si="3"/>
        <v>17021957.644037008</v>
      </c>
      <c r="P10" s="211">
        <f t="shared" si="3"/>
        <v>17449208.780902337</v>
      </c>
      <c r="Q10" s="211">
        <f t="shared" si="3"/>
        <v>17887183.921302985</v>
      </c>
      <c r="R10" s="211">
        <f t="shared" si="3"/>
        <v>18336152.23772769</v>
      </c>
      <c r="S10" s="211">
        <f t="shared" si="3"/>
        <v>18796389.658894658</v>
      </c>
      <c r="T10" s="211">
        <f t="shared" si="3"/>
        <v>19268179.039332915</v>
      </c>
      <c r="U10" s="211">
        <f t="shared" si="3"/>
        <v>19751810.333220169</v>
      </c>
      <c r="V10" s="211">
        <f t="shared" si="3"/>
        <v>20247580.772583995</v>
      </c>
      <c r="W10" s="211">
        <f t="shared" si="3"/>
        <v>20755795.049975853</v>
      </c>
      <c r="X10" s="211">
        <f t="shared" si="3"/>
        <v>21276765.505730249</v>
      </c>
      <c r="Y10" s="211">
        <f t="shared" si="3"/>
        <v>21810812.319924075</v>
      </c>
      <c r="Z10" s="211">
        <f t="shared" si="3"/>
        <v>22358263.70915417</v>
      </c>
      <c r="AA10" s="211">
        <f t="shared" si="3"/>
        <v>22919456.12825394</v>
      </c>
      <c r="AB10" s="211">
        <f t="shared" si="3"/>
        <v>23494734.477073118</v>
      </c>
      <c r="AC10" s="211">
        <f t="shared" si="3"/>
        <v>24084452.312447652</v>
      </c>
      <c r="AD10" s="211">
        <f t="shared" si="3"/>
        <v>24688972.065490089</v>
      </c>
      <c r="AE10" s="211">
        <f t="shared" si="3"/>
        <v>25308665.264333885</v>
      </c>
      <c r="AF10" s="211">
        <f t="shared" si="3"/>
        <v>25943912.762468673</v>
      </c>
      <c r="AG10" s="224"/>
    </row>
    <row r="11" spans="1:34" ht="14.55" customHeight="1" x14ac:dyDescent="0.3">
      <c r="A11" t="s">
        <v>203</v>
      </c>
      <c r="C11" s="211">
        <f t="shared" ref="C11:I11" si="4">+C35</f>
        <v>3500000</v>
      </c>
      <c r="D11" s="211">
        <f t="shared" si="4"/>
        <v>3600000</v>
      </c>
      <c r="E11" s="211">
        <f t="shared" si="4"/>
        <v>3700000</v>
      </c>
      <c r="F11" s="211">
        <f t="shared" si="4"/>
        <v>3800000</v>
      </c>
      <c r="G11" s="211">
        <f t="shared" si="4"/>
        <v>3900000</v>
      </c>
      <c r="H11" s="211">
        <f t="shared" si="4"/>
        <v>4000000</v>
      </c>
      <c r="I11" s="211">
        <f t="shared" si="4"/>
        <v>4100000</v>
      </c>
      <c r="J11" s="211">
        <f>+I11+(I11*($L33))</f>
        <v>4141000</v>
      </c>
      <c r="K11" s="211">
        <f t="shared" ref="K11:AF11" si="5">+J11+(J11*($L33))</f>
        <v>4182410</v>
      </c>
      <c r="L11" s="211">
        <f t="shared" si="5"/>
        <v>4224234.0999999996</v>
      </c>
      <c r="M11" s="211">
        <f t="shared" si="5"/>
        <v>4266476.4409999996</v>
      </c>
      <c r="N11" s="211">
        <f t="shared" si="5"/>
        <v>4309141.2054099999</v>
      </c>
      <c r="O11" s="211">
        <f t="shared" si="5"/>
        <v>4352232.6174641</v>
      </c>
      <c r="P11" s="211">
        <f t="shared" si="5"/>
        <v>4395754.943638741</v>
      </c>
      <c r="Q11" s="211">
        <f t="shared" si="5"/>
        <v>4439712.4930751286</v>
      </c>
      <c r="R11" s="211">
        <f t="shared" si="5"/>
        <v>4484109.6180058802</v>
      </c>
      <c r="S11" s="211">
        <f t="shared" si="5"/>
        <v>4528950.7141859392</v>
      </c>
      <c r="T11" s="211">
        <f t="shared" si="5"/>
        <v>4574240.2213277984</v>
      </c>
      <c r="U11" s="211">
        <f t="shared" si="5"/>
        <v>4619982.6235410767</v>
      </c>
      <c r="V11" s="211">
        <f t="shared" si="5"/>
        <v>4666182.4497764874</v>
      </c>
      <c r="W11" s="211">
        <f t="shared" si="5"/>
        <v>4712844.2742742524</v>
      </c>
      <c r="X11" s="211">
        <f t="shared" si="5"/>
        <v>4759972.717016995</v>
      </c>
      <c r="Y11" s="211">
        <f t="shared" si="5"/>
        <v>4807572.4441871652</v>
      </c>
      <c r="Z11" s="211">
        <f t="shared" si="5"/>
        <v>4855648.1686290372</v>
      </c>
      <c r="AA11" s="211">
        <f t="shared" si="5"/>
        <v>4904204.6503153276</v>
      </c>
      <c r="AB11" s="211">
        <f t="shared" si="5"/>
        <v>4953246.6968184812</v>
      </c>
      <c r="AC11" s="211">
        <f t="shared" si="5"/>
        <v>5002779.1637866665</v>
      </c>
      <c r="AD11" s="211">
        <f t="shared" si="5"/>
        <v>5052806.9554245332</v>
      </c>
      <c r="AE11" s="211">
        <f t="shared" si="5"/>
        <v>5103335.0249787783</v>
      </c>
      <c r="AF11" s="211">
        <f t="shared" si="5"/>
        <v>5154368.3752285661</v>
      </c>
      <c r="AG11" s="228"/>
    </row>
    <row r="12" spans="1:34" ht="14.55" customHeight="1" x14ac:dyDescent="0.3">
      <c r="A12" t="s">
        <v>209</v>
      </c>
      <c r="C12" s="200">
        <v>1250000</v>
      </c>
      <c r="D12" s="211">
        <f t="shared" ref="D12:K12" si="6">+C12+(C12*$L29)</f>
        <v>1275000</v>
      </c>
      <c r="E12" s="211">
        <f t="shared" si="6"/>
        <v>1300500</v>
      </c>
      <c r="F12" s="211">
        <f t="shared" si="6"/>
        <v>1326510</v>
      </c>
      <c r="G12" s="211">
        <f t="shared" si="6"/>
        <v>1353040.2</v>
      </c>
      <c r="H12" s="211">
        <f t="shared" si="6"/>
        <v>1380101.004</v>
      </c>
      <c r="I12" s="211">
        <f t="shared" si="6"/>
        <v>1407703.0240799999</v>
      </c>
      <c r="J12" s="211">
        <f t="shared" si="6"/>
        <v>1435857.0845615999</v>
      </c>
      <c r="K12" s="211">
        <f t="shared" si="6"/>
        <v>1464574.226252832</v>
      </c>
      <c r="L12" s="211">
        <f t="shared" ref="L12:AF12" si="7">+K12+(K12*$L29)</f>
        <v>1493865.7107778885</v>
      </c>
      <c r="M12" s="211">
        <f t="shared" si="7"/>
        <v>1523743.0249934464</v>
      </c>
      <c r="N12" s="211">
        <f t="shared" si="7"/>
        <v>1554217.8854933153</v>
      </c>
      <c r="O12" s="211">
        <f t="shared" si="7"/>
        <v>1585302.2432031815</v>
      </c>
      <c r="P12" s="211">
        <f t="shared" si="7"/>
        <v>1617008.2880672452</v>
      </c>
      <c r="Q12" s="211">
        <f t="shared" si="7"/>
        <v>1649348.45382859</v>
      </c>
      <c r="R12" s="211">
        <f t="shared" si="7"/>
        <v>1682335.4229051617</v>
      </c>
      <c r="S12" s="211">
        <f t="shared" si="7"/>
        <v>1715982.131363265</v>
      </c>
      <c r="T12" s="211">
        <f t="shared" si="7"/>
        <v>1750301.7739905303</v>
      </c>
      <c r="U12" s="211">
        <f t="shared" si="7"/>
        <v>1785307.8094703408</v>
      </c>
      <c r="V12" s="211">
        <f t="shared" si="7"/>
        <v>1821013.9656597476</v>
      </c>
      <c r="W12" s="211">
        <f t="shared" si="7"/>
        <v>1857434.2449729426</v>
      </c>
      <c r="X12" s="211">
        <f t="shared" si="7"/>
        <v>1894582.9298724015</v>
      </c>
      <c r="Y12" s="211">
        <f t="shared" si="7"/>
        <v>1932474.5884698497</v>
      </c>
      <c r="Z12" s="211">
        <f t="shared" si="7"/>
        <v>1971124.0802392466</v>
      </c>
      <c r="AA12" s="211">
        <f t="shared" si="7"/>
        <v>2010546.5618440316</v>
      </c>
      <c r="AB12" s="211">
        <f t="shared" si="7"/>
        <v>2050757.4930809122</v>
      </c>
      <c r="AC12" s="211">
        <f t="shared" si="7"/>
        <v>2091772.6429425303</v>
      </c>
      <c r="AD12" s="211">
        <f t="shared" si="7"/>
        <v>2133608.0958013809</v>
      </c>
      <c r="AE12" s="211">
        <f t="shared" si="7"/>
        <v>2176280.2577174087</v>
      </c>
      <c r="AF12" s="211">
        <f t="shared" si="7"/>
        <v>2219805.8628717568</v>
      </c>
      <c r="AG12" s="226"/>
      <c r="AH12" s="211"/>
    </row>
    <row r="13" spans="1:34" ht="14.55" customHeight="1" x14ac:dyDescent="0.3">
      <c r="A13" s="216" t="s">
        <v>212</v>
      </c>
      <c r="B13" s="216"/>
      <c r="C13" s="217">
        <f>+SUM(C10:C12)</f>
        <v>16450000</v>
      </c>
      <c r="D13" s="217">
        <f t="shared" ref="D13:AF13" si="8">+SUM(D10:D12)</f>
        <v>17365920</v>
      </c>
      <c r="E13" s="217">
        <f t="shared" si="8"/>
        <v>17822389.600000001</v>
      </c>
      <c r="F13" s="217">
        <f t="shared" si="8"/>
        <v>18370385.84</v>
      </c>
      <c r="G13" s="217">
        <f t="shared" si="8"/>
        <v>19015082.682239998</v>
      </c>
      <c r="H13" s="217">
        <f t="shared" si="8"/>
        <v>19589620.941183999</v>
      </c>
      <c r="I13" s="217">
        <f t="shared" si="8"/>
        <v>20177094.697412863</v>
      </c>
      <c r="J13" s="217">
        <f t="shared" si="8"/>
        <v>20614450.488895118</v>
      </c>
      <c r="K13" s="217">
        <f t="shared" si="8"/>
        <v>21062021.225035124</v>
      </c>
      <c r="L13" s="217">
        <f t="shared" si="8"/>
        <v>21520054.238229614</v>
      </c>
      <c r="M13" s="217">
        <f t="shared" si="8"/>
        <v>21988802.94957421</v>
      </c>
      <c r="N13" s="217">
        <f t="shared" si="8"/>
        <v>22468527.019921958</v>
      </c>
      <c r="O13" s="217">
        <f t="shared" si="8"/>
        <v>22959492.504704289</v>
      </c>
      <c r="P13" s="217">
        <f t="shared" si="8"/>
        <v>23461972.012608323</v>
      </c>
      <c r="Q13" s="217">
        <f t="shared" si="8"/>
        <v>23976244.868206702</v>
      </c>
      <c r="R13" s="217">
        <f t="shared" si="8"/>
        <v>24502597.278638732</v>
      </c>
      <c r="S13" s="217">
        <f t="shared" si="8"/>
        <v>25041322.504443862</v>
      </c>
      <c r="T13" s="217">
        <f t="shared" si="8"/>
        <v>25592721.034651246</v>
      </c>
      <c r="U13" s="217">
        <f t="shared" si="8"/>
        <v>26157100.766231585</v>
      </c>
      <c r="V13" s="217">
        <f t="shared" si="8"/>
        <v>26734777.188020233</v>
      </c>
      <c r="W13" s="217">
        <f t="shared" si="8"/>
        <v>27326073.56922305</v>
      </c>
      <c r="X13" s="217">
        <f t="shared" si="8"/>
        <v>27931321.152619645</v>
      </c>
      <c r="Y13" s="217">
        <f t="shared" si="8"/>
        <v>28550859.352581087</v>
      </c>
      <c r="Z13" s="217">
        <f t="shared" si="8"/>
        <v>29185035.958022457</v>
      </c>
      <c r="AA13" s="217">
        <f t="shared" si="8"/>
        <v>29834207.340413298</v>
      </c>
      <c r="AB13" s="217">
        <f t="shared" si="8"/>
        <v>30498738.666972511</v>
      </c>
      <c r="AC13" s="217">
        <f t="shared" si="8"/>
        <v>31179004.119176846</v>
      </c>
      <c r="AD13" s="217">
        <f t="shared" si="8"/>
        <v>31875387.116716001</v>
      </c>
      <c r="AE13" s="217">
        <f t="shared" si="8"/>
        <v>32588280.547030073</v>
      </c>
      <c r="AF13" s="217">
        <f t="shared" si="8"/>
        <v>33318087.000568993</v>
      </c>
    </row>
    <row r="14" spans="1:34" ht="14.55" customHeight="1" x14ac:dyDescent="0.3">
      <c r="A14" t="s">
        <v>207</v>
      </c>
    </row>
    <row r="15" spans="1:34" ht="14.55" customHeight="1" x14ac:dyDescent="0.3">
      <c r="A15" t="s">
        <v>208</v>
      </c>
      <c r="C15" s="200">
        <v>6000000</v>
      </c>
      <c r="D15" s="211">
        <f t="shared" ref="D15:AF15" si="9">+C15+(C15*$L29)</f>
        <v>6120000</v>
      </c>
      <c r="E15" s="211">
        <f t="shared" si="9"/>
        <v>6242400</v>
      </c>
      <c r="F15" s="211">
        <f t="shared" si="9"/>
        <v>6367248</v>
      </c>
      <c r="G15" s="211">
        <f t="shared" si="9"/>
        <v>6494592.96</v>
      </c>
      <c r="H15" s="211">
        <f t="shared" si="9"/>
        <v>6624484.8191999998</v>
      </c>
      <c r="I15" s="211">
        <f t="shared" si="9"/>
        <v>6756974.5155839995</v>
      </c>
      <c r="J15" s="211">
        <f t="shared" si="9"/>
        <v>6892114.0058956798</v>
      </c>
      <c r="K15" s="211">
        <f t="shared" si="9"/>
        <v>7029956.286013593</v>
      </c>
      <c r="L15" s="211">
        <f t="shared" si="9"/>
        <v>7170555.4117338648</v>
      </c>
      <c r="M15" s="211">
        <f t="shared" si="9"/>
        <v>7313966.5199685423</v>
      </c>
      <c r="N15" s="211">
        <f t="shared" si="9"/>
        <v>7460245.850367913</v>
      </c>
      <c r="O15" s="211">
        <f t="shared" si="9"/>
        <v>7609450.7673752708</v>
      </c>
      <c r="P15" s="211">
        <f t="shared" si="9"/>
        <v>7761639.7827227758</v>
      </c>
      <c r="Q15" s="211">
        <f t="shared" si="9"/>
        <v>7916872.578377231</v>
      </c>
      <c r="R15" s="211">
        <f t="shared" si="9"/>
        <v>8075210.0299447756</v>
      </c>
      <c r="S15" s="211">
        <f t="shared" si="9"/>
        <v>8236714.2305436712</v>
      </c>
      <c r="T15" s="211">
        <f t="shared" si="9"/>
        <v>8401448.5151545443</v>
      </c>
      <c r="U15" s="211">
        <f t="shared" si="9"/>
        <v>8569477.4854576346</v>
      </c>
      <c r="V15" s="211">
        <f t="shared" si="9"/>
        <v>8740867.035166787</v>
      </c>
      <c r="W15" s="211">
        <f t="shared" si="9"/>
        <v>8915684.3758701235</v>
      </c>
      <c r="X15" s="211">
        <f t="shared" si="9"/>
        <v>9093998.0633875262</v>
      </c>
      <c r="Y15" s="211">
        <f t="shared" si="9"/>
        <v>9275878.0246552769</v>
      </c>
      <c r="Z15" s="211">
        <f t="shared" si="9"/>
        <v>9461395.5851483829</v>
      </c>
      <c r="AA15" s="211">
        <f t="shared" si="9"/>
        <v>9650623.4968513511</v>
      </c>
      <c r="AB15" s="211">
        <f t="shared" si="9"/>
        <v>9843635.9667883776</v>
      </c>
      <c r="AC15" s="211">
        <f t="shared" si="9"/>
        <v>10040508.686124146</v>
      </c>
      <c r="AD15" s="211">
        <f t="shared" si="9"/>
        <v>10241318.859846629</v>
      </c>
      <c r="AE15" s="211">
        <f t="shared" si="9"/>
        <v>10446145.237043561</v>
      </c>
      <c r="AF15" s="211">
        <f t="shared" si="9"/>
        <v>10655068.141784433</v>
      </c>
    </row>
    <row r="16" spans="1:34" ht="14.55" customHeight="1" x14ac:dyDescent="0.3">
      <c r="A16" t="s">
        <v>214</v>
      </c>
      <c r="C16" s="200">
        <v>6500000</v>
      </c>
      <c r="D16" s="211">
        <f t="shared" ref="D16:AF16" si="10">+C16+(C16*$L29)</f>
        <v>6630000</v>
      </c>
      <c r="E16" s="211">
        <f t="shared" si="10"/>
        <v>6762600</v>
      </c>
      <c r="F16" s="211">
        <f t="shared" si="10"/>
        <v>6897852</v>
      </c>
      <c r="G16" s="211">
        <f t="shared" si="10"/>
        <v>7035809.04</v>
      </c>
      <c r="H16" s="211">
        <f t="shared" si="10"/>
        <v>7176525.2208000002</v>
      </c>
      <c r="I16" s="211">
        <f t="shared" si="10"/>
        <v>7320055.7252160003</v>
      </c>
      <c r="J16" s="211">
        <f t="shared" si="10"/>
        <v>7466456.83972032</v>
      </c>
      <c r="K16" s="211">
        <f t="shared" si="10"/>
        <v>7615785.9765147259</v>
      </c>
      <c r="L16" s="211">
        <f t="shared" si="10"/>
        <v>7768101.6960450206</v>
      </c>
      <c r="M16" s="211">
        <f t="shared" si="10"/>
        <v>7923463.7299659206</v>
      </c>
      <c r="N16" s="211">
        <f t="shared" si="10"/>
        <v>8081933.004565239</v>
      </c>
      <c r="O16" s="211">
        <f t="shared" si="10"/>
        <v>8243571.6646565441</v>
      </c>
      <c r="P16" s="211">
        <f t="shared" si="10"/>
        <v>8408443.0979496744</v>
      </c>
      <c r="Q16" s="211">
        <f t="shared" si="10"/>
        <v>8576611.959908668</v>
      </c>
      <c r="R16" s="211">
        <f t="shared" si="10"/>
        <v>8748144.1991068404</v>
      </c>
      <c r="S16" s="211">
        <f t="shared" si="10"/>
        <v>8923107.0830889773</v>
      </c>
      <c r="T16" s="211">
        <f t="shared" si="10"/>
        <v>9101569.2247507572</v>
      </c>
      <c r="U16" s="211">
        <f t="shared" si="10"/>
        <v>9283600.6092457715</v>
      </c>
      <c r="V16" s="211">
        <f t="shared" si="10"/>
        <v>9469272.6214306876</v>
      </c>
      <c r="W16" s="211">
        <f t="shared" si="10"/>
        <v>9658658.0738593005</v>
      </c>
      <c r="X16" s="211">
        <f t="shared" si="10"/>
        <v>9851831.2353364863</v>
      </c>
      <c r="Y16" s="211">
        <f t="shared" si="10"/>
        <v>10048867.860043216</v>
      </c>
      <c r="Z16" s="211">
        <f t="shared" si="10"/>
        <v>10249845.217244081</v>
      </c>
      <c r="AA16" s="211">
        <f t="shared" si="10"/>
        <v>10454842.121588962</v>
      </c>
      <c r="AB16" s="211">
        <f t="shared" si="10"/>
        <v>10663938.964020742</v>
      </c>
      <c r="AC16" s="211">
        <f t="shared" si="10"/>
        <v>10877217.743301157</v>
      </c>
      <c r="AD16" s="211">
        <f t="shared" si="10"/>
        <v>11094762.098167179</v>
      </c>
      <c r="AE16" s="211">
        <f t="shared" si="10"/>
        <v>11316657.340130523</v>
      </c>
      <c r="AF16" s="211">
        <f t="shared" si="10"/>
        <v>11542990.486933133</v>
      </c>
    </row>
    <row r="17" spans="1:34" ht="14.55" customHeight="1" x14ac:dyDescent="0.3">
      <c r="A17" s="218" t="s">
        <v>211</v>
      </c>
      <c r="B17" s="218"/>
      <c r="C17" s="219">
        <f>+SUM(C15:C16)</f>
        <v>12500000</v>
      </c>
      <c r="D17" s="219">
        <f t="shared" ref="D17:AF17" si="11">+SUM(D15:D16)</f>
        <v>12750000</v>
      </c>
      <c r="E17" s="219">
        <f t="shared" si="11"/>
        <v>13005000</v>
      </c>
      <c r="F17" s="219">
        <f t="shared" si="11"/>
        <v>13265100</v>
      </c>
      <c r="G17" s="219">
        <f t="shared" si="11"/>
        <v>13530402</v>
      </c>
      <c r="H17" s="219">
        <f t="shared" si="11"/>
        <v>13801010.039999999</v>
      </c>
      <c r="I17" s="219">
        <f t="shared" si="11"/>
        <v>14077030.240800001</v>
      </c>
      <c r="J17" s="219">
        <f t="shared" si="11"/>
        <v>14358570.845616</v>
      </c>
      <c r="K17" s="219">
        <f t="shared" si="11"/>
        <v>14645742.262528319</v>
      </c>
      <c r="L17" s="219">
        <f t="shared" si="11"/>
        <v>14938657.107778884</v>
      </c>
      <c r="M17" s="219">
        <f t="shared" si="11"/>
        <v>15237430.249934463</v>
      </c>
      <c r="N17" s="219">
        <f t="shared" si="11"/>
        <v>15542178.854933152</v>
      </c>
      <c r="O17" s="219">
        <f t="shared" si="11"/>
        <v>15853022.432031814</v>
      </c>
      <c r="P17" s="219">
        <f t="shared" si="11"/>
        <v>16170082.880672451</v>
      </c>
      <c r="Q17" s="219">
        <f t="shared" si="11"/>
        <v>16493484.5382859</v>
      </c>
      <c r="R17" s="219">
        <f t="shared" si="11"/>
        <v>16823354.229051616</v>
      </c>
      <c r="S17" s="219">
        <f t="shared" si="11"/>
        <v>17159821.313632648</v>
      </c>
      <c r="T17" s="219">
        <f t="shared" si="11"/>
        <v>17503017.739905301</v>
      </c>
      <c r="U17" s="219">
        <f t="shared" si="11"/>
        <v>17853078.094703406</v>
      </c>
      <c r="V17" s="219">
        <f t="shared" si="11"/>
        <v>18210139.656597473</v>
      </c>
      <c r="W17" s="219">
        <f t="shared" si="11"/>
        <v>18574342.449729424</v>
      </c>
      <c r="X17" s="219">
        <f t="shared" si="11"/>
        <v>18945829.298724011</v>
      </c>
      <c r="Y17" s="219">
        <f t="shared" si="11"/>
        <v>19324745.884698495</v>
      </c>
      <c r="Z17" s="219">
        <f t="shared" si="11"/>
        <v>19711240.802392464</v>
      </c>
      <c r="AA17" s="219">
        <f t="shared" si="11"/>
        <v>20105465.618440315</v>
      </c>
      <c r="AB17" s="219">
        <f t="shared" si="11"/>
        <v>20507574.930809118</v>
      </c>
      <c r="AC17" s="219">
        <f t="shared" si="11"/>
        <v>20917726.429425303</v>
      </c>
      <c r="AD17" s="219">
        <f t="shared" si="11"/>
        <v>21336080.95801381</v>
      </c>
      <c r="AE17" s="219">
        <f t="shared" si="11"/>
        <v>21762802.577174082</v>
      </c>
      <c r="AF17" s="219">
        <f t="shared" si="11"/>
        <v>22198058.628717564</v>
      </c>
      <c r="AG17" s="211"/>
      <c r="AH17" s="226"/>
    </row>
    <row r="18" spans="1:34" ht="14.55" customHeight="1" x14ac:dyDescent="0.3">
      <c r="C18" s="211"/>
    </row>
    <row r="19" spans="1:34" ht="14.55" customHeight="1" x14ac:dyDescent="0.3">
      <c r="A19" t="s">
        <v>210</v>
      </c>
      <c r="C19" s="211">
        <f>+C13-C17</f>
        <v>3950000</v>
      </c>
      <c r="D19" s="211">
        <f t="shared" ref="D19:AF19" si="12">+D13-D17</f>
        <v>4615920</v>
      </c>
      <c r="E19" s="211">
        <f t="shared" si="12"/>
        <v>4817389.6000000015</v>
      </c>
      <c r="F19" s="211">
        <f t="shared" si="12"/>
        <v>5105285.84</v>
      </c>
      <c r="G19" s="211">
        <f t="shared" si="12"/>
        <v>5484680.6822399981</v>
      </c>
      <c r="H19" s="211">
        <f t="shared" si="12"/>
        <v>5788610.9011840001</v>
      </c>
      <c r="I19" s="211">
        <f t="shared" si="12"/>
        <v>6100064.4566128626</v>
      </c>
      <c r="J19" s="211">
        <f t="shared" si="12"/>
        <v>6255879.6432791185</v>
      </c>
      <c r="K19" s="211">
        <f t="shared" si="12"/>
        <v>6416278.9625068046</v>
      </c>
      <c r="L19" s="211">
        <f t="shared" si="12"/>
        <v>6581397.1304507293</v>
      </c>
      <c r="M19" s="211">
        <f t="shared" si="12"/>
        <v>6751372.6996397469</v>
      </c>
      <c r="N19" s="211">
        <f t="shared" si="12"/>
        <v>6926348.1649888065</v>
      </c>
      <c r="O19" s="211">
        <f t="shared" si="12"/>
        <v>7106470.0726724751</v>
      </c>
      <c r="P19" s="211">
        <f t="shared" si="12"/>
        <v>7291889.1319358721</v>
      </c>
      <c r="Q19" s="211">
        <f t="shared" si="12"/>
        <v>7482760.3299208023</v>
      </c>
      <c r="R19" s="211">
        <f t="shared" si="12"/>
        <v>7679243.0495871156</v>
      </c>
      <c r="S19" s="211">
        <f t="shared" si="12"/>
        <v>7881501.1908112131</v>
      </c>
      <c r="T19" s="211">
        <f t="shared" si="12"/>
        <v>8089703.2947459444</v>
      </c>
      <c r="U19" s="211">
        <f t="shared" si="12"/>
        <v>8304022.6715281792</v>
      </c>
      <c r="V19" s="211">
        <f t="shared" si="12"/>
        <v>8524637.5314227603</v>
      </c>
      <c r="W19" s="211">
        <f t="shared" si="12"/>
        <v>8751731.1194936261</v>
      </c>
      <c r="X19" s="211">
        <f t="shared" si="12"/>
        <v>8985491.8538956344</v>
      </c>
      <c r="Y19" s="211">
        <f t="shared" si="12"/>
        <v>9226113.4678825922</v>
      </c>
      <c r="Z19" s="211">
        <f t="shared" si="12"/>
        <v>9473795.1556299925</v>
      </c>
      <c r="AA19" s="211">
        <f t="shared" si="12"/>
        <v>9728741.7219729833</v>
      </c>
      <c r="AB19" s="211">
        <f t="shared" si="12"/>
        <v>9991163.7361633927</v>
      </c>
      <c r="AC19" s="211">
        <f t="shared" si="12"/>
        <v>10261277.689751543</v>
      </c>
      <c r="AD19" s="211">
        <f t="shared" si="12"/>
        <v>10539306.158702191</v>
      </c>
      <c r="AE19" s="211">
        <f t="shared" si="12"/>
        <v>10825477.96985599</v>
      </c>
      <c r="AF19" s="211">
        <f t="shared" si="12"/>
        <v>11120028.371851429</v>
      </c>
    </row>
    <row r="20" spans="1:34" ht="14.55" customHeight="1" x14ac:dyDescent="0.3">
      <c r="A20" t="s">
        <v>217</v>
      </c>
      <c r="C20" s="211">
        <f>+C19*$L31</f>
        <v>1975000</v>
      </c>
      <c r="D20" s="211">
        <f t="shared" ref="D20:AF20" si="13">+D19*$L31</f>
        <v>2307960</v>
      </c>
      <c r="E20" s="211">
        <f t="shared" si="13"/>
        <v>2408694.8000000007</v>
      </c>
      <c r="F20" s="211">
        <f t="shared" si="13"/>
        <v>2552642.92</v>
      </c>
      <c r="G20" s="211">
        <f t="shared" si="13"/>
        <v>2742340.3411199991</v>
      </c>
      <c r="H20" s="211">
        <f t="shared" si="13"/>
        <v>2894305.450592</v>
      </c>
      <c r="I20" s="211">
        <f t="shared" si="13"/>
        <v>3050032.2283064313</v>
      </c>
      <c r="J20" s="211">
        <f t="shared" si="13"/>
        <v>3127939.8216395592</v>
      </c>
      <c r="K20" s="211">
        <f t="shared" si="13"/>
        <v>3208139.4812534023</v>
      </c>
      <c r="L20" s="211">
        <f t="shared" si="13"/>
        <v>3290698.5652253646</v>
      </c>
      <c r="M20" s="211">
        <f t="shared" si="13"/>
        <v>3375686.3498198735</v>
      </c>
      <c r="N20" s="211">
        <f t="shared" si="13"/>
        <v>3463174.0824944032</v>
      </c>
      <c r="O20" s="211">
        <f t="shared" si="13"/>
        <v>3553235.0363362376</v>
      </c>
      <c r="P20" s="211">
        <f t="shared" si="13"/>
        <v>3645944.5659679361</v>
      </c>
      <c r="Q20" s="211">
        <f t="shared" si="13"/>
        <v>3741380.1649604011</v>
      </c>
      <c r="R20" s="211">
        <f t="shared" si="13"/>
        <v>3839621.5247935578</v>
      </c>
      <c r="S20" s="211">
        <f t="shared" si="13"/>
        <v>3940750.5954056066</v>
      </c>
      <c r="T20" s="211">
        <f t="shared" si="13"/>
        <v>4044851.6473729722</v>
      </c>
      <c r="U20" s="211">
        <f t="shared" si="13"/>
        <v>4152011.3357640896</v>
      </c>
      <c r="V20" s="211">
        <f t="shared" si="13"/>
        <v>4262318.7657113802</v>
      </c>
      <c r="W20" s="211">
        <f t="shared" si="13"/>
        <v>4375865.559746813</v>
      </c>
      <c r="X20" s="211">
        <f t="shared" si="13"/>
        <v>4492745.9269478172</v>
      </c>
      <c r="Y20" s="211">
        <f t="shared" si="13"/>
        <v>4613056.7339412961</v>
      </c>
      <c r="Z20" s="211">
        <f t="shared" si="13"/>
        <v>4736897.5778149962</v>
      </c>
      <c r="AA20" s="211">
        <f t="shared" si="13"/>
        <v>4864370.8609864917</v>
      </c>
      <c r="AB20" s="211">
        <f t="shared" si="13"/>
        <v>4995581.8680816963</v>
      </c>
      <c r="AC20" s="211">
        <f t="shared" si="13"/>
        <v>5130638.8448757716</v>
      </c>
      <c r="AD20" s="211">
        <f t="shared" si="13"/>
        <v>5269653.0793510955</v>
      </c>
      <c r="AE20" s="211">
        <f t="shared" si="13"/>
        <v>5412738.9849279951</v>
      </c>
      <c r="AF20" s="211">
        <f t="shared" si="13"/>
        <v>5560014.1859257147</v>
      </c>
    </row>
    <row r="21" spans="1:34" ht="14.55" customHeight="1" x14ac:dyDescent="0.3">
      <c r="A21" t="s">
        <v>216</v>
      </c>
      <c r="C21" s="200">
        <f>+C20*$L34</f>
        <v>523375</v>
      </c>
      <c r="D21" s="200">
        <f t="shared" ref="D21:AF21" si="14">+D20*$L34</f>
        <v>611609.4</v>
      </c>
      <c r="E21" s="200">
        <f t="shared" si="14"/>
        <v>638304.12200000021</v>
      </c>
      <c r="F21" s="200">
        <f t="shared" si="14"/>
        <v>676450.37380000006</v>
      </c>
      <c r="G21" s="200">
        <f t="shared" si="14"/>
        <v>726720.19039679982</v>
      </c>
      <c r="H21" s="200">
        <f t="shared" si="14"/>
        <v>766990.94440688007</v>
      </c>
      <c r="I21" s="200">
        <f t="shared" si="14"/>
        <v>808258.54050120432</v>
      </c>
      <c r="J21" s="200">
        <f t="shared" si="14"/>
        <v>828904.05273448327</v>
      </c>
      <c r="K21" s="200">
        <f t="shared" si="14"/>
        <v>850156.96253215161</v>
      </c>
      <c r="L21" s="200">
        <f t="shared" si="14"/>
        <v>872035.11978472164</v>
      </c>
      <c r="M21" s="200">
        <f t="shared" si="14"/>
        <v>894556.88270226656</v>
      </c>
      <c r="N21" s="200">
        <f t="shared" si="14"/>
        <v>917741.13186101685</v>
      </c>
      <c r="O21" s="200">
        <f t="shared" si="14"/>
        <v>941607.28462910303</v>
      </c>
      <c r="P21" s="200">
        <f t="shared" si="14"/>
        <v>966175.30998150306</v>
      </c>
      <c r="Q21" s="200">
        <f t="shared" si="14"/>
        <v>991465.74371450639</v>
      </c>
      <c r="R21" s="200">
        <f t="shared" si="14"/>
        <v>1017499.7040702929</v>
      </c>
      <c r="S21" s="200">
        <f t="shared" si="14"/>
        <v>1044298.9077824858</v>
      </c>
      <c r="T21" s="200">
        <f t="shared" si="14"/>
        <v>1071885.6865538377</v>
      </c>
      <c r="U21" s="200">
        <f t="shared" si="14"/>
        <v>1100283.0039774838</v>
      </c>
      <c r="V21" s="200">
        <f t="shared" si="14"/>
        <v>1129514.4729135158</v>
      </c>
      <c r="W21" s="200">
        <f t="shared" si="14"/>
        <v>1159604.3733329056</v>
      </c>
      <c r="X21" s="200">
        <f t="shared" si="14"/>
        <v>1190577.6706411715</v>
      </c>
      <c r="Y21" s="200">
        <f t="shared" si="14"/>
        <v>1222460.0344944436</v>
      </c>
      <c r="Z21" s="200">
        <f t="shared" si="14"/>
        <v>1255277.8581209742</v>
      </c>
      <c r="AA21" s="200">
        <f t="shared" si="14"/>
        <v>1289058.2781614203</v>
      </c>
      <c r="AB21" s="200">
        <f t="shared" si="14"/>
        <v>1323829.1950416495</v>
      </c>
      <c r="AC21" s="200">
        <f t="shared" si="14"/>
        <v>1359619.2938920795</v>
      </c>
      <c r="AD21" s="200">
        <f t="shared" si="14"/>
        <v>1396458.0660280404</v>
      </c>
      <c r="AE21" s="200">
        <f t="shared" si="14"/>
        <v>1434375.8310059188</v>
      </c>
      <c r="AF21" s="200">
        <f t="shared" si="14"/>
        <v>1473403.7592703144</v>
      </c>
    </row>
    <row r="22" spans="1:34" ht="14.55" customHeight="1" x14ac:dyDescent="0.3">
      <c r="A22" t="s">
        <v>223</v>
      </c>
      <c r="B22" s="229">
        <f>-(B5*L34*L36)/(L35+L36)*L31</f>
        <v>1204545.4545454546</v>
      </c>
      <c r="C22" s="200"/>
      <c r="D22" s="200"/>
      <c r="E22" s="200"/>
      <c r="F22" s="200"/>
      <c r="G22" s="200"/>
      <c r="H22" s="200"/>
      <c r="I22" s="200"/>
      <c r="J22" s="200"/>
      <c r="K22" s="200"/>
      <c r="M22" s="200"/>
      <c r="N22" s="200"/>
      <c r="O22" s="200"/>
      <c r="P22" s="200"/>
      <c r="Q22" s="200"/>
      <c r="R22" s="200"/>
      <c r="S22" s="200"/>
      <c r="T22" s="200"/>
      <c r="U22" s="200"/>
      <c r="V22" s="200"/>
      <c r="W22" s="200"/>
      <c r="X22" s="200"/>
      <c r="Y22" s="200"/>
      <c r="Z22" s="200"/>
      <c r="AA22" s="200"/>
      <c r="AB22" s="200"/>
      <c r="AC22" s="200"/>
      <c r="AD22" s="200"/>
      <c r="AE22" s="200"/>
      <c r="AF22" s="200"/>
    </row>
    <row r="23" spans="1:34" ht="14.55" customHeight="1" x14ac:dyDescent="0.3">
      <c r="A23" t="s">
        <v>215</v>
      </c>
      <c r="B23" s="211">
        <f>SUM(B5:B22)</f>
        <v>-10795454.545454545</v>
      </c>
      <c r="C23" s="211">
        <f>+C20-C21</f>
        <v>1451625</v>
      </c>
      <c r="D23" s="211">
        <f t="shared" ref="D23:AF23" si="15">+D20-D21</f>
        <v>1696350.6</v>
      </c>
      <c r="E23" s="211">
        <f t="shared" si="15"/>
        <v>1770390.6780000005</v>
      </c>
      <c r="F23" s="211">
        <f t="shared" si="15"/>
        <v>1876192.5461999997</v>
      </c>
      <c r="G23" s="211">
        <f t="shared" si="15"/>
        <v>2015620.1507231994</v>
      </c>
      <c r="H23" s="211">
        <f t="shared" si="15"/>
        <v>2127314.50618512</v>
      </c>
      <c r="I23" s="211">
        <f t="shared" si="15"/>
        <v>2241773.687805227</v>
      </c>
      <c r="J23" s="211">
        <f t="shared" si="15"/>
        <v>2299035.7689050762</v>
      </c>
      <c r="K23" s="211">
        <f t="shared" si="15"/>
        <v>2357982.5187212508</v>
      </c>
      <c r="L23" s="211">
        <f t="shared" si="15"/>
        <v>2418663.445440643</v>
      </c>
      <c r="M23" s="211">
        <f t="shared" si="15"/>
        <v>2481129.4671176067</v>
      </c>
      <c r="N23" s="211">
        <f t="shared" si="15"/>
        <v>2545432.9506333862</v>
      </c>
      <c r="O23" s="211">
        <f t="shared" si="15"/>
        <v>2611627.7517071348</v>
      </c>
      <c r="P23" s="211">
        <f t="shared" si="15"/>
        <v>2679769.255986433</v>
      </c>
      <c r="Q23" s="211">
        <f t="shared" si="15"/>
        <v>2749914.4212458949</v>
      </c>
      <c r="R23" s="211">
        <f t="shared" si="15"/>
        <v>2822121.8207232649</v>
      </c>
      <c r="S23" s="211">
        <f t="shared" si="15"/>
        <v>2896451.6876231208</v>
      </c>
      <c r="T23" s="211">
        <f t="shared" si="15"/>
        <v>2972965.9608191345</v>
      </c>
      <c r="U23" s="211">
        <f t="shared" si="15"/>
        <v>3051728.3317866055</v>
      </c>
      <c r="V23" s="211">
        <f t="shared" si="15"/>
        <v>3132804.2927978644</v>
      </c>
      <c r="W23" s="211">
        <f t="shared" si="15"/>
        <v>3216261.1864139074</v>
      </c>
      <c r="X23" s="211">
        <f t="shared" si="15"/>
        <v>3302168.2563066455</v>
      </c>
      <c r="Y23" s="211">
        <f t="shared" si="15"/>
        <v>3390596.6994468523</v>
      </c>
      <c r="Z23" s="211">
        <f t="shared" si="15"/>
        <v>3481619.7196940221</v>
      </c>
      <c r="AA23" s="211">
        <f t="shared" si="15"/>
        <v>3575312.5828250712</v>
      </c>
      <c r="AB23" s="211">
        <f t="shared" si="15"/>
        <v>3671752.6730400468</v>
      </c>
      <c r="AC23" s="211">
        <f t="shared" si="15"/>
        <v>3771019.5509836921</v>
      </c>
      <c r="AD23" s="211">
        <f t="shared" si="15"/>
        <v>3873195.0133230551</v>
      </c>
      <c r="AE23" s="211">
        <f t="shared" si="15"/>
        <v>3978363.1539220763</v>
      </c>
      <c r="AF23" s="211">
        <f t="shared" si="15"/>
        <v>4086610.4266554005</v>
      </c>
    </row>
    <row r="24" spans="1:34" ht="14.55" customHeight="1" x14ac:dyDescent="0.3">
      <c r="C24" s="200"/>
      <c r="D24" s="200"/>
      <c r="E24" s="200"/>
      <c r="F24" s="200"/>
      <c r="G24" s="200"/>
      <c r="H24" s="200"/>
      <c r="I24" s="200"/>
      <c r="J24" s="200"/>
      <c r="K24" s="200"/>
      <c r="M24" s="200"/>
      <c r="N24" s="200"/>
      <c r="O24" s="200"/>
      <c r="P24" s="200"/>
      <c r="Q24" s="200"/>
      <c r="R24" s="200"/>
      <c r="S24" s="200"/>
      <c r="T24" s="200"/>
      <c r="U24" s="200"/>
      <c r="V24" s="200"/>
      <c r="W24" s="200"/>
      <c r="X24" s="200"/>
      <c r="Y24" s="200"/>
      <c r="Z24" s="200"/>
      <c r="AA24" s="200"/>
      <c r="AB24" s="200"/>
      <c r="AC24" s="200"/>
      <c r="AD24" s="200"/>
      <c r="AE24" s="200"/>
      <c r="AF24" s="200"/>
    </row>
    <row r="25" spans="1:34" ht="14.55" customHeight="1" x14ac:dyDescent="0.3">
      <c r="A25" t="s">
        <v>219</v>
      </c>
      <c r="B25" s="230">
        <f>+NPV(L35,C23:AF23)+B23</f>
        <v>2225721.1923167054</v>
      </c>
    </row>
    <row r="26" spans="1:34" ht="14.55" customHeight="1" x14ac:dyDescent="0.3">
      <c r="B26" s="222"/>
    </row>
    <row r="27" spans="1:34" ht="28.8" x14ac:dyDescent="0.3">
      <c r="H27" t="s">
        <v>225</v>
      </c>
      <c r="K27" s="202" t="s">
        <v>213</v>
      </c>
      <c r="L27" s="215">
        <f>6.5*12</f>
        <v>78</v>
      </c>
    </row>
    <row r="28" spans="1:34" ht="14.55" customHeight="1" x14ac:dyDescent="0.3">
      <c r="K28" t="s">
        <v>196</v>
      </c>
      <c r="L28" s="200">
        <v>75000</v>
      </c>
      <c r="M28" t="s">
        <v>197</v>
      </c>
    </row>
    <row r="29" spans="1:34" ht="14.55" customHeight="1" x14ac:dyDescent="0.3">
      <c r="E29" s="211"/>
      <c r="K29" t="s">
        <v>198</v>
      </c>
      <c r="L29" s="214">
        <v>0.02</v>
      </c>
    </row>
    <row r="30" spans="1:34" ht="25.8" customHeight="1" x14ac:dyDescent="0.3">
      <c r="K30" s="213" t="s">
        <v>205</v>
      </c>
      <c r="L30" s="200">
        <v>36</v>
      </c>
    </row>
    <row r="31" spans="1:34" ht="34.200000000000003" customHeight="1" x14ac:dyDescent="0.3">
      <c r="K31" s="204" t="s">
        <v>218</v>
      </c>
      <c r="L31" s="214">
        <v>0.5</v>
      </c>
    </row>
    <row r="32" spans="1:34" ht="42" customHeight="1" x14ac:dyDescent="0.3">
      <c r="I32" s="223"/>
      <c r="K32" s="202" t="s">
        <v>201</v>
      </c>
      <c r="L32" s="212">
        <v>5.0000000000000001E-3</v>
      </c>
    </row>
    <row r="33" spans="2:13" ht="14.55" customHeight="1" x14ac:dyDescent="0.3">
      <c r="B33" s="205"/>
      <c r="C33" s="206">
        <v>2022</v>
      </c>
      <c r="D33" s="206">
        <v>2023</v>
      </c>
      <c r="E33" s="206">
        <v>2024</v>
      </c>
      <c r="F33" s="206">
        <v>2025</v>
      </c>
      <c r="G33" s="206">
        <v>2026</v>
      </c>
      <c r="H33" s="206">
        <v>2027</v>
      </c>
      <c r="I33" s="206">
        <v>2028</v>
      </c>
      <c r="K33" t="s">
        <v>224</v>
      </c>
      <c r="L33" s="214">
        <v>0.01</v>
      </c>
      <c r="M33" t="s">
        <v>204</v>
      </c>
    </row>
    <row r="34" spans="2:13" ht="43.2" x14ac:dyDescent="0.3">
      <c r="B34" s="207" t="s">
        <v>199</v>
      </c>
      <c r="C34" s="208">
        <v>150000</v>
      </c>
      <c r="D34" s="208">
        <v>157000</v>
      </c>
      <c r="E34" s="208">
        <v>158000</v>
      </c>
      <c r="F34" s="208">
        <v>160000</v>
      </c>
      <c r="G34" s="208">
        <v>163000</v>
      </c>
      <c r="H34" s="208">
        <v>165000</v>
      </c>
      <c r="I34" s="208">
        <v>167000</v>
      </c>
      <c r="K34" t="s">
        <v>206</v>
      </c>
      <c r="L34" s="220">
        <v>0.26500000000000001</v>
      </c>
    </row>
    <row r="35" spans="2:13" ht="28.8" x14ac:dyDescent="0.3">
      <c r="B35" s="209" t="s">
        <v>220</v>
      </c>
      <c r="C35" s="210">
        <v>3500000</v>
      </c>
      <c r="D35" s="210">
        <v>3600000</v>
      </c>
      <c r="E35" s="210">
        <v>3700000</v>
      </c>
      <c r="F35" s="210">
        <v>3800000</v>
      </c>
      <c r="G35" s="210">
        <v>3900000</v>
      </c>
      <c r="H35" s="210">
        <v>4000000</v>
      </c>
      <c r="I35" s="210">
        <v>4100000</v>
      </c>
      <c r="K35" t="s">
        <v>112</v>
      </c>
      <c r="L35" s="201">
        <v>0.16</v>
      </c>
    </row>
    <row r="36" spans="2:13" ht="14.55" customHeight="1" x14ac:dyDescent="0.3">
      <c r="K36" t="s">
        <v>107</v>
      </c>
      <c r="L36" s="201">
        <v>0.5</v>
      </c>
    </row>
    <row r="37" spans="2:13" ht="14.55" customHeight="1" x14ac:dyDescent="0.3">
      <c r="D37" s="211"/>
      <c r="H37" s="211"/>
      <c r="I37" s="211"/>
    </row>
  </sheetData>
  <phoneticPr fontId="2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7D6B5-FC44-4FF9-8476-12ECD5DE03DC}">
  <sheetPr>
    <tabColor theme="4" tint="0.39997558519241921"/>
  </sheetPr>
  <dimension ref="A1:M81"/>
  <sheetViews>
    <sheetView zoomScale="70" zoomScaleNormal="70" workbookViewId="0">
      <selection activeCell="E10" sqref="E10"/>
    </sheetView>
  </sheetViews>
  <sheetFormatPr baseColWidth="10" defaultColWidth="10.77734375" defaultRowHeight="15.6" x14ac:dyDescent="0.3"/>
  <cols>
    <col min="1" max="1" width="2.44140625" style="5" customWidth="1"/>
    <col min="2" max="2" width="41.77734375" style="5" customWidth="1"/>
    <col min="3" max="3" width="14" style="5" customWidth="1"/>
    <col min="4" max="4" width="17.88671875" style="5" customWidth="1"/>
    <col min="5" max="5" width="16.33203125" style="5" customWidth="1"/>
    <col min="6" max="6" width="15.77734375" style="5" customWidth="1"/>
    <col min="7" max="7" width="71.21875" style="17" customWidth="1"/>
    <col min="8" max="8" width="39.77734375" style="5" customWidth="1"/>
    <col min="9" max="9" width="0.77734375" style="4" customWidth="1"/>
    <col min="10" max="10" width="13.44140625" style="4" bestFit="1" customWidth="1"/>
    <col min="11" max="11" width="10.77734375" style="5"/>
    <col min="12" max="12" width="12.77734375" style="4" bestFit="1" customWidth="1"/>
    <col min="13" max="13" width="11.77734375" style="5" bestFit="1" customWidth="1"/>
    <col min="14" max="16384" width="10.77734375" style="2"/>
  </cols>
  <sheetData>
    <row r="1" spans="1:13" x14ac:dyDescent="0.3">
      <c r="B1" s="277" t="s">
        <v>5</v>
      </c>
      <c r="C1" s="277"/>
      <c r="D1" s="277"/>
      <c r="E1" s="277"/>
      <c r="F1" s="277"/>
    </row>
    <row r="3" spans="1:13" s="1" customFormat="1" x14ac:dyDescent="0.3">
      <c r="A3" s="4"/>
      <c r="B3" s="5"/>
      <c r="C3" s="5"/>
      <c r="D3" s="5"/>
      <c r="E3" s="5"/>
      <c r="F3" s="5"/>
      <c r="G3" s="17"/>
      <c r="H3" s="5"/>
      <c r="I3" s="4"/>
      <c r="J3" s="4"/>
      <c r="K3" s="5"/>
      <c r="L3" s="4"/>
      <c r="M3" s="4"/>
    </row>
    <row r="4" spans="1:13" s="1" customFormat="1" ht="14.7" customHeight="1" x14ac:dyDescent="0.25">
      <c r="A4" s="4"/>
      <c r="D4" s="278" t="s">
        <v>6</v>
      </c>
      <c r="E4" s="278"/>
      <c r="F4" s="278"/>
      <c r="G4" s="18"/>
      <c r="H4" s="19"/>
      <c r="I4" s="4"/>
      <c r="J4" s="4"/>
      <c r="K4" s="19"/>
      <c r="L4" s="4"/>
      <c r="M4" s="4"/>
    </row>
    <row r="5" spans="1:13" s="1" customFormat="1" ht="14.7" customHeight="1" x14ac:dyDescent="0.25">
      <c r="A5" s="4"/>
      <c r="D5" s="278"/>
      <c r="E5" s="278"/>
      <c r="F5" s="278"/>
      <c r="G5" s="18"/>
      <c r="H5" s="19"/>
      <c r="I5" s="4"/>
      <c r="J5" s="4"/>
      <c r="K5" s="19"/>
      <c r="L5" s="4"/>
      <c r="M5" s="4"/>
    </row>
    <row r="6" spans="1:13" s="1" customFormat="1" hidden="1" x14ac:dyDescent="0.3">
      <c r="A6" s="4"/>
      <c r="B6" s="5"/>
      <c r="C6" s="5"/>
      <c r="D6" s="20">
        <v>1</v>
      </c>
      <c r="E6" s="20">
        <v>2</v>
      </c>
      <c r="F6" s="20">
        <v>3</v>
      </c>
      <c r="G6" s="17"/>
      <c r="H6" s="21"/>
      <c r="I6" s="4"/>
      <c r="J6" s="4"/>
      <c r="K6" s="5"/>
      <c r="L6" s="4"/>
      <c r="M6" s="4"/>
    </row>
    <row r="7" spans="1:13" s="1" customFormat="1" x14ac:dyDescent="0.3">
      <c r="A7" s="4"/>
      <c r="B7" s="22" t="s">
        <v>7</v>
      </c>
      <c r="C7" s="23" t="s">
        <v>8</v>
      </c>
      <c r="D7" s="23">
        <v>2022</v>
      </c>
      <c r="E7" s="23">
        <v>2023</v>
      </c>
      <c r="F7" s="23">
        <v>2024</v>
      </c>
      <c r="G7" s="7" t="s">
        <v>2</v>
      </c>
      <c r="H7" s="5"/>
      <c r="I7" s="4"/>
      <c r="J7" s="4"/>
      <c r="K7" s="5"/>
      <c r="L7" s="4"/>
      <c r="M7" s="4"/>
    </row>
    <row r="8" spans="1:13" s="1" customFormat="1" x14ac:dyDescent="0.3">
      <c r="A8" s="4"/>
      <c r="B8" s="24" t="s">
        <v>9</v>
      </c>
      <c r="C8" s="23"/>
      <c r="D8" s="23"/>
      <c r="E8" s="23"/>
      <c r="F8" s="23"/>
      <c r="G8" s="17"/>
      <c r="H8" s="5"/>
      <c r="I8" s="4"/>
      <c r="J8" s="4"/>
      <c r="K8" s="5"/>
      <c r="L8" s="4"/>
      <c r="M8" s="4"/>
    </row>
    <row r="9" spans="1:13" s="1" customFormat="1" x14ac:dyDescent="0.3">
      <c r="A9" s="4"/>
      <c r="B9" s="25" t="s">
        <v>10</v>
      </c>
      <c r="C9" s="14">
        <f>SUMPRODUCT(C64:C67,C72:C75,$G$73:$G$76)</f>
        <v>1675000</v>
      </c>
      <c r="D9" s="14">
        <f>SUMPRODUCT(D64:D67,D72:D75,$G$73:$G$76)</f>
        <v>2756000</v>
      </c>
      <c r="E9" s="14">
        <f>SUMPRODUCT(E64:E67,E72:E75,$G$73:$G$76)</f>
        <v>2846000</v>
      </c>
      <c r="F9" s="14">
        <f>SUMPRODUCT(F64:F67,F72:F75,$G$73:$G$76)</f>
        <v>3627500</v>
      </c>
      <c r="G9" s="17"/>
      <c r="H9" s="15"/>
      <c r="I9" s="4"/>
      <c r="J9" s="15"/>
      <c r="K9" s="5"/>
      <c r="L9" s="4"/>
      <c r="M9" s="4"/>
    </row>
    <row r="10" spans="1:13" s="1" customFormat="1" x14ac:dyDescent="0.3">
      <c r="A10" s="4"/>
      <c r="B10" s="24" t="s">
        <v>11</v>
      </c>
      <c r="C10" s="11"/>
      <c r="D10" s="11"/>
      <c r="E10" s="11"/>
      <c r="F10" s="11"/>
      <c r="G10" s="17"/>
      <c r="H10" s="15"/>
      <c r="I10" s="4"/>
      <c r="J10" s="15"/>
      <c r="K10" s="5"/>
      <c r="L10" s="4"/>
      <c r="M10" s="4"/>
    </row>
    <row r="11" spans="1:13" s="1" customFormat="1" x14ac:dyDescent="0.3">
      <c r="A11" s="4"/>
      <c r="B11" s="25" t="s">
        <v>12</v>
      </c>
      <c r="C11" s="14">
        <f>-SUMPRODUCT($G$65:$G$69,C64:C68)*75%</f>
        <v>-740250</v>
      </c>
      <c r="D11" s="14">
        <f>-SUMPRODUCT($G$65:$G$69,D64:D68)*(1+$C$80)^D6</f>
        <v>-1266840</v>
      </c>
      <c r="E11" s="14">
        <f>-SUMPRODUCT($G$65:$G$69,E64:E68)*(1+$C$80)^E6</f>
        <v>-1292176.8</v>
      </c>
      <c r="F11" s="14">
        <f>-SUMPRODUCT($G$65:$G$69,F64:F68)*(1+$C$80)^F6</f>
        <v>-1588628.3759999999</v>
      </c>
      <c r="G11" s="17" t="s">
        <v>13</v>
      </c>
      <c r="H11" s="15"/>
      <c r="I11" s="4"/>
      <c r="J11" s="15"/>
      <c r="K11" s="5"/>
      <c r="L11" s="4"/>
      <c r="M11" s="4"/>
    </row>
    <row r="12" spans="1:13" s="1" customFormat="1" x14ac:dyDescent="0.3">
      <c r="A12" s="4"/>
      <c r="B12" s="25" t="s">
        <v>14</v>
      </c>
      <c r="C12" s="14">
        <f>C11*25%</f>
        <v>-185062.5</v>
      </c>
      <c r="D12" s="14">
        <f t="shared" ref="D12:F12" si="0">D11*25%</f>
        <v>-316710</v>
      </c>
      <c r="E12" s="14">
        <f t="shared" si="0"/>
        <v>-323044.2</v>
      </c>
      <c r="F12" s="14">
        <f t="shared" si="0"/>
        <v>-397157.09399999998</v>
      </c>
      <c r="G12" s="17" t="s">
        <v>15</v>
      </c>
      <c r="H12" s="15"/>
      <c r="I12" s="4"/>
      <c r="J12" s="15"/>
      <c r="K12" s="5"/>
      <c r="L12" s="4"/>
      <c r="M12" s="4"/>
    </row>
    <row r="13" spans="1:13" s="1" customFormat="1" x14ac:dyDescent="0.3">
      <c r="A13" s="4"/>
      <c r="B13" s="25" t="s">
        <v>16</v>
      </c>
      <c r="C13" s="14">
        <f>C11*23%</f>
        <v>-170257.5</v>
      </c>
      <c r="D13" s="14">
        <f>D11*23%</f>
        <v>-291373.2</v>
      </c>
      <c r="E13" s="14">
        <f t="shared" ref="E13:F13" si="1">E11*23%</f>
        <v>-297200.66400000005</v>
      </c>
      <c r="F13" s="14">
        <f t="shared" si="1"/>
        <v>-365384.52648</v>
      </c>
      <c r="G13" s="17" t="s">
        <v>17</v>
      </c>
      <c r="H13" s="15"/>
      <c r="I13" s="4"/>
      <c r="J13" s="15"/>
      <c r="K13" s="5"/>
      <c r="L13" s="4"/>
      <c r="M13" s="4"/>
    </row>
    <row r="14" spans="1:13" s="1" customFormat="1" x14ac:dyDescent="0.3">
      <c r="A14" s="4"/>
      <c r="B14" s="26" t="s">
        <v>18</v>
      </c>
      <c r="C14" s="12">
        <f>-350000</f>
        <v>-350000</v>
      </c>
      <c r="D14" s="27">
        <v>-400000</v>
      </c>
      <c r="E14" s="27">
        <v>-250000</v>
      </c>
      <c r="F14" s="27">
        <v>-250000</v>
      </c>
      <c r="G14" s="17" t="s">
        <v>19</v>
      </c>
      <c r="H14" s="5"/>
      <c r="I14" s="4"/>
      <c r="J14" s="4"/>
      <c r="K14" s="5"/>
      <c r="L14" s="4"/>
      <c r="M14" s="4"/>
    </row>
    <row r="15" spans="1:13" s="1" customFormat="1" x14ac:dyDescent="0.3">
      <c r="A15" s="4"/>
      <c r="B15" s="28" t="s">
        <v>20</v>
      </c>
      <c r="C15" s="29">
        <f>SUM(C11:C14)</f>
        <v>-1445570</v>
      </c>
      <c r="D15" s="29">
        <f>SUM(D11:D14)</f>
        <v>-2274923.2000000002</v>
      </c>
      <c r="E15" s="29">
        <f>SUM(E11:E14)</f>
        <v>-2162421.6639999999</v>
      </c>
      <c r="F15" s="29">
        <f>SUM(F11:F14)</f>
        <v>-2601169.9964800002</v>
      </c>
      <c r="G15" s="17"/>
      <c r="H15" s="5"/>
      <c r="I15" s="4"/>
      <c r="J15" s="4"/>
      <c r="K15" s="5"/>
      <c r="L15" s="4"/>
      <c r="M15" s="4"/>
    </row>
    <row r="16" spans="1:13" s="1" customFormat="1" x14ac:dyDescent="0.3">
      <c r="A16" s="4"/>
      <c r="B16" s="25"/>
      <c r="C16" s="15"/>
      <c r="D16" s="15"/>
      <c r="E16" s="15"/>
      <c r="F16" s="15"/>
      <c r="G16" s="17"/>
      <c r="H16" s="4"/>
      <c r="I16" s="4"/>
      <c r="J16" s="30"/>
      <c r="K16" s="5"/>
      <c r="L16" s="31"/>
      <c r="M16" s="4"/>
    </row>
    <row r="17" spans="1:13" s="1" customFormat="1" x14ac:dyDescent="0.3">
      <c r="A17" s="4"/>
      <c r="B17" s="32" t="s">
        <v>4</v>
      </c>
      <c r="C17" s="14">
        <f>C9+C15</f>
        <v>229430</v>
      </c>
      <c r="D17" s="14">
        <f t="shared" ref="D17:F17" si="2">D9+D15</f>
        <v>481076.79999999981</v>
      </c>
      <c r="E17" s="14">
        <f t="shared" si="2"/>
        <v>683578.33600000013</v>
      </c>
      <c r="F17" s="14">
        <f t="shared" si="2"/>
        <v>1026330.0035199998</v>
      </c>
      <c r="G17" s="13"/>
      <c r="H17" s="4"/>
      <c r="I17" s="4"/>
      <c r="J17" s="4"/>
      <c r="K17" s="5"/>
      <c r="M17" s="4"/>
    </row>
    <row r="18" spans="1:13" s="1" customFormat="1" x14ac:dyDescent="0.3">
      <c r="A18" s="4"/>
      <c r="B18" s="25" t="s">
        <v>21</v>
      </c>
      <c r="C18" s="14">
        <f>-C17*26.5%</f>
        <v>-60798.950000000004</v>
      </c>
      <c r="D18" s="14">
        <f t="shared" ref="D18:F18" si="3">-D17*26.5%</f>
        <v>-127485.35199999996</v>
      </c>
      <c r="E18" s="14">
        <f t="shared" si="3"/>
        <v>-181148.25904000003</v>
      </c>
      <c r="F18" s="14">
        <f t="shared" si="3"/>
        <v>-271977.45093279995</v>
      </c>
      <c r="G18" s="13"/>
      <c r="H18" s="4"/>
      <c r="I18" s="4"/>
      <c r="J18" s="4"/>
      <c r="K18" s="5"/>
      <c r="M18" s="4"/>
    </row>
    <row r="19" spans="1:13" s="1" customFormat="1" ht="16.2" thickBot="1" x14ac:dyDescent="0.35">
      <c r="A19" s="4"/>
      <c r="B19" s="33" t="s">
        <v>22</v>
      </c>
      <c r="C19" s="34">
        <f>SUM(C17:C18)</f>
        <v>168631.05</v>
      </c>
      <c r="D19" s="34">
        <f t="shared" ref="D19:F19" si="4">SUM(D17:D18)</f>
        <v>353591.44799999986</v>
      </c>
      <c r="E19" s="34">
        <f t="shared" si="4"/>
        <v>502430.07696000009</v>
      </c>
      <c r="F19" s="34">
        <f t="shared" si="4"/>
        <v>754352.55258719984</v>
      </c>
      <c r="G19" s="35"/>
      <c r="H19" s="10"/>
      <c r="I19" s="10"/>
      <c r="J19" s="9"/>
      <c r="K19" s="5"/>
      <c r="M19" s="4"/>
    </row>
    <row r="20" spans="1:13" s="1" customFormat="1" ht="16.8" thickTop="1" thickBot="1" x14ac:dyDescent="0.35">
      <c r="A20" s="4"/>
      <c r="B20" s="25"/>
      <c r="C20" s="14"/>
      <c r="D20" s="14"/>
      <c r="E20" s="14"/>
      <c r="F20" s="14"/>
      <c r="G20" s="35"/>
      <c r="H20" s="10"/>
      <c r="I20" s="10"/>
      <c r="J20" s="9"/>
      <c r="K20" s="5"/>
      <c r="M20" s="4"/>
    </row>
    <row r="21" spans="1:13" s="1" customFormat="1" ht="15" customHeight="1" thickBot="1" x14ac:dyDescent="0.35">
      <c r="A21" s="4"/>
      <c r="B21" s="36" t="s">
        <v>23</v>
      </c>
      <c r="C21" s="37">
        <f>C17/C9</f>
        <v>0.1369731343283582</v>
      </c>
      <c r="D21" s="37">
        <f t="shared" ref="D21:F21" si="5">D17/D9</f>
        <v>0.17455616835994187</v>
      </c>
      <c r="E21" s="37">
        <f t="shared" si="5"/>
        <v>0.24018915530569224</v>
      </c>
      <c r="F21" s="38">
        <f t="shared" si="5"/>
        <v>0.28293039380289448</v>
      </c>
      <c r="G21" s="35"/>
      <c r="H21" s="10"/>
      <c r="I21" s="10"/>
      <c r="J21" s="39"/>
      <c r="K21" s="5"/>
      <c r="M21" s="4"/>
    </row>
    <row r="22" spans="1:13" s="1" customFormat="1" x14ac:dyDescent="0.3">
      <c r="A22" s="4"/>
      <c r="B22" s="25"/>
      <c r="C22" s="14"/>
      <c r="D22" s="14"/>
      <c r="E22" s="14"/>
      <c r="F22" s="14"/>
      <c r="G22" s="35"/>
      <c r="H22" s="10"/>
      <c r="I22" s="10"/>
      <c r="J22" s="10"/>
      <c r="K22" s="5"/>
      <c r="L22" s="4"/>
      <c r="M22" s="4"/>
    </row>
    <row r="23" spans="1:13" s="1" customFormat="1" x14ac:dyDescent="0.3">
      <c r="A23" s="4"/>
      <c r="B23" s="25"/>
      <c r="C23" s="14"/>
      <c r="D23" s="14"/>
      <c r="E23" s="14"/>
      <c r="F23" s="14"/>
      <c r="G23" s="35"/>
      <c r="H23" s="10"/>
      <c r="I23" s="10"/>
      <c r="J23" s="10"/>
      <c r="K23" s="5"/>
      <c r="L23" s="4"/>
      <c r="M23" s="4"/>
    </row>
    <row r="24" spans="1:13" s="1" customFormat="1" x14ac:dyDescent="0.3">
      <c r="A24" s="4"/>
      <c r="B24" s="40" t="s">
        <v>24</v>
      </c>
      <c r="C24" s="14"/>
      <c r="D24" s="14"/>
      <c r="E24" s="14"/>
      <c r="F24" s="14"/>
      <c r="G24" s="35"/>
      <c r="H24" s="41"/>
      <c r="I24" s="10"/>
      <c r="J24" s="10"/>
      <c r="K24" s="5"/>
      <c r="L24" s="4"/>
      <c r="M24" s="4"/>
    </row>
    <row r="25" spans="1:13" s="1" customFormat="1" ht="30" x14ac:dyDescent="0.25">
      <c r="A25" s="4"/>
      <c r="B25" s="25" t="s">
        <v>25</v>
      </c>
      <c r="C25" s="14">
        <f>-600000*0.75</f>
        <v>-450000</v>
      </c>
      <c r="D25" s="14">
        <v>-600000</v>
      </c>
      <c r="E25" s="14">
        <v>-600000</v>
      </c>
      <c r="F25" s="14">
        <v>-600000</v>
      </c>
      <c r="G25" s="279" t="s">
        <v>26</v>
      </c>
      <c r="H25" s="42"/>
      <c r="I25" s="10"/>
      <c r="J25" s="10"/>
      <c r="K25" s="5"/>
      <c r="L25" s="4"/>
      <c r="M25" s="4"/>
    </row>
    <row r="26" spans="1:13" s="1" customFormat="1" ht="15" x14ac:dyDescent="0.25">
      <c r="A26" s="4"/>
      <c r="B26" s="43" t="s">
        <v>27</v>
      </c>
      <c r="C26" s="12">
        <f>250000*1.7*75%</f>
        <v>318750</v>
      </c>
      <c r="D26" s="12">
        <f>250000*1.7</f>
        <v>425000</v>
      </c>
      <c r="E26" s="12">
        <f>250000*1.7</f>
        <v>425000</v>
      </c>
      <c r="F26" s="12">
        <f>250000*1.7</f>
        <v>425000</v>
      </c>
      <c r="G26" s="279"/>
      <c r="H26" s="42"/>
      <c r="I26" s="10"/>
      <c r="J26" s="10"/>
      <c r="K26" s="5"/>
      <c r="L26" s="4"/>
      <c r="M26" s="4"/>
    </row>
    <row r="27" spans="1:13" s="1" customFormat="1" x14ac:dyDescent="0.3">
      <c r="A27" s="4"/>
      <c r="B27" s="25" t="s">
        <v>28</v>
      </c>
      <c r="C27" s="14">
        <f>SUM(C25:C26)</f>
        <v>-131250</v>
      </c>
      <c r="D27" s="14">
        <f>SUM(D25:D26)</f>
        <v>-175000</v>
      </c>
      <c r="E27" s="14">
        <f>SUM(E25:E26)</f>
        <v>-175000</v>
      </c>
      <c r="F27" s="14">
        <f>SUM(F25:F26)</f>
        <v>-175000</v>
      </c>
      <c r="G27" s="6" t="s">
        <v>29</v>
      </c>
      <c r="H27" s="42"/>
      <c r="I27" s="10"/>
      <c r="J27" s="10"/>
      <c r="K27" s="5"/>
      <c r="L27" s="4"/>
      <c r="M27" s="4"/>
    </row>
    <row r="28" spans="1:13" s="1" customFormat="1" x14ac:dyDescent="0.3">
      <c r="A28" s="4"/>
      <c r="B28" s="25" t="s">
        <v>21</v>
      </c>
      <c r="C28" s="14">
        <f>-C27*26.5%</f>
        <v>34781.25</v>
      </c>
      <c r="D28" s="14">
        <f t="shared" ref="D28:F28" si="6">-D27*26.5%</f>
        <v>46375</v>
      </c>
      <c r="E28" s="14">
        <f t="shared" si="6"/>
        <v>46375</v>
      </c>
      <c r="F28" s="14">
        <f t="shared" si="6"/>
        <v>46375</v>
      </c>
      <c r="G28" s="8"/>
      <c r="H28" s="44"/>
      <c r="I28" s="10"/>
      <c r="J28" s="39"/>
      <c r="K28" s="5"/>
      <c r="L28" s="4"/>
      <c r="M28" s="4"/>
    </row>
    <row r="29" spans="1:13" s="1" customFormat="1" x14ac:dyDescent="0.3">
      <c r="A29" s="4"/>
      <c r="B29" s="45" t="s">
        <v>30</v>
      </c>
      <c r="C29" s="46">
        <f>SUM(C27:C28)</f>
        <v>-96468.75</v>
      </c>
      <c r="D29" s="46">
        <f t="shared" ref="D29:F29" si="7">SUM(D27:D28)</f>
        <v>-128625</v>
      </c>
      <c r="E29" s="46">
        <f t="shared" si="7"/>
        <v>-128625</v>
      </c>
      <c r="F29" s="46">
        <f t="shared" si="7"/>
        <v>-128625</v>
      </c>
      <c r="G29" s="8"/>
      <c r="H29" s="44"/>
      <c r="I29" s="10"/>
      <c r="J29" s="39"/>
      <c r="K29" s="5"/>
      <c r="L29" s="4"/>
      <c r="M29" s="4"/>
    </row>
    <row r="30" spans="1:13" s="1" customFormat="1" x14ac:dyDescent="0.3">
      <c r="A30" s="4"/>
      <c r="B30" s="45"/>
      <c r="C30" s="46"/>
      <c r="D30" s="46"/>
      <c r="E30" s="46"/>
      <c r="F30" s="46"/>
      <c r="G30" s="8"/>
      <c r="H30" s="44"/>
      <c r="I30" s="10"/>
      <c r="J30" s="39"/>
      <c r="K30" s="5"/>
      <c r="L30" s="4"/>
      <c r="M30" s="4"/>
    </row>
    <row r="31" spans="1:13" s="1" customFormat="1" ht="16.2" thickBot="1" x14ac:dyDescent="0.35">
      <c r="A31" s="4"/>
      <c r="B31" s="33" t="s">
        <v>31</v>
      </c>
      <c r="C31" s="34">
        <f>C17+C27</f>
        <v>98180</v>
      </c>
      <c r="D31" s="34">
        <f t="shared" ref="D31:F31" si="8">D17+D27</f>
        <v>306076.79999999981</v>
      </c>
      <c r="E31" s="34">
        <f t="shared" si="8"/>
        <v>508578.33600000013</v>
      </c>
      <c r="F31" s="34">
        <f t="shared" si="8"/>
        <v>851330.00351999979</v>
      </c>
      <c r="G31" s="8"/>
      <c r="H31" s="44"/>
      <c r="I31" s="10"/>
      <c r="J31" s="39"/>
      <c r="K31" s="5"/>
      <c r="L31" s="4"/>
      <c r="M31" s="4"/>
    </row>
    <row r="32" spans="1:13" s="1" customFormat="1" ht="16.2" thickTop="1" x14ac:dyDescent="0.3">
      <c r="A32" s="4"/>
      <c r="B32" s="32"/>
      <c r="C32" s="47"/>
      <c r="D32" s="47"/>
      <c r="E32" s="47"/>
      <c r="F32" s="47"/>
      <c r="G32" s="8"/>
      <c r="H32" s="44"/>
      <c r="I32" s="10"/>
      <c r="J32" s="39"/>
      <c r="K32" s="5"/>
      <c r="L32" s="4"/>
      <c r="M32" s="4"/>
    </row>
    <row r="33" spans="1:13" s="1" customFormat="1" ht="16.2" thickBot="1" x14ac:dyDescent="0.35">
      <c r="A33" s="4"/>
      <c r="B33" s="33" t="s">
        <v>32</v>
      </c>
      <c r="C33" s="34">
        <f>C19+C29</f>
        <v>72162.299999999988</v>
      </c>
      <c r="D33" s="34">
        <f t="shared" ref="D33:F33" si="9">D19+D29</f>
        <v>224966.44799999986</v>
      </c>
      <c r="E33" s="34">
        <f t="shared" si="9"/>
        <v>373805.07696000009</v>
      </c>
      <c r="F33" s="34">
        <f t="shared" si="9"/>
        <v>625727.55258719984</v>
      </c>
      <c r="G33" s="8"/>
      <c r="H33" s="44"/>
      <c r="I33" s="4"/>
      <c r="J33" s="16"/>
      <c r="K33" s="5"/>
      <c r="L33" s="4"/>
      <c r="M33" s="4"/>
    </row>
    <row r="34" spans="1:13" s="1" customFormat="1" ht="16.8" thickTop="1" thickBot="1" x14ac:dyDescent="0.35">
      <c r="A34" s="4"/>
      <c r="B34" s="25"/>
      <c r="C34" s="14"/>
      <c r="D34" s="14"/>
      <c r="E34" s="14"/>
      <c r="F34" s="14"/>
      <c r="G34" s="8"/>
      <c r="H34" s="44"/>
      <c r="I34" s="4"/>
      <c r="J34" s="16"/>
      <c r="K34" s="5"/>
      <c r="L34" s="4"/>
      <c r="M34" s="4"/>
    </row>
    <row r="35" spans="1:13" s="1" customFormat="1" ht="16.2" thickBot="1" x14ac:dyDescent="0.35">
      <c r="A35" s="4"/>
      <c r="B35" s="36" t="s">
        <v>33</v>
      </c>
      <c r="C35" s="37">
        <f>C31/C9</f>
        <v>5.8614925373134327E-2</v>
      </c>
      <c r="D35" s="37">
        <f t="shared" ref="D35:F35" si="10">D31/D9</f>
        <v>0.11105834542815668</v>
      </c>
      <c r="E35" s="37">
        <f t="shared" si="10"/>
        <v>0.17869934504567819</v>
      </c>
      <c r="F35" s="37">
        <f t="shared" si="10"/>
        <v>0.23468780248656093</v>
      </c>
      <c r="G35" s="17"/>
      <c r="H35" s="5"/>
      <c r="I35" s="4"/>
      <c r="J35" s="4"/>
      <c r="K35" s="5"/>
      <c r="L35" s="4"/>
      <c r="M35" s="4"/>
    </row>
    <row r="36" spans="1:13" s="1" customFormat="1" x14ac:dyDescent="0.3">
      <c r="A36" s="4"/>
      <c r="B36" s="25"/>
      <c r="C36" s="14"/>
      <c r="D36" s="14"/>
      <c r="E36" s="14"/>
      <c r="F36" s="14"/>
      <c r="G36" s="17"/>
      <c r="H36" s="5"/>
      <c r="I36" s="4"/>
      <c r="J36" s="4"/>
      <c r="K36" s="5"/>
      <c r="L36" s="4"/>
      <c r="M36" s="4"/>
    </row>
    <row r="37" spans="1:13" s="1" customFormat="1" x14ac:dyDescent="0.3">
      <c r="A37" s="4"/>
      <c r="B37" s="32" t="s">
        <v>34</v>
      </c>
      <c r="C37" s="14"/>
      <c r="D37" s="14"/>
      <c r="E37" s="14"/>
      <c r="F37" s="14"/>
      <c r="G37" s="17"/>
      <c r="H37" s="5"/>
      <c r="I37" s="4"/>
      <c r="J37" s="4"/>
      <c r="K37" s="5"/>
      <c r="L37" s="4"/>
      <c r="M37" s="4"/>
    </row>
    <row r="38" spans="1:13" s="1" customFormat="1" x14ac:dyDescent="0.3">
      <c r="A38" s="4"/>
      <c r="B38" s="25" t="s">
        <v>32</v>
      </c>
      <c r="C38" s="14">
        <f>C33</f>
        <v>72162.299999999988</v>
      </c>
      <c r="D38" s="14">
        <f t="shared" ref="D38:F38" si="11">D33</f>
        <v>224966.44799999986</v>
      </c>
      <c r="E38" s="14">
        <f t="shared" si="11"/>
        <v>373805.07696000009</v>
      </c>
      <c r="F38" s="14">
        <f t="shared" si="11"/>
        <v>625727.55258719984</v>
      </c>
      <c r="G38" s="17"/>
      <c r="H38" s="5"/>
      <c r="I38" s="4"/>
      <c r="J38" s="4"/>
      <c r="K38" s="5"/>
      <c r="L38" s="4"/>
      <c r="M38" s="4"/>
    </row>
    <row r="39" spans="1:13" s="1" customFormat="1" x14ac:dyDescent="0.3">
      <c r="A39" s="4"/>
      <c r="B39" s="25" t="s">
        <v>35</v>
      </c>
      <c r="C39" s="14"/>
      <c r="D39" s="14"/>
      <c r="E39" s="14"/>
      <c r="F39" s="14"/>
      <c r="G39" s="17"/>
      <c r="H39" s="5"/>
      <c r="I39" s="4"/>
      <c r="J39" s="4"/>
      <c r="K39" s="5"/>
      <c r="L39" s="4"/>
      <c r="M39" s="4"/>
    </row>
    <row r="40" spans="1:13" s="1" customFormat="1" ht="16.2" customHeight="1" x14ac:dyDescent="0.3">
      <c r="A40" s="4"/>
      <c r="B40" s="25" t="s">
        <v>36</v>
      </c>
      <c r="C40" s="14">
        <v>0</v>
      </c>
      <c r="D40" s="14">
        <f>C41</f>
        <v>213182</v>
      </c>
      <c r="E40" s="14">
        <f>D41</f>
        <v>264274</v>
      </c>
      <c r="F40" s="14">
        <f>E41</f>
        <v>272904</v>
      </c>
      <c r="G40" s="17"/>
      <c r="H40" s="5"/>
      <c r="I40" s="4"/>
      <c r="J40" s="4"/>
      <c r="K40" s="5"/>
      <c r="L40" s="4"/>
      <c r="M40" s="4"/>
    </row>
    <row r="41" spans="1:13" s="1" customFormat="1" x14ac:dyDescent="0.3">
      <c r="A41" s="4"/>
      <c r="B41" s="48" t="s">
        <v>37</v>
      </c>
      <c r="C41" s="12">
        <f>ROUND(C9*35/275,0)</f>
        <v>213182</v>
      </c>
      <c r="D41" s="12">
        <f>ROUND(D9*35/365,0)</f>
        <v>264274</v>
      </c>
      <c r="E41" s="12">
        <f t="shared" ref="E41:F41" si="12">ROUND(E9*35/365,0)</f>
        <v>272904</v>
      </c>
      <c r="F41" s="12">
        <f t="shared" si="12"/>
        <v>347842</v>
      </c>
      <c r="G41" s="17"/>
      <c r="H41" s="5"/>
      <c r="I41" s="4"/>
      <c r="J41" s="4"/>
      <c r="K41" s="5"/>
      <c r="L41" s="4"/>
      <c r="M41" s="4"/>
    </row>
    <row r="42" spans="1:13" s="1" customFormat="1" x14ac:dyDescent="0.3">
      <c r="A42" s="4"/>
      <c r="B42" s="49" t="s">
        <v>38</v>
      </c>
      <c r="C42" s="50">
        <f>C40-C41</f>
        <v>-213182</v>
      </c>
      <c r="D42" s="50">
        <f t="shared" ref="D42:F42" si="13">D40-D41</f>
        <v>-51092</v>
      </c>
      <c r="E42" s="50">
        <f t="shared" si="13"/>
        <v>-8630</v>
      </c>
      <c r="F42" s="50">
        <f t="shared" si="13"/>
        <v>-74938</v>
      </c>
      <c r="G42" s="17"/>
      <c r="H42" s="5"/>
      <c r="I42" s="4"/>
      <c r="J42" s="4"/>
      <c r="K42" s="5"/>
      <c r="L42" s="4"/>
      <c r="M42" s="4"/>
    </row>
    <row r="43" spans="1:13" s="1" customFormat="1" ht="16.2" thickBot="1" x14ac:dyDescent="0.35">
      <c r="A43" s="4"/>
      <c r="B43" s="5"/>
      <c r="C43" s="11"/>
      <c r="D43" s="11"/>
      <c r="E43" s="11"/>
      <c r="F43" s="11"/>
      <c r="G43" s="17"/>
      <c r="H43" s="5"/>
      <c r="I43" s="4"/>
      <c r="J43" s="4"/>
      <c r="K43" s="5"/>
      <c r="L43" s="4"/>
      <c r="M43" s="4"/>
    </row>
    <row r="44" spans="1:13" s="1" customFormat="1" ht="16.2" thickBot="1" x14ac:dyDescent="0.35">
      <c r="A44" s="4"/>
      <c r="B44" s="36" t="s">
        <v>39</v>
      </c>
      <c r="C44" s="51">
        <f>C38+C42</f>
        <v>-141019.70000000001</v>
      </c>
      <c r="D44" s="51">
        <f t="shared" ref="D44:F44" si="14">D38+D42</f>
        <v>173874.44799999986</v>
      </c>
      <c r="E44" s="51">
        <f t="shared" si="14"/>
        <v>365175.07696000009</v>
      </c>
      <c r="F44" s="51">
        <f t="shared" si="14"/>
        <v>550789.55258719984</v>
      </c>
      <c r="G44" s="17"/>
      <c r="H44" s="5"/>
      <c r="I44" s="4"/>
      <c r="J44" s="4"/>
      <c r="K44" s="5"/>
      <c r="L44" s="4"/>
      <c r="M44" s="4"/>
    </row>
    <row r="45" spans="1:13" s="1" customFormat="1" x14ac:dyDescent="0.3">
      <c r="A45" s="4"/>
      <c r="B45" s="25"/>
      <c r="C45" s="14"/>
      <c r="D45" s="14"/>
      <c r="E45" s="14"/>
      <c r="F45" s="14"/>
      <c r="G45" s="17"/>
      <c r="H45" s="5"/>
      <c r="I45" s="4"/>
      <c r="J45" s="4"/>
      <c r="K45" s="5"/>
      <c r="L45" s="4"/>
      <c r="M45" s="4"/>
    </row>
    <row r="46" spans="1:13" s="1" customFormat="1" ht="31.2" x14ac:dyDescent="0.3">
      <c r="A46" s="4"/>
      <c r="B46" s="32" t="s">
        <v>40</v>
      </c>
      <c r="C46" s="16">
        <f>C44/1700000</f>
        <v>-8.2952764705882365E-2</v>
      </c>
      <c r="D46" s="16">
        <f>D44/1700000</f>
        <v>0.10227908705882345</v>
      </c>
      <c r="E46" s="16">
        <f>E44/1700000</f>
        <v>0.21480886880000005</v>
      </c>
      <c r="F46" s="16">
        <f>F44/1700000</f>
        <v>0.32399385446305873</v>
      </c>
      <c r="G46" s="17"/>
      <c r="H46" s="5"/>
      <c r="I46" s="4"/>
      <c r="J46" s="4"/>
      <c r="K46" s="5"/>
      <c r="L46" s="4"/>
      <c r="M46" s="4"/>
    </row>
    <row r="47" spans="1:13" s="1" customFormat="1" x14ac:dyDescent="0.3">
      <c r="A47" s="4"/>
      <c r="B47" s="25"/>
      <c r="C47" s="14"/>
      <c r="D47" s="14"/>
      <c r="E47" s="14"/>
      <c r="F47" s="14"/>
      <c r="G47" s="17"/>
      <c r="H47" s="5"/>
      <c r="I47" s="4"/>
      <c r="J47" s="4"/>
      <c r="K47" s="5"/>
      <c r="L47" s="4"/>
      <c r="M47" s="4"/>
    </row>
    <row r="48" spans="1:13" s="1" customFormat="1" x14ac:dyDescent="0.3">
      <c r="A48" s="4"/>
      <c r="B48" s="25"/>
      <c r="C48" s="14"/>
      <c r="D48" s="14"/>
      <c r="E48" s="14"/>
      <c r="F48" s="14"/>
      <c r="G48" s="17"/>
      <c r="H48" s="5"/>
      <c r="I48" s="4"/>
      <c r="J48" s="4"/>
      <c r="K48" s="5"/>
      <c r="L48" s="4"/>
      <c r="M48" s="4"/>
    </row>
    <row r="49" spans="1:13" s="1" customFormat="1" x14ac:dyDescent="0.3">
      <c r="A49" s="4"/>
      <c r="B49" s="25"/>
      <c r="C49" s="280" t="s">
        <v>41</v>
      </c>
      <c r="D49" s="280"/>
      <c r="E49" s="280"/>
      <c r="F49" s="280"/>
      <c r="G49" s="17"/>
      <c r="H49" s="5"/>
      <c r="I49" s="4"/>
      <c r="J49" s="4"/>
      <c r="K49" s="5"/>
      <c r="L49" s="4"/>
      <c r="M49" s="4"/>
    </row>
    <row r="50" spans="1:13" s="1" customFormat="1" x14ac:dyDescent="0.3">
      <c r="A50" s="4"/>
      <c r="B50" s="25" t="s">
        <v>42</v>
      </c>
      <c r="C50" s="14">
        <f>C72/(52-4)</f>
        <v>14.583333333333334</v>
      </c>
      <c r="D50" s="14">
        <f t="shared" ref="D50:F50" si="15">D72/(52-4)</f>
        <v>16.666666666666668</v>
      </c>
      <c r="E50" s="14">
        <f t="shared" si="15"/>
        <v>16.666666666666668</v>
      </c>
      <c r="F50" s="14">
        <f t="shared" si="15"/>
        <v>16.666666666666668</v>
      </c>
      <c r="G50" s="17"/>
      <c r="H50" s="5"/>
      <c r="I50" s="4"/>
      <c r="J50" s="4"/>
      <c r="K50" s="5"/>
      <c r="L50" s="4"/>
      <c r="M50" s="4"/>
    </row>
    <row r="51" spans="1:13" s="1" customFormat="1" ht="15" x14ac:dyDescent="0.25">
      <c r="A51" s="4"/>
      <c r="B51" s="25" t="s">
        <v>43</v>
      </c>
      <c r="C51" s="14">
        <f t="shared" ref="C51:F53" si="16">C73/(52-4)</f>
        <v>20.833333333333332</v>
      </c>
      <c r="D51" s="14">
        <f t="shared" si="16"/>
        <v>27.083333333333332</v>
      </c>
      <c r="E51" s="14">
        <f t="shared" si="16"/>
        <v>27.083333333333332</v>
      </c>
      <c r="F51" s="14">
        <f t="shared" si="16"/>
        <v>27.083333333333332</v>
      </c>
      <c r="G51" s="281" t="s">
        <v>44</v>
      </c>
      <c r="H51" s="5"/>
      <c r="I51" s="4"/>
      <c r="J51" s="4"/>
      <c r="K51" s="5"/>
      <c r="L51" s="4"/>
      <c r="M51" s="4"/>
    </row>
    <row r="52" spans="1:13" s="1" customFormat="1" ht="15" x14ac:dyDescent="0.25">
      <c r="A52" s="4"/>
      <c r="B52" s="25" t="s">
        <v>45</v>
      </c>
      <c r="C52" s="14">
        <f t="shared" si="16"/>
        <v>16.666666666666668</v>
      </c>
      <c r="D52" s="14">
        <f t="shared" si="16"/>
        <v>21.875</v>
      </c>
      <c r="E52" s="14">
        <f t="shared" si="16"/>
        <v>22.916666666666668</v>
      </c>
      <c r="F52" s="14">
        <f t="shared" si="16"/>
        <v>25</v>
      </c>
      <c r="G52" s="281"/>
      <c r="H52" s="5"/>
      <c r="I52" s="4"/>
      <c r="J52" s="4"/>
      <c r="K52" s="5"/>
      <c r="L52" s="4"/>
      <c r="M52" s="4"/>
    </row>
    <row r="53" spans="1:13" ht="15" x14ac:dyDescent="0.25">
      <c r="B53" s="25" t="s">
        <v>46</v>
      </c>
      <c r="C53" s="14">
        <f t="shared" si="16"/>
        <v>16.666666666666668</v>
      </c>
      <c r="D53" s="14">
        <f t="shared" si="16"/>
        <v>21.875</v>
      </c>
      <c r="E53" s="14">
        <f t="shared" si="16"/>
        <v>22.916666666666668</v>
      </c>
      <c r="F53" s="14">
        <f t="shared" si="16"/>
        <v>23.958333333333332</v>
      </c>
      <c r="G53" s="281"/>
    </row>
    <row r="54" spans="1:13" ht="15" x14ac:dyDescent="0.25">
      <c r="B54" s="25"/>
      <c r="C54" s="14"/>
      <c r="D54" s="14"/>
      <c r="E54" s="14"/>
      <c r="F54" s="14"/>
      <c r="G54" s="281"/>
    </row>
    <row r="55" spans="1:13" x14ac:dyDescent="0.25">
      <c r="B55" s="25"/>
      <c r="C55" s="14"/>
      <c r="D55" s="14"/>
      <c r="E55" s="14"/>
      <c r="F55" s="14"/>
      <c r="G55" s="52"/>
    </row>
    <row r="56" spans="1:13" x14ac:dyDescent="0.25">
      <c r="B56" s="25"/>
      <c r="C56" s="14"/>
      <c r="D56" s="14"/>
      <c r="E56" s="14"/>
      <c r="F56" s="14"/>
      <c r="G56" s="52"/>
    </row>
    <row r="57" spans="1:13" x14ac:dyDescent="0.25">
      <c r="B57" s="25"/>
      <c r="C57" s="14"/>
      <c r="D57" s="14"/>
      <c r="E57" s="14"/>
      <c r="F57" s="14"/>
      <c r="G57" s="52"/>
    </row>
    <row r="60" spans="1:13" x14ac:dyDescent="0.3">
      <c r="C60" s="53"/>
      <c r="D60" s="53"/>
      <c r="E60" s="53"/>
      <c r="F60" s="53"/>
    </row>
    <row r="61" spans="1:13" s="1" customFormat="1" x14ac:dyDescent="0.3">
      <c r="A61" s="4"/>
      <c r="B61" s="17" t="s">
        <v>47</v>
      </c>
      <c r="C61" s="5"/>
      <c r="D61" s="5"/>
      <c r="E61" s="5"/>
      <c r="F61" s="5"/>
      <c r="G61" s="17"/>
      <c r="H61" s="5"/>
      <c r="I61" s="4"/>
      <c r="J61" s="4"/>
      <c r="K61" s="5"/>
      <c r="L61" s="4"/>
      <c r="M61" s="4"/>
    </row>
    <row r="62" spans="1:13" x14ac:dyDescent="0.3">
      <c r="B62" s="272"/>
      <c r="C62" s="273" t="s">
        <v>48</v>
      </c>
      <c r="D62" s="274"/>
      <c r="E62" s="274"/>
      <c r="F62" s="275"/>
    </row>
    <row r="63" spans="1:13" s="1" customFormat="1" ht="14.7" customHeight="1" x14ac:dyDescent="0.25">
      <c r="A63" s="4"/>
      <c r="B63" s="272"/>
      <c r="C63" s="54">
        <v>2021</v>
      </c>
      <c r="D63" s="54">
        <v>2022</v>
      </c>
      <c r="E63" s="54">
        <v>2023</v>
      </c>
      <c r="F63" s="55">
        <v>2024</v>
      </c>
      <c r="G63" s="276" t="s">
        <v>49</v>
      </c>
      <c r="H63" s="5"/>
      <c r="I63" s="4"/>
      <c r="J63" s="4"/>
      <c r="K63" s="5"/>
      <c r="L63" s="4"/>
      <c r="M63" s="4"/>
    </row>
    <row r="64" spans="1:13" s="1" customFormat="1" x14ac:dyDescent="0.25">
      <c r="A64" s="4"/>
      <c r="B64" s="56" t="s">
        <v>42</v>
      </c>
      <c r="C64" s="57">
        <v>1</v>
      </c>
      <c r="D64" s="57">
        <v>1</v>
      </c>
      <c r="E64" s="57">
        <v>1</v>
      </c>
      <c r="F64" s="58">
        <v>1</v>
      </c>
      <c r="G64" s="276"/>
      <c r="H64" s="5"/>
      <c r="I64" s="4"/>
      <c r="J64" s="4"/>
      <c r="K64" s="5"/>
      <c r="L64" s="4"/>
      <c r="M64" s="4"/>
    </row>
    <row r="65" spans="1:13" s="1" customFormat="1" x14ac:dyDescent="0.25">
      <c r="A65" s="4"/>
      <c r="B65" s="56" t="s">
        <v>43</v>
      </c>
      <c r="C65" s="57">
        <v>3</v>
      </c>
      <c r="D65" s="57">
        <v>4</v>
      </c>
      <c r="E65" s="57">
        <v>4</v>
      </c>
      <c r="F65" s="58">
        <v>5</v>
      </c>
      <c r="G65" s="59">
        <v>180000</v>
      </c>
      <c r="H65" s="5"/>
      <c r="I65" s="4"/>
      <c r="J65" s="4"/>
      <c r="K65" s="5"/>
      <c r="L65" s="4"/>
      <c r="M65" s="4"/>
    </row>
    <row r="66" spans="1:13" s="1" customFormat="1" x14ac:dyDescent="0.25">
      <c r="A66" s="4"/>
      <c r="B66" s="56" t="s">
        <v>45</v>
      </c>
      <c r="C66" s="57">
        <v>3</v>
      </c>
      <c r="D66" s="57">
        <v>4</v>
      </c>
      <c r="E66" s="57">
        <v>4</v>
      </c>
      <c r="F66" s="58">
        <v>5</v>
      </c>
      <c r="G66" s="59">
        <v>60000</v>
      </c>
      <c r="H66" s="5"/>
      <c r="I66" s="4"/>
      <c r="J66" s="4"/>
      <c r="K66" s="5"/>
      <c r="L66" s="4"/>
      <c r="M66" s="4"/>
    </row>
    <row r="67" spans="1:13" s="1" customFormat="1" x14ac:dyDescent="0.25">
      <c r="A67" s="4"/>
      <c r="B67" s="56" t="s">
        <v>46</v>
      </c>
      <c r="C67" s="57">
        <v>3</v>
      </c>
      <c r="D67" s="57">
        <v>4</v>
      </c>
      <c r="E67" s="57">
        <v>4</v>
      </c>
      <c r="F67" s="58">
        <v>5</v>
      </c>
      <c r="G67" s="59">
        <v>85000</v>
      </c>
      <c r="H67" s="5"/>
      <c r="I67" s="4"/>
      <c r="J67" s="4"/>
      <c r="K67" s="5"/>
      <c r="L67" s="4"/>
      <c r="M67" s="4"/>
    </row>
    <row r="68" spans="1:13" s="1" customFormat="1" x14ac:dyDescent="0.25">
      <c r="A68" s="4"/>
      <c r="B68" s="56" t="s">
        <v>50</v>
      </c>
      <c r="C68" s="57">
        <v>1</v>
      </c>
      <c r="D68" s="57">
        <v>1</v>
      </c>
      <c r="E68" s="57">
        <v>1</v>
      </c>
      <c r="F68" s="58">
        <v>1</v>
      </c>
      <c r="G68" s="59">
        <v>110000</v>
      </c>
      <c r="H68" s="5"/>
      <c r="I68" s="4"/>
      <c r="J68" s="4"/>
      <c r="K68" s="5"/>
      <c r="L68" s="4"/>
      <c r="M68" s="4"/>
    </row>
    <row r="69" spans="1:13" s="1" customFormat="1" x14ac:dyDescent="0.3">
      <c r="A69" s="4"/>
      <c r="B69" s="5"/>
      <c r="C69" s="5"/>
      <c r="D69" s="5"/>
      <c r="E69" s="5"/>
      <c r="F69" s="17"/>
      <c r="G69" s="59">
        <v>42000</v>
      </c>
      <c r="H69" s="5"/>
      <c r="I69" s="4"/>
      <c r="J69" s="4"/>
      <c r="K69" s="5"/>
      <c r="L69" s="4"/>
      <c r="M69" s="4"/>
    </row>
    <row r="70" spans="1:13" s="1" customFormat="1" x14ac:dyDescent="0.25">
      <c r="A70" s="4"/>
      <c r="B70" s="272"/>
      <c r="C70" s="273" t="s">
        <v>51</v>
      </c>
      <c r="D70" s="274"/>
      <c r="E70" s="274"/>
      <c r="F70" s="275"/>
      <c r="G70" s="5"/>
      <c r="H70" s="5"/>
      <c r="I70" s="4"/>
      <c r="J70" s="4"/>
      <c r="K70" s="5"/>
      <c r="L70" s="4"/>
      <c r="M70" s="4"/>
    </row>
    <row r="71" spans="1:13" s="1" customFormat="1" ht="14.7" customHeight="1" x14ac:dyDescent="0.25">
      <c r="A71" s="4"/>
      <c r="B71" s="272"/>
      <c r="C71" s="54">
        <v>2021</v>
      </c>
      <c r="D71" s="54">
        <v>2022</v>
      </c>
      <c r="E71" s="54">
        <v>2023</v>
      </c>
      <c r="F71" s="55">
        <v>2024</v>
      </c>
      <c r="G71" s="276" t="s">
        <v>52</v>
      </c>
      <c r="H71" s="5"/>
      <c r="I71" s="4"/>
      <c r="J71" s="4"/>
      <c r="K71" s="5"/>
      <c r="L71" s="4"/>
      <c r="M71" s="4"/>
    </row>
    <row r="72" spans="1:13" s="1" customFormat="1" x14ac:dyDescent="0.25">
      <c r="A72" s="4"/>
      <c r="B72" s="60" t="s">
        <v>42</v>
      </c>
      <c r="C72" s="57">
        <v>700</v>
      </c>
      <c r="D72" s="57">
        <v>800</v>
      </c>
      <c r="E72" s="57">
        <v>800</v>
      </c>
      <c r="F72" s="58">
        <v>800</v>
      </c>
      <c r="G72" s="276"/>
      <c r="H72" s="5"/>
      <c r="I72" s="4"/>
      <c r="J72" s="4"/>
      <c r="K72" s="5"/>
      <c r="L72" s="4"/>
      <c r="M72" s="4"/>
    </row>
    <row r="73" spans="1:13" s="1" customFormat="1" x14ac:dyDescent="0.25">
      <c r="A73" s="4"/>
      <c r="B73" s="60" t="s">
        <v>43</v>
      </c>
      <c r="C73" s="61">
        <v>1000</v>
      </c>
      <c r="D73" s="61">
        <v>1300</v>
      </c>
      <c r="E73" s="61">
        <v>1300</v>
      </c>
      <c r="F73" s="62">
        <v>1300</v>
      </c>
      <c r="G73" s="59">
        <v>400</v>
      </c>
      <c r="H73" s="5"/>
      <c r="I73" s="4"/>
      <c r="J73" s="4"/>
      <c r="K73" s="63"/>
      <c r="L73" s="4"/>
      <c r="M73" s="4"/>
    </row>
    <row r="74" spans="1:13" s="1" customFormat="1" x14ac:dyDescent="0.25">
      <c r="A74" s="4"/>
      <c r="B74" s="60" t="s">
        <v>45</v>
      </c>
      <c r="C74" s="57">
        <v>800</v>
      </c>
      <c r="D74" s="61">
        <v>1050</v>
      </c>
      <c r="E74" s="61">
        <v>1100</v>
      </c>
      <c r="F74" s="62">
        <v>1200</v>
      </c>
      <c r="G74" s="59">
        <v>105</v>
      </c>
      <c r="H74" s="5"/>
      <c r="I74" s="4"/>
      <c r="J74" s="4"/>
      <c r="K74" s="63"/>
      <c r="L74" s="4"/>
      <c r="M74" s="4"/>
    </row>
    <row r="75" spans="1:13" s="1" customFormat="1" x14ac:dyDescent="0.25">
      <c r="A75" s="4"/>
      <c r="B75" s="60" t="s">
        <v>46</v>
      </c>
      <c r="C75" s="57">
        <v>800</v>
      </c>
      <c r="D75" s="61">
        <v>1050</v>
      </c>
      <c r="E75" s="61">
        <v>1100</v>
      </c>
      <c r="F75" s="62">
        <v>1150</v>
      </c>
      <c r="G75" s="59">
        <v>150</v>
      </c>
      <c r="H75" s="5"/>
      <c r="I75" s="4"/>
      <c r="J75" s="4"/>
      <c r="K75" s="63"/>
      <c r="L75" s="4"/>
      <c r="M75" s="4"/>
    </row>
    <row r="76" spans="1:13" s="1" customFormat="1" ht="15" x14ac:dyDescent="0.25">
      <c r="A76" s="4"/>
      <c r="B76" s="5"/>
      <c r="C76" s="5"/>
      <c r="D76" s="5"/>
      <c r="E76" s="5"/>
      <c r="F76" s="5"/>
      <c r="G76" s="59">
        <v>300</v>
      </c>
      <c r="H76" s="5"/>
      <c r="I76" s="4"/>
      <c r="J76" s="4"/>
      <c r="K76" s="63"/>
      <c r="L76" s="4"/>
      <c r="M76" s="4"/>
    </row>
    <row r="77" spans="1:13" x14ac:dyDescent="0.3">
      <c r="B77" s="25"/>
      <c r="C77" s="4"/>
      <c r="D77" s="4"/>
      <c r="E77" s="4"/>
      <c r="F77" s="4"/>
    </row>
    <row r="78" spans="1:13" s="1" customFormat="1" ht="16.2" thickBot="1" x14ac:dyDescent="0.35">
      <c r="A78" s="4"/>
      <c r="B78" s="25"/>
      <c r="C78" s="4"/>
      <c r="D78" s="4"/>
      <c r="E78" s="4"/>
      <c r="F78" s="4"/>
      <c r="G78" s="17"/>
      <c r="H78" s="5"/>
      <c r="I78" s="4"/>
      <c r="J78" s="4"/>
      <c r="K78" s="5"/>
      <c r="L78" s="4"/>
      <c r="M78" s="4"/>
    </row>
    <row r="79" spans="1:13" s="1" customFormat="1" x14ac:dyDescent="0.3">
      <c r="A79" s="4"/>
      <c r="B79" s="3" t="s">
        <v>0</v>
      </c>
      <c r="C79" s="64"/>
      <c r="D79" s="4"/>
      <c r="E79" s="4"/>
      <c r="F79" s="4"/>
      <c r="G79" s="65"/>
      <c r="H79" s="5"/>
      <c r="I79" s="4"/>
      <c r="J79" s="4"/>
      <c r="K79" s="5"/>
      <c r="L79" s="4"/>
      <c r="M79" s="4"/>
    </row>
    <row r="80" spans="1:13" s="1" customFormat="1" ht="16.2" thickBot="1" x14ac:dyDescent="0.35">
      <c r="A80" s="4"/>
      <c r="B80" s="66" t="s">
        <v>1</v>
      </c>
      <c r="C80" s="67">
        <v>0.02</v>
      </c>
      <c r="D80" s="4"/>
      <c r="E80" s="4"/>
      <c r="F80" s="4"/>
      <c r="G80" s="17"/>
      <c r="H80" s="5"/>
      <c r="I80" s="4"/>
      <c r="J80" s="4"/>
      <c r="K80" s="5"/>
      <c r="L80" s="4"/>
      <c r="M80" s="4"/>
    </row>
    <row r="81" spans="1:13" s="1" customFormat="1" x14ac:dyDescent="0.3">
      <c r="A81" s="4"/>
      <c r="B81" s="5"/>
      <c r="C81" s="5"/>
      <c r="D81" s="5"/>
      <c r="E81" s="5"/>
      <c r="F81" s="5"/>
      <c r="G81" s="17"/>
      <c r="H81" s="5"/>
      <c r="I81" s="4"/>
      <c r="J81" s="4"/>
      <c r="K81" s="5"/>
      <c r="L81" s="4"/>
      <c r="M81" s="4"/>
    </row>
  </sheetData>
  <mergeCells count="11">
    <mergeCell ref="B70:B71"/>
    <mergeCell ref="C70:F70"/>
    <mergeCell ref="G71:G72"/>
    <mergeCell ref="B1:F1"/>
    <mergeCell ref="D4:F5"/>
    <mergeCell ref="G25:G26"/>
    <mergeCell ref="C49:F49"/>
    <mergeCell ref="G51:G54"/>
    <mergeCell ref="B62:B63"/>
    <mergeCell ref="C62:F62"/>
    <mergeCell ref="G63:G6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C9328-D434-4E30-A28C-55B0F18B3C9D}">
  <sheetPr>
    <tabColor rgb="FF7030A0"/>
  </sheetPr>
  <dimension ref="A1:O45"/>
  <sheetViews>
    <sheetView workbookViewId="0">
      <selection activeCell="D8" sqref="D8"/>
    </sheetView>
  </sheetViews>
  <sheetFormatPr baseColWidth="10" defaultColWidth="8.77734375" defaultRowHeight="13.8" x14ac:dyDescent="0.25"/>
  <cols>
    <col min="1" max="1" width="8.77734375" style="98"/>
    <col min="2" max="2" width="64.77734375" style="98" customWidth="1"/>
    <col min="3" max="3" width="16.5546875" style="98" customWidth="1"/>
    <col min="4" max="4" width="18.109375" style="98" customWidth="1"/>
    <col min="5" max="6" width="15.44140625" style="98" customWidth="1"/>
    <col min="7" max="7" width="16.109375" style="98" bestFit="1" customWidth="1"/>
    <col min="8" max="8" width="3.44140625" style="98" customWidth="1"/>
    <col min="9" max="9" width="16.5546875" style="234" customWidth="1"/>
    <col min="10" max="10" width="18.109375" style="98" customWidth="1"/>
    <col min="11" max="11" width="17.21875" style="98" customWidth="1"/>
    <col min="12" max="12" width="13.44140625" style="98" customWidth="1"/>
    <col min="13" max="16384" width="8.77734375" style="98"/>
  </cols>
  <sheetData>
    <row r="1" spans="1:15" x14ac:dyDescent="0.25">
      <c r="A1" s="174" t="s">
        <v>53</v>
      </c>
    </row>
    <row r="3" spans="1:15" x14ac:dyDescent="0.25">
      <c r="A3" s="153" t="s">
        <v>54</v>
      </c>
    </row>
    <row r="4" spans="1:15" ht="55.2" x14ac:dyDescent="0.25">
      <c r="C4" s="75" t="s">
        <v>228</v>
      </c>
      <c r="D4" s="150" t="s">
        <v>55</v>
      </c>
      <c r="E4" s="151" t="s">
        <v>56</v>
      </c>
      <c r="F4" s="150" t="s">
        <v>57</v>
      </c>
      <c r="G4" s="232" t="s">
        <v>58</v>
      </c>
      <c r="H4" s="150"/>
      <c r="I4" s="235" t="s">
        <v>59</v>
      </c>
      <c r="J4" s="150" t="s">
        <v>60</v>
      </c>
      <c r="K4" s="75"/>
      <c r="O4" s="156"/>
    </row>
    <row r="5" spans="1:15" ht="15" x14ac:dyDescent="0.25">
      <c r="B5" s="98" t="s">
        <v>231</v>
      </c>
      <c r="C5" s="75" t="s">
        <v>237</v>
      </c>
      <c r="D5" s="241">
        <v>126</v>
      </c>
      <c r="E5" s="243">
        <v>2.2999999999999998</v>
      </c>
      <c r="F5" s="241">
        <v>0.5</v>
      </c>
      <c r="G5" s="243">
        <f>(70*D14)+(1.1*E14)+(1.4*F14)</f>
        <v>4366000</v>
      </c>
      <c r="H5" s="150"/>
      <c r="I5" s="235">
        <v>520</v>
      </c>
      <c r="J5" s="233">
        <v>2030</v>
      </c>
      <c r="K5" s="75"/>
      <c r="O5" s="156"/>
    </row>
    <row r="6" spans="1:15" ht="15" x14ac:dyDescent="0.25">
      <c r="B6" s="98" t="s">
        <v>227</v>
      </c>
      <c r="C6" s="75"/>
      <c r="D6" s="241">
        <v>50</v>
      </c>
      <c r="E6" s="243">
        <v>1</v>
      </c>
      <c r="F6" s="241">
        <v>1</v>
      </c>
      <c r="G6" s="243">
        <f>(50*D14)+(1*E14)+(1*F14)</f>
        <v>3140000</v>
      </c>
      <c r="H6" s="150"/>
      <c r="I6" s="235">
        <f>+I5*C27</f>
        <v>156</v>
      </c>
      <c r="J6" s="233">
        <f>+J5*C27</f>
        <v>609</v>
      </c>
      <c r="K6" s="75"/>
      <c r="O6" s="156"/>
    </row>
    <row r="7" spans="1:15" x14ac:dyDescent="0.25">
      <c r="B7" s="98" t="s">
        <v>232</v>
      </c>
      <c r="D7" s="242">
        <v>15</v>
      </c>
      <c r="E7" s="242">
        <v>2.1</v>
      </c>
      <c r="F7" s="242">
        <v>1.92</v>
      </c>
      <c r="G7" s="243"/>
      <c r="I7" s="237">
        <v>250</v>
      </c>
      <c r="J7" s="237">
        <v>1080</v>
      </c>
    </row>
    <row r="8" spans="1:15" x14ac:dyDescent="0.25">
      <c r="B8" s="98" t="s">
        <v>243</v>
      </c>
      <c r="D8" s="242">
        <f>+D5-D6-D7</f>
        <v>61</v>
      </c>
      <c r="E8" s="242">
        <f t="shared" ref="E8:J8" si="0">+E5-E6-E7</f>
        <v>-0.80000000000000027</v>
      </c>
      <c r="F8" s="242">
        <f t="shared" si="0"/>
        <v>-2.42</v>
      </c>
      <c r="G8" s="243"/>
      <c r="H8" s="242"/>
      <c r="I8" s="242">
        <f t="shared" si="0"/>
        <v>114</v>
      </c>
      <c r="J8" s="242">
        <f t="shared" si="0"/>
        <v>341</v>
      </c>
    </row>
    <row r="9" spans="1:15" x14ac:dyDescent="0.25">
      <c r="B9" s="153" t="s">
        <v>61</v>
      </c>
      <c r="D9" s="250">
        <f>+D8*D14</f>
        <v>3660000</v>
      </c>
      <c r="E9" s="250">
        <f t="shared" ref="E9:F9" si="1">+E8*E14</f>
        <v>-80000.000000000029</v>
      </c>
      <c r="F9" s="250">
        <f t="shared" si="1"/>
        <v>-96800</v>
      </c>
      <c r="G9" s="243">
        <f>+G5-G6</f>
        <v>1226000</v>
      </c>
      <c r="H9" s="152"/>
      <c r="I9" s="152">
        <f>+(I5-I6-I7)*I14</f>
        <v>3420000</v>
      </c>
      <c r="J9" s="152">
        <f>+(J5-J6-J7)*J14</f>
        <v>6820000</v>
      </c>
    </row>
    <row r="10" spans="1:15" x14ac:dyDescent="0.25">
      <c r="C10" s="75"/>
      <c r="D10" s="176"/>
      <c r="E10" s="176"/>
      <c r="F10" s="176"/>
      <c r="G10" s="176"/>
      <c r="H10" s="176"/>
      <c r="J10" s="176"/>
    </row>
    <row r="11" spans="1:15" x14ac:dyDescent="0.25">
      <c r="B11" s="98" t="s">
        <v>236</v>
      </c>
      <c r="C11" s="239">
        <v>270000</v>
      </c>
      <c r="D11" s="175"/>
      <c r="E11" s="175"/>
      <c r="F11" s="175"/>
      <c r="G11" s="175"/>
      <c r="H11" s="175"/>
    </row>
    <row r="12" spans="1:15" x14ac:dyDescent="0.25">
      <c r="C12" s="75"/>
    </row>
    <row r="13" spans="1:15" x14ac:dyDescent="0.25">
      <c r="C13" s="75"/>
      <c r="D13" s="154"/>
      <c r="E13" s="154"/>
      <c r="F13" s="154"/>
      <c r="G13" s="154"/>
      <c r="H13" s="154"/>
      <c r="I13" s="158"/>
      <c r="J13" s="154"/>
    </row>
    <row r="14" spans="1:15" x14ac:dyDescent="0.25">
      <c r="B14" s="98" t="s">
        <v>230</v>
      </c>
      <c r="C14" s="75"/>
      <c r="D14" s="154">
        <v>60000</v>
      </c>
      <c r="E14" s="154">
        <v>100000</v>
      </c>
      <c r="F14" s="154">
        <v>40000</v>
      </c>
      <c r="G14" s="154"/>
      <c r="H14" s="154"/>
      <c r="I14" s="158">
        <v>30000</v>
      </c>
      <c r="J14" s="154">
        <v>20000</v>
      </c>
    </row>
    <row r="15" spans="1:15" x14ac:dyDescent="0.25">
      <c r="C15" s="75"/>
      <c r="D15" s="154"/>
      <c r="E15" s="154"/>
      <c r="F15" s="154"/>
      <c r="G15" s="154"/>
      <c r="H15" s="154"/>
      <c r="I15" s="158"/>
      <c r="J15" s="154"/>
    </row>
    <row r="16" spans="1:15" x14ac:dyDescent="0.25">
      <c r="B16" s="98" t="s">
        <v>239</v>
      </c>
      <c r="C16" s="244">
        <f>+D9+E9+F9</f>
        <v>3483200</v>
      </c>
      <c r="D16" s="158"/>
      <c r="E16" s="158"/>
      <c r="F16" s="158"/>
      <c r="G16" s="154"/>
      <c r="H16" s="154"/>
      <c r="I16" s="158"/>
      <c r="J16" s="154"/>
    </row>
    <row r="17" spans="2:12" x14ac:dyDescent="0.25">
      <c r="B17" s="98" t="s">
        <v>238</v>
      </c>
      <c r="C17" s="75"/>
      <c r="D17" s="154"/>
      <c r="E17" s="154"/>
      <c r="F17" s="154"/>
      <c r="G17" s="154"/>
      <c r="H17" s="154"/>
      <c r="I17" s="158"/>
      <c r="J17" s="154"/>
    </row>
    <row r="18" spans="2:12" x14ac:dyDescent="0.25">
      <c r="B18" s="98" t="s">
        <v>247</v>
      </c>
      <c r="C18" s="245">
        <f>+G9</f>
        <v>1226000</v>
      </c>
      <c r="D18" s="154"/>
      <c r="E18" s="154"/>
      <c r="F18" s="154"/>
      <c r="G18" s="154"/>
      <c r="H18" s="154"/>
      <c r="I18" s="158"/>
      <c r="J18" s="154"/>
    </row>
    <row r="19" spans="2:12" x14ac:dyDescent="0.25">
      <c r="C19" s="75"/>
      <c r="D19" s="155"/>
      <c r="E19" s="155"/>
      <c r="F19" s="155"/>
      <c r="G19" s="155"/>
      <c r="H19" s="155"/>
      <c r="I19" s="236"/>
      <c r="J19" s="155"/>
      <c r="L19" s="157"/>
    </row>
    <row r="20" spans="2:12" x14ac:dyDescent="0.25">
      <c r="B20" s="98" t="s">
        <v>240</v>
      </c>
      <c r="C20" s="240">
        <f>+C16-C18</f>
        <v>2257200</v>
      </c>
      <c r="D20" s="155"/>
      <c r="E20" s="155"/>
      <c r="F20" s="155"/>
      <c r="G20" s="155"/>
      <c r="H20" s="155"/>
      <c r="I20" s="236"/>
      <c r="J20" s="155"/>
      <c r="L20" s="157"/>
    </row>
    <row r="21" spans="2:12" x14ac:dyDescent="0.25">
      <c r="C21" s="75"/>
      <c r="D21" s="154"/>
      <c r="E21" s="154"/>
      <c r="F21" s="154"/>
      <c r="G21" s="154"/>
      <c r="H21" s="154"/>
      <c r="I21" s="158"/>
      <c r="J21" s="154"/>
    </row>
    <row r="22" spans="2:12" x14ac:dyDescent="0.25">
      <c r="C22" s="75"/>
      <c r="D22" s="158"/>
      <c r="E22" s="158"/>
      <c r="F22" s="158"/>
      <c r="G22" s="158"/>
      <c r="H22" s="158"/>
      <c r="I22" s="158"/>
      <c r="J22" s="158"/>
    </row>
    <row r="23" spans="2:12" x14ac:dyDescent="0.25">
      <c r="C23" s="75"/>
      <c r="D23" s="158"/>
      <c r="E23" s="158"/>
      <c r="F23" s="158"/>
      <c r="G23" s="158"/>
      <c r="H23" s="158"/>
      <c r="I23" s="158"/>
      <c r="J23" s="158"/>
    </row>
    <row r="24" spans="2:12" x14ac:dyDescent="0.25">
      <c r="B24" s="98" t="s">
        <v>235</v>
      </c>
      <c r="C24" s="75"/>
      <c r="D24" s="158"/>
      <c r="E24" s="158"/>
      <c r="F24" s="158"/>
      <c r="G24" s="158"/>
      <c r="H24" s="158"/>
      <c r="I24" s="158"/>
      <c r="J24" s="158"/>
    </row>
    <row r="25" spans="2:12" x14ac:dyDescent="0.25">
      <c r="B25" s="282"/>
      <c r="C25" s="282"/>
      <c r="D25" s="158"/>
      <c r="E25" s="158"/>
      <c r="F25" s="158"/>
      <c r="G25" s="158"/>
      <c r="H25" s="158"/>
      <c r="I25" s="158"/>
      <c r="J25" s="158"/>
    </row>
    <row r="26" spans="2:12" x14ac:dyDescent="0.25">
      <c r="C26" s="75"/>
      <c r="D26" s="154"/>
      <c r="E26" s="154"/>
      <c r="F26" s="154"/>
      <c r="G26" s="158"/>
      <c r="H26" s="158"/>
      <c r="I26" s="159"/>
      <c r="J26" s="159"/>
    </row>
    <row r="27" spans="2:12" x14ac:dyDescent="0.25">
      <c r="B27" s="98" t="s">
        <v>233</v>
      </c>
      <c r="C27" s="238">
        <v>0.3</v>
      </c>
      <c r="D27" s="154"/>
      <c r="E27" s="154"/>
      <c r="F27" s="154"/>
      <c r="G27" s="158"/>
      <c r="H27" s="158"/>
      <c r="I27" s="159"/>
      <c r="J27" s="159"/>
    </row>
    <row r="28" spans="2:12" x14ac:dyDescent="0.25">
      <c r="B28" s="98" t="s">
        <v>229</v>
      </c>
      <c r="C28" s="75"/>
      <c r="D28" s="154"/>
      <c r="E28" s="154"/>
      <c r="F28" s="154"/>
      <c r="G28" s="158"/>
      <c r="H28" s="158"/>
      <c r="I28" s="159"/>
      <c r="J28" s="159"/>
    </row>
    <row r="29" spans="2:12" x14ac:dyDescent="0.25">
      <c r="C29" s="75" t="s">
        <v>226</v>
      </c>
      <c r="D29" s="158"/>
      <c r="E29" s="158">
        <v>200000</v>
      </c>
      <c r="F29" s="158" t="s">
        <v>197</v>
      </c>
      <c r="G29" s="158"/>
      <c r="H29" s="158"/>
      <c r="I29" s="159"/>
      <c r="J29" s="159"/>
    </row>
    <row r="30" spans="2:12" x14ac:dyDescent="0.25">
      <c r="B30" s="98" t="s">
        <v>234</v>
      </c>
      <c r="C30" s="75"/>
      <c r="D30" s="155"/>
      <c r="E30" s="155"/>
      <c r="F30" s="155"/>
      <c r="G30" s="154"/>
      <c r="H30" s="158"/>
      <c r="I30" s="159"/>
      <c r="J30" s="159"/>
    </row>
    <row r="31" spans="2:12" x14ac:dyDescent="0.25">
      <c r="C31" s="75"/>
      <c r="D31" s="155"/>
      <c r="E31" s="155"/>
      <c r="F31" s="155"/>
      <c r="G31" s="154"/>
      <c r="H31" s="158"/>
      <c r="I31" s="159"/>
      <c r="J31" s="159"/>
    </row>
    <row r="32" spans="2:12" x14ac:dyDescent="0.25">
      <c r="C32" s="75"/>
      <c r="D32" s="154"/>
      <c r="E32" s="154"/>
      <c r="F32" s="154"/>
      <c r="G32" s="154"/>
      <c r="H32" s="158"/>
      <c r="I32" s="159"/>
      <c r="J32" s="159"/>
    </row>
    <row r="33" spans="1:10" x14ac:dyDescent="0.25">
      <c r="C33" s="75"/>
      <c r="D33" s="158"/>
      <c r="E33" s="158"/>
      <c r="F33" s="158"/>
      <c r="G33" s="158"/>
      <c r="H33" s="158"/>
      <c r="I33" s="159"/>
      <c r="J33" s="159"/>
    </row>
    <row r="34" spans="1:10" ht="28.2" customHeight="1" x14ac:dyDescent="0.25">
      <c r="B34" s="160"/>
      <c r="C34" s="75"/>
      <c r="D34" s="154"/>
      <c r="E34" s="154"/>
      <c r="F34" s="154"/>
      <c r="G34" s="154"/>
      <c r="H34" s="158"/>
      <c r="I34" s="159"/>
      <c r="J34" s="159"/>
    </row>
    <row r="35" spans="1:10" x14ac:dyDescent="0.25">
      <c r="C35" s="75"/>
      <c r="D35" s="158"/>
      <c r="E35" s="154"/>
      <c r="F35" s="154"/>
      <c r="G35" s="154"/>
      <c r="H35" s="158"/>
      <c r="I35" s="159"/>
      <c r="J35" s="159"/>
    </row>
    <row r="36" spans="1:10" x14ac:dyDescent="0.25">
      <c r="C36" s="75"/>
      <c r="D36" s="158"/>
      <c r="E36" s="154"/>
      <c r="F36" s="154"/>
      <c r="G36" s="154"/>
      <c r="H36" s="158"/>
      <c r="I36" s="159"/>
      <c r="J36" s="159"/>
    </row>
    <row r="37" spans="1:10" x14ac:dyDescent="0.25">
      <c r="C37" s="75"/>
      <c r="D37" s="158"/>
      <c r="E37" s="154"/>
      <c r="F37" s="154"/>
      <c r="G37" s="154"/>
      <c r="H37" s="158"/>
      <c r="I37" s="159"/>
      <c r="J37" s="159"/>
    </row>
    <row r="38" spans="1:10" x14ac:dyDescent="0.25">
      <c r="C38" s="75"/>
      <c r="D38" s="158"/>
      <c r="E38" s="154"/>
      <c r="F38" s="154"/>
      <c r="G38" s="154"/>
      <c r="H38" s="158"/>
      <c r="I38" s="159"/>
      <c r="J38" s="159"/>
    </row>
    <row r="39" spans="1:10" x14ac:dyDescent="0.25">
      <c r="C39" s="75"/>
      <c r="D39" s="158"/>
      <c r="E39" s="158"/>
      <c r="F39" s="158"/>
      <c r="G39" s="158"/>
      <c r="H39" s="158"/>
      <c r="I39" s="159"/>
      <c r="J39" s="159"/>
    </row>
    <row r="40" spans="1:10" x14ac:dyDescent="0.25">
      <c r="C40" s="75"/>
      <c r="D40" s="158"/>
      <c r="E40" s="158"/>
      <c r="F40" s="158"/>
      <c r="G40" s="158"/>
      <c r="H40" s="158"/>
      <c r="I40" s="159"/>
      <c r="J40" s="159"/>
    </row>
    <row r="41" spans="1:10" x14ac:dyDescent="0.25">
      <c r="C41" s="75"/>
      <c r="D41" s="158"/>
      <c r="E41" s="158"/>
      <c r="F41" s="158"/>
      <c r="G41" s="158"/>
      <c r="H41" s="158"/>
      <c r="I41" s="159"/>
      <c r="J41" s="159"/>
    </row>
    <row r="42" spans="1:10" x14ac:dyDescent="0.25">
      <c r="B42" s="160"/>
      <c r="C42" s="75"/>
      <c r="D42" s="158"/>
      <c r="E42" s="158"/>
      <c r="F42" s="158"/>
      <c r="G42" s="158"/>
      <c r="H42" s="158"/>
      <c r="I42" s="159"/>
      <c r="J42" s="159"/>
    </row>
    <row r="43" spans="1:10" x14ac:dyDescent="0.25">
      <c r="C43" s="75"/>
      <c r="D43" s="158"/>
      <c r="E43" s="158"/>
      <c r="F43" s="158"/>
      <c r="G43" s="158"/>
      <c r="H43" s="158"/>
      <c r="I43" s="159"/>
      <c r="J43" s="159"/>
    </row>
    <row r="44" spans="1:10" x14ac:dyDescent="0.25">
      <c r="A44" s="283"/>
      <c r="B44" s="283"/>
      <c r="C44" s="283"/>
      <c r="D44" s="283"/>
      <c r="E44" s="283"/>
      <c r="F44" s="283"/>
      <c r="G44" s="283"/>
      <c r="H44" s="283"/>
      <c r="I44" s="283"/>
      <c r="J44" s="283"/>
    </row>
    <row r="45" spans="1:10" x14ac:dyDescent="0.25">
      <c r="C45" s="75"/>
      <c r="D45" s="158"/>
      <c r="E45" s="158"/>
      <c r="F45" s="158"/>
      <c r="G45" s="158"/>
      <c r="H45" s="158"/>
      <c r="I45" s="159"/>
      <c r="J45" s="159"/>
    </row>
  </sheetData>
  <mergeCells count="2">
    <mergeCell ref="B25:C25"/>
    <mergeCell ref="A44:J4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A414C-84F0-431F-9961-4681C058AA60}">
  <sheetPr>
    <tabColor rgb="FF7030A0"/>
  </sheetPr>
  <dimension ref="A1:K68"/>
  <sheetViews>
    <sheetView tabSelected="1" topLeftCell="A7" workbookViewId="0">
      <selection activeCell="E17" sqref="E17"/>
    </sheetView>
  </sheetViews>
  <sheetFormatPr baseColWidth="10" defaultColWidth="8.77734375" defaultRowHeight="13.8" x14ac:dyDescent="0.25"/>
  <cols>
    <col min="1" max="1" width="8.77734375" style="70"/>
    <col min="2" max="2" width="46.21875" style="70" customWidth="1"/>
    <col min="3" max="3" width="11.44140625" style="70" customWidth="1"/>
    <col min="4" max="4" width="12.21875" style="70" customWidth="1"/>
    <col min="5" max="5" width="14" style="70" customWidth="1"/>
    <col min="6" max="6" width="16.44140625" style="70" customWidth="1"/>
    <col min="7" max="7" width="18" style="70" customWidth="1"/>
    <col min="8" max="8" width="17.5546875" style="70" customWidth="1"/>
    <col min="9" max="9" width="11.5546875" style="70" bestFit="1" customWidth="1"/>
    <col min="10" max="10" width="15.44140625" style="70" customWidth="1"/>
    <col min="11" max="16384" width="8.77734375" style="70"/>
  </cols>
  <sheetData>
    <row r="1" spans="1:9" x14ac:dyDescent="0.25">
      <c r="A1" s="161" t="s">
        <v>62</v>
      </c>
    </row>
    <row r="2" spans="1:9" x14ac:dyDescent="0.25">
      <c r="A2" s="161"/>
    </row>
    <row r="3" spans="1:9" x14ac:dyDescent="0.25">
      <c r="A3" s="170" t="s">
        <v>63</v>
      </c>
    </row>
    <row r="5" spans="1:9" x14ac:dyDescent="0.25">
      <c r="F5" s="162" t="s">
        <v>64</v>
      </c>
      <c r="G5" s="150" t="s">
        <v>65</v>
      </c>
      <c r="H5" s="150" t="s">
        <v>66</v>
      </c>
    </row>
    <row r="6" spans="1:9" s="163" customFormat="1" ht="55.2" x14ac:dyDescent="0.25">
      <c r="B6" s="160"/>
      <c r="C6" s="160"/>
      <c r="D6" s="160"/>
      <c r="E6" s="160"/>
      <c r="F6" s="164" t="s">
        <v>67</v>
      </c>
      <c r="G6" s="164" t="s">
        <v>68</v>
      </c>
      <c r="H6" s="164" t="s">
        <v>69</v>
      </c>
    </row>
    <row r="7" spans="1:9" s="163" customFormat="1" x14ac:dyDescent="0.25">
      <c r="B7" s="249" t="s">
        <v>246</v>
      </c>
      <c r="C7" s="98"/>
      <c r="D7" s="160"/>
      <c r="E7" s="160"/>
      <c r="F7" s="259">
        <f>+SUM(F8:F12)</f>
        <v>7726000</v>
      </c>
      <c r="G7" s="260">
        <f>+SUM(G8:G12)</f>
        <v>48304000</v>
      </c>
      <c r="H7" s="260">
        <f>+SUM(H8:H12)</f>
        <v>23293000</v>
      </c>
    </row>
    <row r="8" spans="1:9" s="163" customFormat="1" x14ac:dyDescent="0.25">
      <c r="B8" s="249" t="s">
        <v>250</v>
      </c>
      <c r="C8" s="98"/>
      <c r="D8" s="160"/>
      <c r="E8" s="160"/>
      <c r="F8" s="248">
        <f>+'Recyclage-MCV'!D5*'Recyclage-MCV'!D14</f>
        <v>7560000</v>
      </c>
      <c r="G8" s="246">
        <f>+F8</f>
        <v>7560000</v>
      </c>
      <c r="H8" s="246">
        <f>+G8</f>
        <v>7560000</v>
      </c>
    </row>
    <row r="9" spans="1:9" s="163" customFormat="1" x14ac:dyDescent="0.25">
      <c r="B9" s="249" t="s">
        <v>249</v>
      </c>
      <c r="C9" s="98"/>
      <c r="D9" s="160"/>
      <c r="E9" s="160"/>
      <c r="F9" s="248">
        <f>1.4*40000</f>
        <v>56000</v>
      </c>
      <c r="G9" s="246">
        <f>+F9</f>
        <v>56000</v>
      </c>
      <c r="H9" s="246">
        <f>+G9</f>
        <v>56000</v>
      </c>
    </row>
    <row r="10" spans="1:9" s="163" customFormat="1" x14ac:dyDescent="0.25">
      <c r="B10" s="249" t="s">
        <v>251</v>
      </c>
      <c r="C10" s="98"/>
      <c r="D10" s="160"/>
      <c r="E10" s="160"/>
      <c r="F10" s="248">
        <f>1.1*100000</f>
        <v>110000.00000000001</v>
      </c>
      <c r="G10" s="246">
        <f>1.1*80000</f>
        <v>88000</v>
      </c>
      <c r="H10" s="246">
        <f>70000*1.1</f>
        <v>77000</v>
      </c>
      <c r="I10" s="266"/>
    </row>
    <row r="11" spans="1:9" s="163" customFormat="1" x14ac:dyDescent="0.25">
      <c r="B11" s="249" t="s">
        <v>255</v>
      </c>
      <c r="C11" s="98"/>
      <c r="D11" s="160"/>
      <c r="E11" s="160"/>
      <c r="F11" s="248"/>
      <c r="G11" s="246">
        <f>+'Recyclage-MCV'!J5*'Recyclage-MCV'!J14</f>
        <v>40600000</v>
      </c>
      <c r="H11" s="246"/>
    </row>
    <row r="12" spans="1:9" s="255" customFormat="1" x14ac:dyDescent="0.25">
      <c r="B12" s="256" t="s">
        <v>258</v>
      </c>
      <c r="C12" s="257"/>
      <c r="F12" s="261"/>
      <c r="G12" s="254"/>
      <c r="H12" s="254">
        <f>30000*520</f>
        <v>15600000</v>
      </c>
    </row>
    <row r="13" spans="1:9" s="163" customFormat="1" x14ac:dyDescent="0.25">
      <c r="B13" s="160" t="s">
        <v>252</v>
      </c>
      <c r="C13" s="160"/>
      <c r="D13" s="84"/>
      <c r="E13" s="84"/>
      <c r="F13" s="248">
        <f>-('Recyclage-MCV'!D6+'Recyclage-MCV'!D7)*'Recyclage-MCV'!D14</f>
        <v>-3900000</v>
      </c>
      <c r="G13" s="248">
        <f>+F13</f>
        <v>-3900000</v>
      </c>
      <c r="H13" s="246">
        <f>+G13</f>
        <v>-3900000</v>
      </c>
      <c r="I13" s="188"/>
    </row>
    <row r="14" spans="1:9" s="163" customFormat="1" x14ac:dyDescent="0.25">
      <c r="B14" s="160" t="s">
        <v>253</v>
      </c>
      <c r="C14" s="160"/>
      <c r="D14" s="84"/>
      <c r="E14" s="84"/>
      <c r="F14" s="248">
        <f>-1*40000</f>
        <v>-40000</v>
      </c>
      <c r="G14" s="246">
        <f>+F14</f>
        <v>-40000</v>
      </c>
      <c r="H14" s="246">
        <f>+G14</f>
        <v>-40000</v>
      </c>
      <c r="I14" s="188"/>
    </row>
    <row r="15" spans="1:9" s="163" customFormat="1" x14ac:dyDescent="0.25">
      <c r="B15" s="160" t="s">
        <v>254</v>
      </c>
      <c r="C15" s="160"/>
      <c r="D15" s="84"/>
      <c r="E15" s="84"/>
      <c r="F15" s="248">
        <f>-1*100000</f>
        <v>-100000</v>
      </c>
      <c r="G15" s="246">
        <f>-1*80000</f>
        <v>-80000</v>
      </c>
      <c r="H15" s="246">
        <f>-70000*1</f>
        <v>-70000</v>
      </c>
      <c r="I15" s="188"/>
    </row>
    <row r="16" spans="1:9" s="163" customFormat="1" x14ac:dyDescent="0.25">
      <c r="B16" s="160" t="s">
        <v>256</v>
      </c>
      <c r="C16" s="160"/>
      <c r="D16" s="84"/>
      <c r="E16" s="84"/>
      <c r="F16" s="252"/>
      <c r="G16" s="253">
        <f>-('Recyclage-MCV'!J6+'Recyclage-MCV'!J7)*'Recyclage-MCV'!J14</f>
        <v>-33780000</v>
      </c>
      <c r="H16" s="253"/>
      <c r="I16" s="188"/>
    </row>
    <row r="17" spans="2:11" s="163" customFormat="1" x14ac:dyDescent="0.25">
      <c r="B17" s="160" t="s">
        <v>259</v>
      </c>
      <c r="C17" s="160"/>
      <c r="D17" s="84"/>
      <c r="E17" s="84"/>
      <c r="F17" s="252"/>
      <c r="G17" s="253"/>
      <c r="H17" s="253">
        <f>-30000*(250+520*0.3)</f>
        <v>-12180000</v>
      </c>
      <c r="I17" s="188"/>
    </row>
    <row r="18" spans="2:11" s="163" customFormat="1" x14ac:dyDescent="0.25">
      <c r="B18" s="160" t="s">
        <v>257</v>
      </c>
      <c r="C18" s="160"/>
      <c r="D18" s="84"/>
      <c r="E18" s="84"/>
      <c r="F18" s="251">
        <f>+SUM(F13:F17)</f>
        <v>-4040000</v>
      </c>
      <c r="G18" s="251">
        <f>+SUM(G13:G17)</f>
        <v>-37800000</v>
      </c>
      <c r="H18" s="251">
        <f>+SUM(H13:H17)</f>
        <v>-16190000</v>
      </c>
      <c r="I18" s="188"/>
    </row>
    <row r="19" spans="2:11" ht="14.4" x14ac:dyDescent="0.3">
      <c r="B19" s="181" t="s">
        <v>241</v>
      </c>
      <c r="C19" s="98"/>
      <c r="D19" s="98"/>
      <c r="E19" s="98"/>
      <c r="F19" s="262">
        <f>+F7+F18</f>
        <v>3686000</v>
      </c>
      <c r="G19" s="262">
        <f>+G7+G18</f>
        <v>10504000</v>
      </c>
      <c r="H19" s="262">
        <f>+H7+H18</f>
        <v>7103000</v>
      </c>
    </row>
    <row r="20" spans="2:11" ht="27.6" x14ac:dyDescent="0.25">
      <c r="B20" s="247" t="s">
        <v>245</v>
      </c>
      <c r="C20" s="75"/>
      <c r="D20" s="182"/>
      <c r="E20" s="158"/>
      <c r="F20" s="263">
        <f>-1700000*1.02</f>
        <v>-1734000</v>
      </c>
      <c r="G20" s="263">
        <f>-1700000*1.02</f>
        <v>-1734000</v>
      </c>
      <c r="H20" s="263">
        <f>+G20</f>
        <v>-1734000</v>
      </c>
    </row>
    <row r="21" spans="2:11" ht="15" customHeight="1" x14ac:dyDescent="0.25">
      <c r="B21" s="160" t="s">
        <v>3</v>
      </c>
      <c r="C21" s="75"/>
      <c r="D21" s="182"/>
      <c r="E21" s="158"/>
      <c r="F21" s="264">
        <v>-365000</v>
      </c>
      <c r="G21" s="264">
        <v>-365000</v>
      </c>
      <c r="H21" s="158">
        <f>+G21</f>
        <v>-365000</v>
      </c>
    </row>
    <row r="22" spans="2:11" x14ac:dyDescent="0.25">
      <c r="B22" s="98" t="s">
        <v>244</v>
      </c>
      <c r="C22" s="75"/>
      <c r="D22" s="182"/>
      <c r="E22" s="158"/>
      <c r="F22" s="264">
        <f>-815000*1.01</f>
        <v>-823150</v>
      </c>
      <c r="G22" s="158">
        <f>+F22</f>
        <v>-823150</v>
      </c>
      <c r="H22" s="158">
        <f>+G22</f>
        <v>-823150</v>
      </c>
    </row>
    <row r="23" spans="2:11" s="268" customFormat="1" x14ac:dyDescent="0.25">
      <c r="B23" s="268" t="s">
        <v>248</v>
      </c>
      <c r="C23" s="269"/>
      <c r="D23" s="270"/>
      <c r="E23" s="267"/>
      <c r="F23" s="271"/>
      <c r="G23" s="267">
        <v>-270000</v>
      </c>
      <c r="H23" s="267">
        <f>+G23</f>
        <v>-270000</v>
      </c>
    </row>
    <row r="24" spans="2:11" x14ac:dyDescent="0.25">
      <c r="B24" s="98" t="s">
        <v>261</v>
      </c>
      <c r="C24" s="75"/>
      <c r="D24" s="182"/>
      <c r="E24" s="158"/>
      <c r="F24" s="264"/>
      <c r="G24" s="158">
        <f>-'Recyclage - VAN'!D9</f>
        <v>-850000</v>
      </c>
      <c r="H24" s="158"/>
    </row>
    <row r="25" spans="2:11" x14ac:dyDescent="0.25">
      <c r="B25" s="98" t="s">
        <v>262</v>
      </c>
      <c r="C25" s="75"/>
      <c r="D25" s="182"/>
      <c r="E25" s="158"/>
      <c r="F25" s="264"/>
      <c r="G25" s="158"/>
      <c r="H25" s="158">
        <f>-'Recyclage - VAN'!D26</f>
        <v>-540000</v>
      </c>
    </row>
    <row r="26" spans="2:11" x14ac:dyDescent="0.25">
      <c r="B26" s="98" t="s">
        <v>264</v>
      </c>
      <c r="C26" s="75"/>
      <c r="D26" s="182"/>
      <c r="E26" s="158"/>
      <c r="F26" s="264"/>
      <c r="G26" s="158">
        <f>'Recyclage - VAN'!C15/10</f>
        <v>-2000000</v>
      </c>
      <c r="H26" s="158"/>
      <c r="J26" s="70" t="s">
        <v>266</v>
      </c>
      <c r="K26" s="70" t="s">
        <v>267</v>
      </c>
    </row>
    <row r="27" spans="2:11" x14ac:dyDescent="0.25">
      <c r="B27" s="98" t="s">
        <v>265</v>
      </c>
      <c r="C27" s="75"/>
      <c r="D27" s="182"/>
      <c r="E27" s="158"/>
      <c r="F27" s="264"/>
      <c r="G27" s="158"/>
      <c r="H27" s="158">
        <f>+'Recyclage - VAN'!C33/10</f>
        <v>-1000000</v>
      </c>
    </row>
    <row r="28" spans="2:11" x14ac:dyDescent="0.25">
      <c r="B28" s="98" t="s">
        <v>242</v>
      </c>
      <c r="C28" s="75"/>
      <c r="D28" s="182"/>
      <c r="E28" s="158"/>
      <c r="F28" s="265">
        <f>+SUM(F19:F27)</f>
        <v>763850</v>
      </c>
      <c r="G28" s="265">
        <f>+SUM(G19:G27)</f>
        <v>4461850</v>
      </c>
      <c r="H28" s="265">
        <f>+SUM(H19:H27)</f>
        <v>2370850</v>
      </c>
      <c r="J28" s="70" t="s">
        <v>263</v>
      </c>
    </row>
    <row r="29" spans="2:11" ht="28.2" customHeight="1" x14ac:dyDescent="0.25">
      <c r="B29" s="160" t="s">
        <v>260</v>
      </c>
      <c r="C29" s="258">
        <v>0.26500000000000001</v>
      </c>
      <c r="D29" s="182"/>
      <c r="E29" s="158"/>
      <c r="F29" s="158">
        <f>-F28*$C29</f>
        <v>-202420.25</v>
      </c>
      <c r="G29" s="158">
        <f t="shared" ref="G29:H29" si="0">-G28*$C29</f>
        <v>-1182390.25</v>
      </c>
      <c r="H29" s="158">
        <f t="shared" si="0"/>
        <v>-628275.25</v>
      </c>
    </row>
    <row r="30" spans="2:11" x14ac:dyDescent="0.25">
      <c r="B30" s="98" t="s">
        <v>268</v>
      </c>
      <c r="C30" s="75"/>
      <c r="D30" s="182"/>
      <c r="E30" s="75"/>
      <c r="F30" s="158">
        <f>+SUM(F28:F29)</f>
        <v>561429.75</v>
      </c>
      <c r="G30" s="158">
        <f t="shared" ref="G30:H30" si="1">+SUM(G28:G29)</f>
        <v>3279459.75</v>
      </c>
      <c r="H30" s="158">
        <f t="shared" si="1"/>
        <v>1742574.75</v>
      </c>
    </row>
    <row r="31" spans="2:11" x14ac:dyDescent="0.25">
      <c r="B31" s="98"/>
      <c r="C31" s="98"/>
      <c r="D31" s="98"/>
      <c r="E31" s="75"/>
      <c r="F31" s="165"/>
      <c r="G31" s="165"/>
      <c r="H31" s="165"/>
    </row>
    <row r="32" spans="2:11" x14ac:dyDescent="0.25">
      <c r="B32" s="98"/>
      <c r="C32" s="75"/>
      <c r="D32" s="98"/>
      <c r="E32" s="98"/>
      <c r="F32" s="165"/>
      <c r="G32" s="165"/>
      <c r="H32" s="165"/>
    </row>
    <row r="33" spans="2:10" x14ac:dyDescent="0.25">
      <c r="B33" s="98"/>
      <c r="C33" s="75"/>
      <c r="D33" s="98"/>
      <c r="E33" s="98"/>
      <c r="F33" s="165"/>
      <c r="G33" s="165"/>
      <c r="H33" s="165"/>
    </row>
    <row r="34" spans="2:10" ht="15" customHeight="1" x14ac:dyDescent="0.25">
      <c r="B34" s="160"/>
      <c r="C34" s="75"/>
      <c r="D34" s="98"/>
      <c r="E34" s="98"/>
      <c r="F34" s="165"/>
      <c r="G34" s="165"/>
      <c r="H34" s="165"/>
    </row>
    <row r="35" spans="2:10" x14ac:dyDescent="0.25">
      <c r="B35" s="98"/>
      <c r="C35" s="75"/>
      <c r="D35" s="98"/>
      <c r="E35" s="98"/>
      <c r="F35" s="165"/>
      <c r="G35" s="165"/>
      <c r="H35" s="165"/>
    </row>
    <row r="36" spans="2:10" x14ac:dyDescent="0.25">
      <c r="B36" s="98"/>
      <c r="C36" s="98"/>
      <c r="D36" s="98"/>
      <c r="E36" s="75"/>
      <c r="F36" s="165"/>
      <c r="G36" s="165"/>
      <c r="H36" s="165"/>
    </row>
    <row r="37" spans="2:10" x14ac:dyDescent="0.25">
      <c r="B37" s="98"/>
      <c r="C37" s="98"/>
      <c r="D37" s="98"/>
      <c r="E37" s="75"/>
      <c r="F37" s="165"/>
      <c r="G37" s="165"/>
      <c r="H37" s="165"/>
    </row>
    <row r="38" spans="2:10" x14ac:dyDescent="0.25">
      <c r="B38" s="98"/>
      <c r="C38" s="75"/>
      <c r="D38" s="166"/>
      <c r="E38" s="75"/>
      <c r="F38" s="165"/>
      <c r="G38" s="165"/>
      <c r="H38" s="165"/>
    </row>
    <row r="39" spans="2:10" x14ac:dyDescent="0.25">
      <c r="B39" s="98"/>
      <c r="C39" s="75"/>
      <c r="D39" s="166"/>
      <c r="E39" s="75"/>
      <c r="F39" s="165"/>
      <c r="G39" s="165"/>
      <c r="H39" s="165"/>
    </row>
    <row r="40" spans="2:10" x14ac:dyDescent="0.25">
      <c r="B40" s="98"/>
      <c r="C40" s="75"/>
      <c r="D40" s="166"/>
      <c r="E40" s="75"/>
      <c r="F40" s="165"/>
      <c r="G40" s="165"/>
      <c r="H40" s="165"/>
    </row>
    <row r="41" spans="2:10" x14ac:dyDescent="0.25">
      <c r="B41" s="98"/>
      <c r="C41" s="98"/>
      <c r="D41" s="98"/>
      <c r="E41" s="75"/>
      <c r="F41" s="165"/>
      <c r="G41" s="165"/>
      <c r="H41" s="165"/>
      <c r="I41" s="183"/>
    </row>
    <row r="42" spans="2:10" x14ac:dyDescent="0.25">
      <c r="B42" s="98"/>
      <c r="C42" s="98"/>
      <c r="D42" s="98"/>
      <c r="E42" s="75"/>
      <c r="F42" s="165"/>
      <c r="G42" s="165"/>
      <c r="H42" s="165"/>
    </row>
    <row r="43" spans="2:10" x14ac:dyDescent="0.25">
      <c r="B43" s="98"/>
      <c r="C43" s="98"/>
      <c r="D43" s="98"/>
      <c r="E43" s="75"/>
      <c r="F43" s="165"/>
      <c r="G43" s="165"/>
      <c r="H43" s="165"/>
    </row>
    <row r="44" spans="2:10" x14ac:dyDescent="0.25">
      <c r="B44" s="98"/>
      <c r="C44" s="98"/>
      <c r="D44" s="98"/>
      <c r="E44" s="98"/>
      <c r="F44" s="165"/>
      <c r="G44" s="165"/>
      <c r="H44" s="165"/>
    </row>
    <row r="45" spans="2:10" x14ac:dyDescent="0.25">
      <c r="B45" s="98"/>
      <c r="C45" s="98"/>
      <c r="D45" s="98"/>
      <c r="E45" s="75"/>
      <c r="F45" s="165"/>
      <c r="G45" s="165"/>
      <c r="H45" s="165"/>
    </row>
    <row r="46" spans="2:10" x14ac:dyDescent="0.25">
      <c r="B46" s="98"/>
      <c r="C46" s="98"/>
      <c r="D46" s="98"/>
      <c r="E46" s="98"/>
      <c r="F46" s="166"/>
      <c r="G46" s="166"/>
      <c r="H46" s="166"/>
    </row>
    <row r="47" spans="2:10" ht="14.4" x14ac:dyDescent="0.3">
      <c r="B47" s="181"/>
      <c r="C47" s="98"/>
      <c r="D47" s="98"/>
      <c r="E47" s="75"/>
      <c r="F47" s="167"/>
      <c r="G47" s="167"/>
      <c r="H47" s="167"/>
      <c r="J47" s="183"/>
    </row>
    <row r="48" spans="2:10" ht="14.4" x14ac:dyDescent="0.3">
      <c r="B48" s="181"/>
      <c r="C48" s="98"/>
      <c r="D48" s="98"/>
      <c r="E48" s="75"/>
      <c r="F48" s="167"/>
      <c r="G48" s="167"/>
      <c r="H48" s="167"/>
    </row>
    <row r="49" spans="1:8" x14ac:dyDescent="0.25">
      <c r="B49" s="98"/>
      <c r="C49" s="98"/>
      <c r="D49" s="184"/>
      <c r="E49" s="98"/>
      <c r="F49" s="168"/>
      <c r="G49" s="168"/>
      <c r="H49" s="168"/>
    </row>
    <row r="50" spans="1:8" x14ac:dyDescent="0.25">
      <c r="B50" s="98"/>
      <c r="C50" s="98"/>
      <c r="D50" s="98"/>
      <c r="E50" s="98"/>
      <c r="F50" s="166"/>
      <c r="G50" s="166"/>
      <c r="H50" s="166"/>
    </row>
    <row r="51" spans="1:8" x14ac:dyDescent="0.25">
      <c r="A51" s="133"/>
      <c r="B51" s="98"/>
      <c r="C51" s="98"/>
      <c r="D51" s="98"/>
      <c r="E51" s="98"/>
      <c r="F51" s="166"/>
      <c r="G51" s="166"/>
      <c r="H51" s="166"/>
    </row>
    <row r="52" spans="1:8" ht="28.2" customHeight="1" x14ac:dyDescent="0.25">
      <c r="B52" s="160"/>
      <c r="C52" s="157"/>
      <c r="D52" s="176"/>
      <c r="E52" s="176"/>
      <c r="F52" s="185"/>
      <c r="G52" s="185"/>
      <c r="H52" s="185"/>
    </row>
    <row r="53" spans="1:8" ht="28.2" customHeight="1" x14ac:dyDescent="0.25">
      <c r="B53" s="160"/>
      <c r="C53" s="157"/>
      <c r="D53" s="176"/>
      <c r="E53" s="176"/>
      <c r="F53" s="185"/>
      <c r="G53" s="185"/>
      <c r="H53" s="185"/>
    </row>
    <row r="54" spans="1:8" ht="14.7" customHeight="1" x14ac:dyDescent="0.25">
      <c r="B54" s="160"/>
      <c r="C54" s="157"/>
      <c r="D54" s="176"/>
      <c r="E54" s="176"/>
      <c r="F54" s="185"/>
      <c r="G54" s="185"/>
      <c r="H54" s="185"/>
    </row>
    <row r="55" spans="1:8" ht="14.7" customHeight="1" x14ac:dyDescent="0.25">
      <c r="B55" s="160"/>
      <c r="C55" s="157"/>
      <c r="D55" s="176"/>
      <c r="E55" s="176"/>
      <c r="F55" s="176"/>
      <c r="G55" s="185"/>
      <c r="H55" s="185"/>
    </row>
    <row r="56" spans="1:8" ht="28.2" customHeight="1" x14ac:dyDescent="0.25">
      <c r="B56" s="160"/>
      <c r="C56" s="157"/>
      <c r="D56" s="176"/>
      <c r="E56" s="176"/>
      <c r="F56" s="185"/>
      <c r="G56" s="185"/>
      <c r="H56" s="185"/>
    </row>
    <row r="57" spans="1:8" x14ac:dyDescent="0.25">
      <c r="B57" s="98"/>
      <c r="C57" s="98"/>
      <c r="D57" s="98"/>
      <c r="E57" s="75"/>
      <c r="F57" s="165"/>
      <c r="G57" s="165"/>
      <c r="H57" s="165"/>
    </row>
    <row r="58" spans="1:8" ht="14.4" x14ac:dyDescent="0.3">
      <c r="B58" s="98"/>
      <c r="C58" s="98"/>
      <c r="D58" s="98"/>
      <c r="E58" s="98"/>
      <c r="F58" s="166"/>
      <c r="G58" s="166"/>
      <c r="H58" s="186"/>
    </row>
    <row r="59" spans="1:8" ht="14.4" x14ac:dyDescent="0.3">
      <c r="B59" s="98"/>
      <c r="C59" s="98"/>
      <c r="D59" s="98"/>
      <c r="E59" s="98"/>
      <c r="F59" s="166"/>
      <c r="G59" s="166"/>
      <c r="H59" s="186"/>
    </row>
    <row r="60" spans="1:8" ht="29.7" customHeight="1" x14ac:dyDescent="0.25">
      <c r="B60" s="160"/>
      <c r="C60" s="160"/>
      <c r="D60" s="160"/>
      <c r="E60" s="160"/>
      <c r="F60" s="160"/>
      <c r="G60" s="160"/>
      <c r="H60" s="160"/>
    </row>
    <row r="61" spans="1:8" ht="28.5" customHeight="1" x14ac:dyDescent="0.25">
      <c r="B61" s="160"/>
      <c r="C61" s="160"/>
      <c r="D61" s="160"/>
      <c r="E61" s="160"/>
      <c r="F61" s="160"/>
      <c r="G61" s="160"/>
      <c r="H61" s="160"/>
    </row>
    <row r="62" spans="1:8" ht="14.4" x14ac:dyDescent="0.3">
      <c r="B62" s="98"/>
      <c r="C62" s="98"/>
      <c r="D62" s="98"/>
      <c r="E62" s="98"/>
      <c r="F62" s="166"/>
      <c r="G62" s="166"/>
      <c r="H62" s="187"/>
    </row>
    <row r="63" spans="1:8" x14ac:dyDescent="0.25">
      <c r="B63" s="98"/>
      <c r="C63" s="98"/>
      <c r="D63" s="98"/>
      <c r="E63" s="98"/>
      <c r="F63" s="166"/>
      <c r="G63" s="166"/>
      <c r="H63" s="166"/>
    </row>
    <row r="64" spans="1:8" x14ac:dyDescent="0.25">
      <c r="B64" s="98"/>
      <c r="C64" s="98"/>
      <c r="D64" s="98"/>
      <c r="E64" s="98"/>
      <c r="F64" s="166"/>
      <c r="G64" s="166"/>
      <c r="H64" s="166"/>
    </row>
    <row r="65" spans="1:9" x14ac:dyDescent="0.25">
      <c r="B65" s="98"/>
      <c r="C65" s="98"/>
      <c r="D65" s="98"/>
      <c r="E65" s="98"/>
      <c r="F65" s="166"/>
      <c r="G65" s="166"/>
      <c r="H65" s="166"/>
    </row>
    <row r="66" spans="1:9" x14ac:dyDescent="0.25">
      <c r="B66" s="98"/>
      <c r="C66" s="98"/>
      <c r="D66" s="98"/>
      <c r="E66" s="98"/>
      <c r="F66" s="166"/>
      <c r="G66" s="166"/>
      <c r="H66" s="166"/>
    </row>
    <row r="67" spans="1:9" ht="28.2" customHeight="1" x14ac:dyDescent="0.3">
      <c r="A67" s="163"/>
      <c r="B67" s="163"/>
      <c r="C67" s="163"/>
      <c r="D67" s="163"/>
      <c r="E67" s="163"/>
      <c r="F67" s="163"/>
      <c r="G67" s="163"/>
      <c r="H67" s="163"/>
      <c r="I67"/>
    </row>
    <row r="68" spans="1:9" x14ac:dyDescent="0.25">
      <c r="B68" s="98"/>
      <c r="C68" s="98"/>
      <c r="D68" s="98"/>
      <c r="E68" s="98"/>
      <c r="F68" s="98"/>
      <c r="G68" s="98"/>
      <c r="H68" s="9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9FB8C-0C56-4906-97AB-5EBA4F480760}">
  <sheetPr>
    <tabColor rgb="FF7030A0"/>
  </sheetPr>
  <dimension ref="A1:M66"/>
  <sheetViews>
    <sheetView workbookViewId="0">
      <selection activeCell="C5" sqref="C5"/>
    </sheetView>
  </sheetViews>
  <sheetFormatPr baseColWidth="10" defaultColWidth="9.21875" defaultRowHeight="13.8" x14ac:dyDescent="0.25"/>
  <cols>
    <col min="1" max="1" width="9.21875" style="70"/>
    <col min="2" max="2" width="60.77734375" style="70" customWidth="1"/>
    <col min="3" max="3" width="16.44140625" style="70" customWidth="1"/>
    <col min="4" max="13" width="15.44140625" style="70" customWidth="1"/>
    <col min="14" max="16384" width="9.21875" style="70"/>
  </cols>
  <sheetData>
    <row r="1" spans="1:13" x14ac:dyDescent="0.25">
      <c r="A1" s="161" t="s">
        <v>70</v>
      </c>
    </row>
    <row r="2" spans="1:13" x14ac:dyDescent="0.25">
      <c r="A2" s="161"/>
      <c r="C2" s="169"/>
    </row>
    <row r="3" spans="1:13" x14ac:dyDescent="0.25">
      <c r="A3" s="69" t="s">
        <v>71</v>
      </c>
      <c r="C3" s="169"/>
    </row>
    <row r="5" spans="1:13" x14ac:dyDescent="0.25">
      <c r="A5" s="133"/>
      <c r="B5" s="100"/>
      <c r="C5" s="150">
        <v>2021</v>
      </c>
      <c r="D5" s="150">
        <v>2022</v>
      </c>
      <c r="E5" s="150">
        <v>2023</v>
      </c>
      <c r="F5" s="150">
        <v>2024</v>
      </c>
      <c r="G5" s="150">
        <v>2025</v>
      </c>
      <c r="H5" s="150">
        <v>2026</v>
      </c>
      <c r="I5" s="150">
        <v>2027</v>
      </c>
      <c r="J5" s="150">
        <v>2028</v>
      </c>
      <c r="K5" s="150">
        <v>2029</v>
      </c>
      <c r="L5" s="150">
        <v>2030</v>
      </c>
      <c r="M5" s="150">
        <v>2031</v>
      </c>
    </row>
    <row r="6" spans="1:13" x14ac:dyDescent="0.25">
      <c r="A6" s="133"/>
      <c r="B6" s="170" t="s">
        <v>181</v>
      </c>
      <c r="C6" s="75"/>
      <c r="D6" s="75"/>
      <c r="E6" s="75"/>
      <c r="F6" s="75"/>
      <c r="G6" s="75"/>
      <c r="H6" s="75"/>
      <c r="I6" s="75"/>
      <c r="J6" s="75"/>
      <c r="K6" s="75"/>
      <c r="L6" s="75"/>
      <c r="M6" s="75"/>
    </row>
    <row r="7" spans="1:13" x14ac:dyDescent="0.25">
      <c r="A7" s="133"/>
      <c r="B7" s="170"/>
      <c r="C7" s="75"/>
      <c r="D7" s="75"/>
      <c r="E7" s="75"/>
      <c r="F7" s="75"/>
      <c r="G7" s="75"/>
      <c r="H7" s="75"/>
      <c r="I7" s="75"/>
      <c r="J7" s="75"/>
      <c r="K7" s="75"/>
      <c r="L7" s="75"/>
      <c r="M7" s="75"/>
    </row>
    <row r="8" spans="1:13" x14ac:dyDescent="0.25">
      <c r="A8" s="133"/>
      <c r="B8" s="100" t="s">
        <v>182</v>
      </c>
      <c r="C8" s="75"/>
      <c r="D8" s="177">
        <v>6820000</v>
      </c>
      <c r="E8" s="177">
        <f>D8</f>
        <v>6820000</v>
      </c>
      <c r="F8" s="177">
        <f t="shared" ref="F8:M8" si="0">E8</f>
        <v>6820000</v>
      </c>
      <c r="G8" s="177">
        <f t="shared" si="0"/>
        <v>6820000</v>
      </c>
      <c r="H8" s="177">
        <f t="shared" si="0"/>
        <v>6820000</v>
      </c>
      <c r="I8" s="177">
        <f t="shared" si="0"/>
        <v>6820000</v>
      </c>
      <c r="J8" s="177">
        <f t="shared" si="0"/>
        <v>6820000</v>
      </c>
      <c r="K8" s="177">
        <f t="shared" si="0"/>
        <v>6820000</v>
      </c>
      <c r="L8" s="177">
        <f t="shared" si="0"/>
        <v>6820000</v>
      </c>
      <c r="M8" s="177">
        <f t="shared" si="0"/>
        <v>6820000</v>
      </c>
    </row>
    <row r="9" spans="1:13" x14ac:dyDescent="0.25">
      <c r="A9" s="133"/>
      <c r="B9" s="100" t="s">
        <v>183</v>
      </c>
      <c r="C9" s="75"/>
      <c r="D9" s="112">
        <v>850000</v>
      </c>
      <c r="E9" s="112">
        <f>ROUND(D9*1.02,0)</f>
        <v>867000</v>
      </c>
      <c r="F9" s="112">
        <f t="shared" ref="F9:M9" si="1">ROUND(E9*1.02,0)</f>
        <v>884340</v>
      </c>
      <c r="G9" s="112">
        <f t="shared" si="1"/>
        <v>902027</v>
      </c>
      <c r="H9" s="112">
        <f t="shared" si="1"/>
        <v>920068</v>
      </c>
      <c r="I9" s="112">
        <f t="shared" si="1"/>
        <v>938469</v>
      </c>
      <c r="J9" s="112">
        <f t="shared" si="1"/>
        <v>957238</v>
      </c>
      <c r="K9" s="112">
        <f t="shared" si="1"/>
        <v>976383</v>
      </c>
      <c r="L9" s="112">
        <f t="shared" si="1"/>
        <v>995911</v>
      </c>
      <c r="M9" s="112">
        <f t="shared" si="1"/>
        <v>1015829</v>
      </c>
    </row>
    <row r="10" spans="1:13" x14ac:dyDescent="0.25">
      <c r="A10" s="133"/>
      <c r="B10" s="100" t="s">
        <v>184</v>
      </c>
      <c r="C10" s="75"/>
      <c r="D10" s="189">
        <f>+D8-D9</f>
        <v>5970000</v>
      </c>
      <c r="E10" s="189">
        <f t="shared" ref="E10:M10" si="2">+E8-E9</f>
        <v>5953000</v>
      </c>
      <c r="F10" s="189">
        <f t="shared" si="2"/>
        <v>5935660</v>
      </c>
      <c r="G10" s="189">
        <f t="shared" si="2"/>
        <v>5917973</v>
      </c>
      <c r="H10" s="189">
        <f t="shared" si="2"/>
        <v>5899932</v>
      </c>
      <c r="I10" s="189">
        <f t="shared" si="2"/>
        <v>5881531</v>
      </c>
      <c r="J10" s="189">
        <f t="shared" si="2"/>
        <v>5862762</v>
      </c>
      <c r="K10" s="189">
        <f t="shared" si="2"/>
        <v>5843617</v>
      </c>
      <c r="L10" s="189">
        <f t="shared" si="2"/>
        <v>5824089</v>
      </c>
      <c r="M10" s="189">
        <f t="shared" si="2"/>
        <v>5804171</v>
      </c>
    </row>
    <row r="11" spans="1:13" ht="14.4" x14ac:dyDescent="0.3">
      <c r="A11" s="133"/>
      <c r="B11" s="100" t="s">
        <v>185</v>
      </c>
      <c r="C11" s="75"/>
      <c r="D11" s="190">
        <f>ROUND(+D10*0.265,0)</f>
        <v>1582050</v>
      </c>
      <c r="E11" s="190">
        <f t="shared" ref="E11:M11" si="3">ROUND(+E10*0.265,0)</f>
        <v>1577545</v>
      </c>
      <c r="F11" s="190">
        <f t="shared" si="3"/>
        <v>1572950</v>
      </c>
      <c r="G11" s="190">
        <f t="shared" si="3"/>
        <v>1568263</v>
      </c>
      <c r="H11" s="190">
        <f t="shared" si="3"/>
        <v>1563482</v>
      </c>
      <c r="I11" s="190">
        <f t="shared" si="3"/>
        <v>1558606</v>
      </c>
      <c r="J11" s="190">
        <f t="shared" si="3"/>
        <v>1553632</v>
      </c>
      <c r="K11" s="190">
        <f t="shared" si="3"/>
        <v>1548559</v>
      </c>
      <c r="L11" s="190">
        <f t="shared" si="3"/>
        <v>1543384</v>
      </c>
      <c r="M11" s="190">
        <f t="shared" si="3"/>
        <v>1538105</v>
      </c>
    </row>
    <row r="12" spans="1:13" ht="14.1" customHeight="1" x14ac:dyDescent="0.25">
      <c r="A12" s="133"/>
      <c r="B12" s="178" t="s">
        <v>186</v>
      </c>
      <c r="C12" s="75"/>
      <c r="D12" s="165">
        <f>+D10-D11</f>
        <v>4387950</v>
      </c>
      <c r="E12" s="165">
        <f t="shared" ref="E12:M12" si="4">+E10-E11</f>
        <v>4375455</v>
      </c>
      <c r="F12" s="165">
        <f t="shared" si="4"/>
        <v>4362710</v>
      </c>
      <c r="G12" s="165">
        <f t="shared" si="4"/>
        <v>4349710</v>
      </c>
      <c r="H12" s="165">
        <f t="shared" si="4"/>
        <v>4336450</v>
      </c>
      <c r="I12" s="165">
        <f t="shared" si="4"/>
        <v>4322925</v>
      </c>
      <c r="J12" s="165">
        <f t="shared" si="4"/>
        <v>4309130</v>
      </c>
      <c r="K12" s="165">
        <f t="shared" si="4"/>
        <v>4295058</v>
      </c>
      <c r="L12" s="165">
        <f t="shared" si="4"/>
        <v>4280705</v>
      </c>
      <c r="M12" s="165">
        <f t="shared" si="4"/>
        <v>4266066</v>
      </c>
    </row>
    <row r="13" spans="1:13" x14ac:dyDescent="0.25">
      <c r="A13" s="133"/>
      <c r="B13" s="100" t="s">
        <v>187</v>
      </c>
      <c r="C13" s="221">
        <f>NPV(0.15, D12:M12)</f>
        <v>21799870.018921066</v>
      </c>
      <c r="D13" s="119"/>
      <c r="E13" s="119"/>
      <c r="F13" s="119"/>
      <c r="G13" s="119"/>
      <c r="H13" s="119"/>
      <c r="I13" s="119"/>
      <c r="J13" s="119"/>
      <c r="K13" s="119"/>
      <c r="L13" s="119"/>
      <c r="M13" s="119"/>
    </row>
    <row r="14" spans="1:13" x14ac:dyDescent="0.25">
      <c r="A14" s="133"/>
      <c r="B14" s="100"/>
      <c r="C14" s="166"/>
      <c r="D14" s="166"/>
      <c r="E14" s="166"/>
      <c r="F14" s="166"/>
      <c r="G14" s="166"/>
      <c r="H14" s="166"/>
      <c r="I14" s="166"/>
      <c r="J14" s="166"/>
      <c r="K14" s="166"/>
      <c r="L14" s="166"/>
      <c r="M14" s="166"/>
    </row>
    <row r="15" spans="1:13" x14ac:dyDescent="0.25">
      <c r="A15" s="191"/>
      <c r="B15" s="170" t="s">
        <v>188</v>
      </c>
      <c r="C15" s="102">
        <v>-20000000</v>
      </c>
      <c r="D15" s="119"/>
      <c r="E15" s="119"/>
      <c r="F15" s="119"/>
      <c r="G15" s="119"/>
      <c r="H15" s="119"/>
      <c r="I15" s="119"/>
      <c r="J15" s="119"/>
      <c r="K15" s="119"/>
      <c r="L15" s="119"/>
      <c r="M15" s="119"/>
    </row>
    <row r="16" spans="1:13" x14ac:dyDescent="0.25">
      <c r="A16" s="191"/>
      <c r="B16" s="170"/>
      <c r="C16" s="192"/>
      <c r="D16" s="193"/>
      <c r="E16" s="193"/>
      <c r="F16" s="193"/>
      <c r="G16" s="193"/>
      <c r="H16" s="193"/>
      <c r="I16" s="193"/>
      <c r="J16" s="193"/>
      <c r="K16" s="193"/>
      <c r="L16" s="193"/>
      <c r="M16" s="193"/>
    </row>
    <row r="17" spans="1:13" x14ac:dyDescent="0.25">
      <c r="A17" s="191"/>
      <c r="B17" s="170" t="s">
        <v>189</v>
      </c>
      <c r="C17" s="102">
        <f>-C15*0.265</f>
        <v>5300000</v>
      </c>
      <c r="D17" s="119"/>
      <c r="E17" s="119"/>
      <c r="F17" s="119"/>
      <c r="G17" s="119"/>
      <c r="H17" s="119"/>
      <c r="I17" s="119"/>
      <c r="J17" s="119"/>
      <c r="K17" s="119"/>
      <c r="L17" s="119"/>
      <c r="M17" s="119"/>
    </row>
    <row r="18" spans="1:13" x14ac:dyDescent="0.25">
      <c r="A18" s="191"/>
      <c r="B18" s="100"/>
      <c r="C18" s="192"/>
      <c r="D18" s="193"/>
      <c r="E18" s="193"/>
      <c r="F18" s="193"/>
      <c r="G18" s="193"/>
      <c r="H18" s="193"/>
      <c r="I18" s="193"/>
      <c r="J18" s="193"/>
      <c r="K18" s="193"/>
      <c r="L18" s="193"/>
      <c r="M18" s="193"/>
    </row>
    <row r="19" spans="1:13" ht="14.4" thickBot="1" x14ac:dyDescent="0.3">
      <c r="A19" s="191"/>
      <c r="B19" s="170" t="s">
        <v>190</v>
      </c>
      <c r="C19" s="194">
        <f>SUM(C13:C18)</f>
        <v>7099870.0189210661</v>
      </c>
      <c r="D19" s="98"/>
      <c r="E19" s="98"/>
      <c r="F19" s="98"/>
      <c r="G19" s="98"/>
      <c r="H19" s="98"/>
      <c r="I19" s="98"/>
      <c r="J19" s="98"/>
      <c r="K19" s="98"/>
      <c r="L19" s="98"/>
      <c r="M19" s="98"/>
    </row>
    <row r="20" spans="1:13" ht="14.4" thickTop="1" x14ac:dyDescent="0.25">
      <c r="A20" s="133"/>
      <c r="B20" s="100"/>
      <c r="C20" s="117"/>
      <c r="D20" s="117"/>
      <c r="E20" s="117"/>
      <c r="F20" s="117"/>
      <c r="G20" s="117"/>
      <c r="H20" s="117"/>
      <c r="I20" s="98"/>
      <c r="J20" s="98"/>
      <c r="K20" s="98"/>
      <c r="L20" s="98"/>
      <c r="M20" s="98"/>
    </row>
    <row r="21" spans="1:13" x14ac:dyDescent="0.25">
      <c r="A21" s="133"/>
      <c r="B21" s="100"/>
      <c r="C21" s="117"/>
      <c r="D21" s="117"/>
      <c r="E21" s="117"/>
      <c r="F21" s="117"/>
      <c r="G21" s="117"/>
      <c r="H21" s="117"/>
      <c r="I21" s="98"/>
      <c r="J21" s="98"/>
      <c r="K21" s="98"/>
      <c r="L21" s="98"/>
      <c r="M21" s="98"/>
    </row>
    <row r="22" spans="1:13" x14ac:dyDescent="0.25">
      <c r="A22" s="133"/>
      <c r="B22" s="100"/>
      <c r="C22" s="150">
        <v>2021</v>
      </c>
      <c r="D22" s="150">
        <v>2022</v>
      </c>
      <c r="E22" s="150">
        <v>2023</v>
      </c>
      <c r="F22" s="150">
        <v>2024</v>
      </c>
      <c r="G22" s="150">
        <v>2025</v>
      </c>
      <c r="H22" s="150">
        <v>2026</v>
      </c>
      <c r="I22" s="150">
        <v>2027</v>
      </c>
      <c r="J22" s="150">
        <v>2028</v>
      </c>
      <c r="K22" s="150">
        <v>2029</v>
      </c>
      <c r="L22" s="150">
        <v>2030</v>
      </c>
      <c r="M22" s="150">
        <v>2031</v>
      </c>
    </row>
    <row r="23" spans="1:13" ht="28.2" customHeight="1" x14ac:dyDescent="0.25">
      <c r="A23" s="133"/>
      <c r="B23" s="195" t="s">
        <v>191</v>
      </c>
      <c r="C23" s="179"/>
      <c r="D23" s="179"/>
      <c r="E23" s="179"/>
      <c r="F23" s="100"/>
      <c r="G23" s="100"/>
      <c r="H23" s="100"/>
    </row>
    <row r="24" spans="1:13" x14ac:dyDescent="0.25">
      <c r="A24" s="133"/>
      <c r="B24" s="170"/>
      <c r="C24" s="179"/>
      <c r="D24" s="179"/>
      <c r="E24" s="179"/>
      <c r="F24" s="100"/>
      <c r="G24" s="100"/>
      <c r="H24" s="100"/>
    </row>
    <row r="25" spans="1:13" x14ac:dyDescent="0.25">
      <c r="A25" s="133"/>
      <c r="B25" s="100" t="s">
        <v>182</v>
      </c>
      <c r="C25" s="179"/>
      <c r="D25" s="173">
        <v>3420000</v>
      </c>
      <c r="E25" s="173">
        <f>D25</f>
        <v>3420000</v>
      </c>
      <c r="F25" s="173">
        <f t="shared" ref="F25:M25" si="5">E25</f>
        <v>3420000</v>
      </c>
      <c r="G25" s="173">
        <f t="shared" si="5"/>
        <v>3420000</v>
      </c>
      <c r="H25" s="173">
        <f t="shared" si="5"/>
        <v>3420000</v>
      </c>
      <c r="I25" s="173">
        <f t="shared" si="5"/>
        <v>3420000</v>
      </c>
      <c r="J25" s="173">
        <f t="shared" si="5"/>
        <v>3420000</v>
      </c>
      <c r="K25" s="173">
        <f t="shared" si="5"/>
        <v>3420000</v>
      </c>
      <c r="L25" s="173">
        <f t="shared" si="5"/>
        <v>3420000</v>
      </c>
      <c r="M25" s="173">
        <f t="shared" si="5"/>
        <v>3420000</v>
      </c>
    </row>
    <row r="26" spans="1:13" x14ac:dyDescent="0.25">
      <c r="A26" s="133"/>
      <c r="B26" s="100" t="s">
        <v>183</v>
      </c>
      <c r="C26" s="179"/>
      <c r="D26" s="196">
        <v>540000</v>
      </c>
      <c r="E26" s="196">
        <f>ROUND(D26*1.02,0)</f>
        <v>550800</v>
      </c>
      <c r="F26" s="196">
        <f t="shared" ref="F26:M26" si="6">ROUND(E26*1.02,0)</f>
        <v>561816</v>
      </c>
      <c r="G26" s="196">
        <f t="shared" si="6"/>
        <v>573052</v>
      </c>
      <c r="H26" s="196">
        <f t="shared" si="6"/>
        <v>584513</v>
      </c>
      <c r="I26" s="196">
        <f t="shared" si="6"/>
        <v>596203</v>
      </c>
      <c r="J26" s="196">
        <f t="shared" si="6"/>
        <v>608127</v>
      </c>
      <c r="K26" s="196">
        <f t="shared" si="6"/>
        <v>620290</v>
      </c>
      <c r="L26" s="196">
        <f t="shared" si="6"/>
        <v>632696</v>
      </c>
      <c r="M26" s="196">
        <f t="shared" si="6"/>
        <v>645350</v>
      </c>
    </row>
    <row r="27" spans="1:13" x14ac:dyDescent="0.25">
      <c r="A27" s="133"/>
      <c r="B27" s="100" t="s">
        <v>184</v>
      </c>
      <c r="C27" s="179"/>
      <c r="D27" s="197">
        <f>+D25-D26</f>
        <v>2880000</v>
      </c>
      <c r="E27" s="197">
        <f t="shared" ref="E27:M27" si="7">+E25-E26</f>
        <v>2869200</v>
      </c>
      <c r="F27" s="197">
        <f t="shared" si="7"/>
        <v>2858184</v>
      </c>
      <c r="G27" s="197">
        <f t="shared" si="7"/>
        <v>2846948</v>
      </c>
      <c r="H27" s="197">
        <f t="shared" si="7"/>
        <v>2835487</v>
      </c>
      <c r="I27" s="197">
        <f t="shared" si="7"/>
        <v>2823797</v>
      </c>
      <c r="J27" s="197">
        <f t="shared" si="7"/>
        <v>2811873</v>
      </c>
      <c r="K27" s="197">
        <f t="shared" si="7"/>
        <v>2799710</v>
      </c>
      <c r="L27" s="197">
        <f t="shared" si="7"/>
        <v>2787304</v>
      </c>
      <c r="M27" s="197">
        <f t="shared" si="7"/>
        <v>2774650</v>
      </c>
    </row>
    <row r="28" spans="1:13" ht="14.4" x14ac:dyDescent="0.3">
      <c r="A28" s="133"/>
      <c r="B28" s="100" t="s">
        <v>185</v>
      </c>
      <c r="C28" s="179"/>
      <c r="D28" s="198">
        <f>+D27*0.265</f>
        <v>763200</v>
      </c>
      <c r="E28" s="198">
        <f t="shared" ref="E28:M28" si="8">ROUND(+E27*0.265,0)</f>
        <v>760338</v>
      </c>
      <c r="F28" s="198">
        <f t="shared" si="8"/>
        <v>757419</v>
      </c>
      <c r="G28" s="198">
        <f t="shared" si="8"/>
        <v>754441</v>
      </c>
      <c r="H28" s="198">
        <f t="shared" si="8"/>
        <v>751404</v>
      </c>
      <c r="I28" s="198">
        <f t="shared" si="8"/>
        <v>748306</v>
      </c>
      <c r="J28" s="198">
        <f t="shared" si="8"/>
        <v>745146</v>
      </c>
      <c r="K28" s="198">
        <f t="shared" si="8"/>
        <v>741923</v>
      </c>
      <c r="L28" s="198">
        <f t="shared" si="8"/>
        <v>738636</v>
      </c>
      <c r="M28" s="198">
        <f t="shared" si="8"/>
        <v>735282</v>
      </c>
    </row>
    <row r="29" spans="1:13" x14ac:dyDescent="0.25">
      <c r="A29" s="133"/>
      <c r="B29" s="100" t="s">
        <v>186</v>
      </c>
      <c r="C29" s="179"/>
      <c r="D29" s="171">
        <f>+D27-D28</f>
        <v>2116800</v>
      </c>
      <c r="E29" s="171">
        <f t="shared" ref="E29:M29" si="9">+E27-E28</f>
        <v>2108862</v>
      </c>
      <c r="F29" s="171">
        <f t="shared" si="9"/>
        <v>2100765</v>
      </c>
      <c r="G29" s="171">
        <f t="shared" si="9"/>
        <v>2092507</v>
      </c>
      <c r="H29" s="171">
        <f t="shared" si="9"/>
        <v>2084083</v>
      </c>
      <c r="I29" s="171">
        <f t="shared" si="9"/>
        <v>2075491</v>
      </c>
      <c r="J29" s="171">
        <f t="shared" si="9"/>
        <v>2066727</v>
      </c>
      <c r="K29" s="171">
        <f t="shared" si="9"/>
        <v>2057787</v>
      </c>
      <c r="L29" s="171">
        <f t="shared" si="9"/>
        <v>2048668</v>
      </c>
      <c r="M29" s="171">
        <f t="shared" si="9"/>
        <v>2039368</v>
      </c>
    </row>
    <row r="30" spans="1:13" x14ac:dyDescent="0.25">
      <c r="A30" s="133"/>
      <c r="B30" s="100"/>
      <c r="C30" s="179"/>
      <c r="D30" s="172"/>
      <c r="E30" s="172"/>
      <c r="F30" s="100"/>
      <c r="G30" s="100"/>
      <c r="H30" s="100"/>
    </row>
    <row r="31" spans="1:13" x14ac:dyDescent="0.25">
      <c r="A31" s="133"/>
      <c r="B31" s="100" t="s">
        <v>187</v>
      </c>
      <c r="C31" s="231">
        <f>NPV(0.15,(D29:M29))</f>
        <v>10482546.00988513</v>
      </c>
      <c r="D31" s="118"/>
      <c r="E31" s="118"/>
      <c r="F31" s="118"/>
      <c r="G31" s="118"/>
      <c r="H31" s="118"/>
      <c r="I31" s="118"/>
      <c r="J31" s="118"/>
      <c r="K31" s="118"/>
      <c r="L31" s="118"/>
      <c r="M31" s="118"/>
    </row>
    <row r="32" spans="1:13" x14ac:dyDescent="0.25">
      <c r="A32" s="133"/>
      <c r="B32" s="100"/>
      <c r="C32" s="118"/>
      <c r="D32" s="172"/>
      <c r="E32" s="172"/>
      <c r="F32" s="100"/>
      <c r="G32" s="100"/>
      <c r="H32" s="100"/>
    </row>
    <row r="33" spans="1:13" x14ac:dyDescent="0.25">
      <c r="A33" s="133"/>
      <c r="B33" s="170" t="s">
        <v>188</v>
      </c>
      <c r="C33" s="101">
        <v>-10000000</v>
      </c>
      <c r="D33" s="172"/>
      <c r="E33" s="172"/>
      <c r="F33" s="100"/>
      <c r="G33" s="100"/>
      <c r="H33" s="100"/>
    </row>
    <row r="34" spans="1:13" x14ac:dyDescent="0.25">
      <c r="A34" s="133"/>
      <c r="B34" s="170"/>
      <c r="C34" s="180"/>
      <c r="D34" s="172"/>
      <c r="E34" s="172"/>
      <c r="F34" s="100"/>
      <c r="G34" s="100"/>
      <c r="H34" s="100"/>
    </row>
    <row r="35" spans="1:13" x14ac:dyDescent="0.25">
      <c r="A35" s="133"/>
      <c r="B35" s="170" t="s">
        <v>189</v>
      </c>
      <c r="C35" s="196">
        <f>-C33*0.265</f>
        <v>2650000</v>
      </c>
      <c r="D35" s="172"/>
      <c r="E35" s="172"/>
      <c r="F35" s="100"/>
      <c r="G35" s="100"/>
      <c r="H35" s="100"/>
    </row>
    <row r="36" spans="1:13" x14ac:dyDescent="0.25">
      <c r="A36" s="133"/>
      <c r="B36" s="100"/>
      <c r="C36" s="180"/>
      <c r="D36" s="172"/>
      <c r="E36" s="172"/>
      <c r="F36" s="100"/>
      <c r="G36" s="100"/>
      <c r="H36" s="100"/>
    </row>
    <row r="37" spans="1:13" ht="14.4" thickBot="1" x14ac:dyDescent="0.3">
      <c r="A37" s="133"/>
      <c r="B37" s="170" t="s">
        <v>192</v>
      </c>
      <c r="C37" s="199">
        <f>SUM(C31:C35)</f>
        <v>3132546.0098851305</v>
      </c>
      <c r="D37" s="172"/>
      <c r="E37" s="172"/>
      <c r="F37" s="100"/>
      <c r="G37" s="100"/>
      <c r="H37" s="100"/>
    </row>
    <row r="38" spans="1:13" ht="14.4" thickTop="1" x14ac:dyDescent="0.25">
      <c r="A38" s="133"/>
      <c r="B38" s="100"/>
      <c r="C38" s="100"/>
      <c r="D38" s="100"/>
      <c r="E38" s="100"/>
      <c r="F38" s="100"/>
      <c r="G38" s="100"/>
      <c r="H38" s="100"/>
    </row>
    <row r="39" spans="1:13" x14ac:dyDescent="0.25">
      <c r="A39" s="133"/>
      <c r="B39" s="100"/>
      <c r="C39" s="100"/>
      <c r="D39" s="100"/>
      <c r="E39" s="100"/>
      <c r="F39" s="100"/>
      <c r="G39" s="100"/>
      <c r="H39" s="100"/>
    </row>
    <row r="40" spans="1:13" x14ac:dyDescent="0.25">
      <c r="A40" s="133"/>
      <c r="B40" s="98"/>
      <c r="C40" s="117"/>
      <c r="D40" s="117"/>
      <c r="E40" s="117"/>
      <c r="F40" s="117"/>
      <c r="G40" s="117"/>
      <c r="H40" s="117"/>
      <c r="I40" s="98"/>
      <c r="J40" s="98"/>
      <c r="K40" s="98"/>
      <c r="L40" s="98"/>
      <c r="M40" s="98"/>
    </row>
    <row r="41" spans="1:13" x14ac:dyDescent="0.25">
      <c r="A41" s="133"/>
      <c r="B41" s="117"/>
      <c r="C41" s="117"/>
      <c r="D41" s="117"/>
      <c r="E41" s="117"/>
      <c r="F41" s="117"/>
      <c r="G41" s="117"/>
      <c r="H41" s="117"/>
      <c r="I41" s="98"/>
      <c r="J41" s="98"/>
      <c r="K41" s="98"/>
      <c r="L41" s="98"/>
      <c r="M41" s="98"/>
    </row>
    <row r="42" spans="1:13" ht="14.1" customHeight="1" x14ac:dyDescent="0.25">
      <c r="A42" s="133"/>
      <c r="B42" s="284"/>
      <c r="C42" s="284"/>
      <c r="D42" s="284"/>
      <c r="E42" s="284"/>
      <c r="F42" s="284"/>
      <c r="G42" s="284"/>
      <c r="H42" s="284"/>
      <c r="I42" s="284"/>
      <c r="J42" s="284"/>
      <c r="K42" s="284"/>
      <c r="L42" s="284"/>
      <c r="M42" s="284"/>
    </row>
    <row r="43" spans="1:13" x14ac:dyDescent="0.25">
      <c r="A43" s="133"/>
      <c r="B43" s="117"/>
      <c r="C43" s="119"/>
      <c r="D43" s="119"/>
      <c r="E43" s="119"/>
      <c r="F43" s="117"/>
      <c r="G43" s="117"/>
      <c r="H43" s="117"/>
      <c r="I43" s="98"/>
      <c r="J43" s="98"/>
      <c r="K43" s="98"/>
      <c r="L43" s="98"/>
      <c r="M43" s="98"/>
    </row>
    <row r="44" spans="1:13" x14ac:dyDescent="0.25">
      <c r="A44" s="133"/>
      <c r="B44" s="117"/>
      <c r="C44" s="119"/>
      <c r="D44" s="119"/>
      <c r="E44" s="119"/>
      <c r="F44" s="117"/>
      <c r="G44" s="117"/>
      <c r="H44" s="117"/>
      <c r="I44" s="98"/>
      <c r="J44" s="98"/>
      <c r="K44" s="98"/>
      <c r="L44" s="98"/>
      <c r="M44" s="98"/>
    </row>
    <row r="45" spans="1:13" x14ac:dyDescent="0.25">
      <c r="B45" s="98"/>
      <c r="C45" s="75"/>
      <c r="D45" s="75"/>
      <c r="E45" s="75"/>
      <c r="F45" s="75"/>
      <c r="G45" s="75"/>
      <c r="H45" s="75"/>
      <c r="I45" s="75"/>
      <c r="J45" s="75"/>
      <c r="K45" s="75"/>
      <c r="L45" s="75"/>
      <c r="M45" s="75"/>
    </row>
    <row r="46" spans="1:13" x14ac:dyDescent="0.25">
      <c r="B46" s="69"/>
    </row>
    <row r="47" spans="1:13" x14ac:dyDescent="0.25">
      <c r="C47" s="171"/>
      <c r="D47" s="171"/>
      <c r="E47" s="171"/>
      <c r="F47" s="171"/>
      <c r="G47" s="171"/>
      <c r="H47" s="171"/>
      <c r="I47" s="171"/>
      <c r="J47" s="171"/>
      <c r="K47" s="171"/>
      <c r="L47" s="171"/>
      <c r="M47" s="171"/>
    </row>
    <row r="48" spans="1:13" x14ac:dyDescent="0.25">
      <c r="C48" s="171"/>
      <c r="D48" s="171"/>
      <c r="E48" s="171"/>
      <c r="F48" s="171"/>
      <c r="G48" s="171"/>
      <c r="H48" s="171"/>
      <c r="I48" s="171"/>
      <c r="J48" s="171"/>
      <c r="K48" s="171"/>
      <c r="L48" s="171"/>
      <c r="M48" s="171"/>
    </row>
    <row r="49" spans="2:13" x14ac:dyDescent="0.25">
      <c r="C49" s="171"/>
      <c r="D49" s="171"/>
      <c r="E49" s="171"/>
      <c r="F49" s="171"/>
      <c r="G49" s="171"/>
      <c r="H49" s="171"/>
      <c r="I49" s="171"/>
      <c r="J49" s="171"/>
      <c r="K49" s="171"/>
      <c r="L49" s="171"/>
      <c r="M49" s="171"/>
    </row>
    <row r="50" spans="2:13" x14ac:dyDescent="0.25">
      <c r="C50" s="171"/>
      <c r="D50" s="171"/>
      <c r="E50" s="171"/>
      <c r="F50" s="171"/>
      <c r="G50" s="171"/>
      <c r="H50" s="171"/>
      <c r="I50" s="171"/>
      <c r="J50" s="171"/>
      <c r="K50" s="171"/>
      <c r="L50" s="171"/>
      <c r="M50" s="171"/>
    </row>
    <row r="51" spans="2:13" x14ac:dyDescent="0.25">
      <c r="C51" s="171"/>
      <c r="D51" s="171"/>
      <c r="E51" s="171"/>
      <c r="F51" s="171"/>
      <c r="G51" s="171"/>
      <c r="H51" s="171"/>
      <c r="I51" s="171"/>
      <c r="J51" s="171"/>
      <c r="K51" s="171"/>
      <c r="L51" s="171"/>
      <c r="M51" s="171"/>
    </row>
    <row r="52" spans="2:13" x14ac:dyDescent="0.25">
      <c r="C52" s="173"/>
      <c r="D52" s="173"/>
      <c r="E52" s="173"/>
      <c r="F52" s="173"/>
      <c r="G52" s="173"/>
      <c r="H52" s="173"/>
      <c r="I52" s="173"/>
      <c r="J52" s="173"/>
      <c r="K52" s="173"/>
      <c r="L52" s="173"/>
      <c r="M52" s="173"/>
    </row>
    <row r="53" spans="2:13" x14ac:dyDescent="0.25">
      <c r="C53" s="173"/>
      <c r="D53" s="173"/>
      <c r="E53" s="173"/>
      <c r="F53" s="173"/>
      <c r="G53" s="173"/>
      <c r="H53" s="173"/>
      <c r="I53" s="173"/>
      <c r="J53" s="173"/>
      <c r="K53" s="173"/>
      <c r="L53" s="173"/>
      <c r="M53" s="173"/>
    </row>
    <row r="54" spans="2:13" x14ac:dyDescent="0.25">
      <c r="C54" s="173"/>
      <c r="D54" s="173"/>
      <c r="E54" s="173"/>
      <c r="F54" s="173"/>
      <c r="G54" s="173"/>
      <c r="H54" s="173"/>
      <c r="I54" s="173"/>
      <c r="J54" s="173"/>
      <c r="K54" s="173"/>
      <c r="L54" s="173"/>
      <c r="M54" s="173"/>
    </row>
    <row r="55" spans="2:13" x14ac:dyDescent="0.25">
      <c r="B55" s="69"/>
      <c r="C55" s="173"/>
      <c r="D55" s="173"/>
      <c r="E55" s="173"/>
      <c r="F55" s="173"/>
      <c r="G55" s="173"/>
      <c r="H55" s="173"/>
      <c r="I55" s="173"/>
      <c r="J55" s="173"/>
      <c r="K55" s="173"/>
      <c r="L55" s="173"/>
      <c r="M55" s="173"/>
    </row>
    <row r="56" spans="2:13" x14ac:dyDescent="0.25">
      <c r="C56" s="171"/>
      <c r="D56" s="171"/>
      <c r="E56" s="171"/>
      <c r="F56" s="171"/>
      <c r="G56" s="171"/>
      <c r="H56" s="171"/>
      <c r="I56" s="171"/>
      <c r="J56" s="171"/>
      <c r="K56" s="171"/>
      <c r="L56" s="171"/>
      <c r="M56" s="171"/>
    </row>
    <row r="57" spans="2:13" x14ac:dyDescent="0.25">
      <c r="C57" s="171"/>
      <c r="D57" s="171"/>
      <c r="E57" s="171"/>
      <c r="F57" s="171"/>
      <c r="G57" s="171"/>
      <c r="H57" s="171"/>
      <c r="I57" s="171"/>
      <c r="J57" s="171"/>
      <c r="K57" s="171"/>
      <c r="L57" s="171"/>
      <c r="M57" s="171"/>
    </row>
    <row r="58" spans="2:13" x14ac:dyDescent="0.25">
      <c r="C58" s="171"/>
      <c r="D58" s="171"/>
      <c r="E58" s="171"/>
      <c r="F58" s="171"/>
      <c r="G58" s="171"/>
      <c r="H58" s="171"/>
      <c r="I58" s="171"/>
      <c r="J58" s="171"/>
      <c r="K58" s="171"/>
      <c r="L58" s="171"/>
      <c r="M58" s="171"/>
    </row>
    <row r="59" spans="2:13" x14ac:dyDescent="0.25">
      <c r="C59" s="171"/>
      <c r="D59" s="171"/>
      <c r="E59" s="171"/>
      <c r="F59" s="171"/>
      <c r="G59" s="171"/>
      <c r="H59" s="171"/>
      <c r="I59" s="171"/>
      <c r="J59" s="171"/>
      <c r="K59" s="171"/>
      <c r="L59" s="171"/>
      <c r="M59" s="171"/>
    </row>
    <row r="60" spans="2:13" x14ac:dyDescent="0.25">
      <c r="C60" s="171"/>
      <c r="D60" s="171"/>
      <c r="E60" s="171"/>
      <c r="F60" s="171"/>
      <c r="G60" s="171"/>
      <c r="H60" s="171"/>
      <c r="I60" s="171"/>
      <c r="J60" s="171"/>
      <c r="K60" s="171"/>
      <c r="L60" s="171"/>
      <c r="M60" s="171"/>
    </row>
    <row r="61" spans="2:13" x14ac:dyDescent="0.25">
      <c r="C61" s="173"/>
      <c r="D61" s="173"/>
      <c r="E61" s="173"/>
      <c r="F61" s="173"/>
      <c r="G61" s="173"/>
      <c r="H61" s="173"/>
      <c r="I61" s="173"/>
      <c r="J61" s="173"/>
      <c r="K61" s="173"/>
      <c r="L61" s="173"/>
      <c r="M61" s="173"/>
    </row>
    <row r="65" s="70" customFormat="1" x14ac:dyDescent="0.25"/>
    <row r="66" s="70" customFormat="1" x14ac:dyDescent="0.25"/>
  </sheetData>
  <mergeCells count="1">
    <mergeCell ref="B42:M4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6371A-BDAB-4F23-8664-97BC849CDD6E}">
  <sheetPr>
    <tabColor theme="7" tint="0.39997558519241921"/>
  </sheetPr>
  <dimension ref="A1:N42"/>
  <sheetViews>
    <sheetView topLeftCell="A20" workbookViewId="0">
      <selection activeCell="G7" sqref="G7"/>
    </sheetView>
  </sheetViews>
  <sheetFormatPr baseColWidth="10" defaultColWidth="8.77734375" defaultRowHeight="13.8" x14ac:dyDescent="0.25"/>
  <cols>
    <col min="1" max="1" width="31.21875" style="68" customWidth="1"/>
    <col min="2" max="2" width="15.44140625" style="68" customWidth="1"/>
    <col min="3" max="3" width="20" style="68" customWidth="1"/>
    <col min="4" max="4" width="18" style="68" bestFit="1" customWidth="1"/>
    <col min="5" max="5" width="16.44140625" style="68" bestFit="1" customWidth="1"/>
    <col min="6" max="6" width="19.44140625" style="68" customWidth="1"/>
    <col min="7" max="7" width="18.5546875" style="68" customWidth="1"/>
    <col min="8" max="8" width="19.5546875" style="68" customWidth="1"/>
    <col min="9" max="9" width="19.77734375" style="68" customWidth="1"/>
    <col min="10" max="10" width="13.44140625" style="68" customWidth="1"/>
    <col min="11" max="11" width="29.44140625" style="68" customWidth="1"/>
    <col min="12" max="12" width="15.77734375" style="68" customWidth="1"/>
    <col min="13" max="13" width="15" style="68" customWidth="1"/>
    <col min="14" max="14" width="6.44140625" style="68" customWidth="1"/>
    <col min="15" max="16384" width="8.77734375" style="68"/>
  </cols>
  <sheetData>
    <row r="1" spans="1:11" s="70" customFormat="1" x14ac:dyDescent="0.25">
      <c r="A1" s="287" t="s">
        <v>72</v>
      </c>
      <c r="B1" s="287"/>
      <c r="C1" s="287"/>
      <c r="D1" s="287"/>
      <c r="E1" s="287"/>
      <c r="F1" s="287"/>
      <c r="G1" s="69"/>
      <c r="H1" s="69"/>
    </row>
    <row r="2" spans="1:11" s="70" customFormat="1" x14ac:dyDescent="0.25">
      <c r="A2" s="123"/>
      <c r="B2" s="123"/>
      <c r="C2" s="123"/>
      <c r="D2" s="123"/>
      <c r="E2" s="123"/>
      <c r="F2" s="123"/>
      <c r="G2" s="69"/>
      <c r="H2" s="69"/>
    </row>
    <row r="3" spans="1:11" x14ac:dyDescent="0.25">
      <c r="A3" s="127" t="s">
        <v>73</v>
      </c>
    </row>
    <row r="4" spans="1:11" x14ac:dyDescent="0.25">
      <c r="A4" s="128"/>
    </row>
    <row r="5" spans="1:11" x14ac:dyDescent="0.25">
      <c r="A5" s="129"/>
    </row>
    <row r="6" spans="1:11" ht="27.6" x14ac:dyDescent="0.25">
      <c r="B6" s="130" t="s">
        <v>74</v>
      </c>
      <c r="C6" s="131" t="s">
        <v>75</v>
      </c>
      <c r="D6" s="131" t="s">
        <v>76</v>
      </c>
      <c r="E6" s="131" t="s">
        <v>77</v>
      </c>
      <c r="K6" s="99"/>
    </row>
    <row r="7" spans="1:11" x14ac:dyDescent="0.25">
      <c r="A7" s="132" t="s">
        <v>78</v>
      </c>
      <c r="B7" s="133"/>
      <c r="C7" s="92">
        <v>5000</v>
      </c>
      <c r="D7" s="92">
        <v>0</v>
      </c>
      <c r="E7" s="92">
        <f>SUM(C7:D7)</f>
        <v>5000</v>
      </c>
      <c r="K7" s="99"/>
    </row>
    <row r="8" spans="1:11" x14ac:dyDescent="0.25">
      <c r="A8" s="132" t="s">
        <v>79</v>
      </c>
      <c r="B8" s="134"/>
      <c r="C8" s="76">
        <v>1095000</v>
      </c>
      <c r="D8" s="76">
        <v>0</v>
      </c>
      <c r="E8" s="76">
        <f>SUM(C8:D8)</f>
        <v>1095000</v>
      </c>
      <c r="K8" s="99"/>
    </row>
    <row r="9" spans="1:11" x14ac:dyDescent="0.25">
      <c r="A9" s="132" t="s">
        <v>80</v>
      </c>
      <c r="B9" s="134"/>
      <c r="C9" s="76">
        <v>1050000</v>
      </c>
      <c r="D9" s="76">
        <v>150000</v>
      </c>
      <c r="E9" s="76">
        <f>SUM(C9:D9)</f>
        <v>1200000</v>
      </c>
      <c r="K9" s="99"/>
    </row>
    <row r="10" spans="1:11" x14ac:dyDescent="0.25">
      <c r="A10" s="132" t="s">
        <v>81</v>
      </c>
      <c r="B10" s="134"/>
      <c r="C10" s="76">
        <v>60000</v>
      </c>
      <c r="D10" s="76">
        <v>0</v>
      </c>
      <c r="E10" s="76">
        <f>SUM(C10:D10)</f>
        <v>60000</v>
      </c>
      <c r="K10" s="99"/>
    </row>
    <row r="11" spans="1:11" x14ac:dyDescent="0.25">
      <c r="A11" s="132" t="s">
        <v>82</v>
      </c>
      <c r="B11" s="133" t="s">
        <v>83</v>
      </c>
      <c r="C11" s="81">
        <v>0</v>
      </c>
      <c r="D11" s="81">
        <f>-M37</f>
        <v>-82080</v>
      </c>
      <c r="E11" s="81">
        <f>SUM(C11:D11)</f>
        <v>-82080</v>
      </c>
      <c r="K11" s="99"/>
    </row>
    <row r="12" spans="1:11" x14ac:dyDescent="0.25">
      <c r="A12" s="132"/>
      <c r="B12" s="134"/>
      <c r="C12" s="76">
        <f>SUM(C7:C11)</f>
        <v>2210000</v>
      </c>
      <c r="D12" s="76">
        <f>SUM(D7:D11)</f>
        <v>67920</v>
      </c>
      <c r="E12" s="76">
        <f>SUM(E7:E11)</f>
        <v>2277920</v>
      </c>
      <c r="K12" s="99"/>
    </row>
    <row r="13" spans="1:11" x14ac:dyDescent="0.25">
      <c r="A13" s="132"/>
      <c r="B13" s="134"/>
      <c r="C13" s="135"/>
      <c r="D13" s="135"/>
      <c r="E13" s="135"/>
      <c r="K13" s="99"/>
    </row>
    <row r="14" spans="1:11" x14ac:dyDescent="0.25">
      <c r="A14" s="132" t="s">
        <v>84</v>
      </c>
      <c r="B14" s="136"/>
      <c r="C14" s="76">
        <v>6448000</v>
      </c>
      <c r="D14" s="76">
        <v>402000</v>
      </c>
      <c r="E14" s="76">
        <f>SUM(C14:D14)</f>
        <v>6850000</v>
      </c>
      <c r="K14" s="99"/>
    </row>
    <row r="15" spans="1:11" ht="14.4" x14ac:dyDescent="0.3">
      <c r="A15" s="132" t="s">
        <v>85</v>
      </c>
      <c r="B15" s="136"/>
      <c r="C15" s="76">
        <v>0</v>
      </c>
      <c r="D15" s="76">
        <v>800000</v>
      </c>
      <c r="E15" s="76">
        <f>SUM(C15:D15)</f>
        <v>800000</v>
      </c>
      <c r="F15" s="120" t="s">
        <v>86</v>
      </c>
      <c r="K15" s="99"/>
    </row>
    <row r="16" spans="1:11" x14ac:dyDescent="0.25">
      <c r="A16" s="132" t="s">
        <v>82</v>
      </c>
      <c r="B16" s="86" t="s">
        <v>83</v>
      </c>
      <c r="C16" s="76">
        <v>0</v>
      </c>
      <c r="D16" s="76">
        <f>-M35</f>
        <v>-500115</v>
      </c>
      <c r="E16" s="76">
        <f>SUM(C16:D16)</f>
        <v>-500115</v>
      </c>
      <c r="K16" s="99"/>
    </row>
    <row r="17" spans="1:14" ht="14.7" customHeight="1" x14ac:dyDescent="0.25">
      <c r="A17" s="132"/>
      <c r="B17" s="86"/>
      <c r="C17" s="80">
        <f>SUM(C12:C16)</f>
        <v>8658000</v>
      </c>
      <c r="D17" s="80">
        <f t="shared" ref="D17:E17" si="0">SUM(D12:D16)</f>
        <v>769805</v>
      </c>
      <c r="E17" s="80">
        <f t="shared" si="0"/>
        <v>9427805</v>
      </c>
      <c r="F17" s="286" t="s">
        <v>87</v>
      </c>
      <c r="G17" s="286"/>
      <c r="H17" s="286"/>
      <c r="I17" s="286"/>
      <c r="J17" s="286"/>
      <c r="K17" s="286"/>
    </row>
    <row r="18" spans="1:14" x14ac:dyDescent="0.25">
      <c r="A18" s="132"/>
      <c r="C18" s="135"/>
      <c r="D18" s="135"/>
      <c r="E18" s="135"/>
      <c r="F18" s="286"/>
      <c r="G18" s="286"/>
      <c r="H18" s="286"/>
      <c r="I18" s="286"/>
      <c r="J18" s="286"/>
      <c r="K18" s="286"/>
    </row>
    <row r="19" spans="1:14" x14ac:dyDescent="0.25">
      <c r="A19" s="132" t="s">
        <v>88</v>
      </c>
      <c r="B19" s="99"/>
      <c r="C19" s="76">
        <v>-241000</v>
      </c>
      <c r="D19" s="76">
        <v>0</v>
      </c>
      <c r="E19" s="76">
        <f>SUM(C19:D19)</f>
        <v>-241000</v>
      </c>
      <c r="G19" s="100"/>
    </row>
    <row r="20" spans="1:14" x14ac:dyDescent="0.25">
      <c r="A20" s="132" t="s">
        <v>89</v>
      </c>
      <c r="B20" s="99"/>
      <c r="C20" s="81">
        <v>-70000</v>
      </c>
      <c r="D20" s="81">
        <v>0</v>
      </c>
      <c r="E20" s="76">
        <f>SUM(C20:D20)</f>
        <v>-70000</v>
      </c>
    </row>
    <row r="21" spans="1:14" x14ac:dyDescent="0.25">
      <c r="A21" s="132" t="s">
        <v>90</v>
      </c>
      <c r="B21" s="137"/>
      <c r="C21" s="82">
        <f>SUM(C17:C20)</f>
        <v>8347000</v>
      </c>
      <c r="D21" s="82">
        <f>SUM(D17:D20)</f>
        <v>769805</v>
      </c>
      <c r="E21" s="82">
        <f>SUM(E17:E20)</f>
        <v>9116805</v>
      </c>
    </row>
    <row r="22" spans="1:14" x14ac:dyDescent="0.25">
      <c r="A22" s="132"/>
      <c r="B22" s="137"/>
      <c r="C22" s="138"/>
      <c r="D22" s="138"/>
      <c r="E22" s="138"/>
    </row>
    <row r="23" spans="1:14" x14ac:dyDescent="0.25">
      <c r="A23" s="132"/>
      <c r="B23" s="137"/>
      <c r="C23" s="138"/>
      <c r="D23" s="138"/>
      <c r="E23" s="138"/>
    </row>
    <row r="24" spans="1:14" x14ac:dyDescent="0.25">
      <c r="A24" s="132"/>
      <c r="B24" s="137"/>
      <c r="C24" s="138"/>
      <c r="D24" s="138"/>
      <c r="E24" s="138"/>
    </row>
    <row r="26" spans="1:14" x14ac:dyDescent="0.25">
      <c r="A26" s="288" t="s">
        <v>91</v>
      </c>
      <c r="B26" s="288"/>
      <c r="C26" s="288"/>
      <c r="D26" s="288"/>
      <c r="E26" s="288"/>
      <c r="F26" s="288"/>
      <c r="G26" s="288"/>
      <c r="H26" s="288"/>
      <c r="I26" s="288"/>
      <c r="J26" s="288"/>
      <c r="K26" s="288"/>
      <c r="L26" s="288"/>
      <c r="M26" s="288"/>
      <c r="N26" s="288"/>
    </row>
    <row r="28" spans="1:14" ht="41.4" x14ac:dyDescent="0.25">
      <c r="A28" s="99"/>
      <c r="B28" s="85" t="s">
        <v>92</v>
      </c>
      <c r="C28" s="85" t="s">
        <v>93</v>
      </c>
      <c r="D28" s="85" t="s">
        <v>94</v>
      </c>
      <c r="E28" s="85" t="s">
        <v>95</v>
      </c>
      <c r="F28" s="85" t="s">
        <v>96</v>
      </c>
      <c r="G28" s="85" t="s">
        <v>97</v>
      </c>
      <c r="H28" s="84" t="s">
        <v>98</v>
      </c>
      <c r="I28" s="85" t="s">
        <v>99</v>
      </c>
      <c r="J28" s="85" t="s">
        <v>100</v>
      </c>
      <c r="K28" s="84" t="s">
        <v>101</v>
      </c>
      <c r="L28" s="85" t="s">
        <v>102</v>
      </c>
      <c r="M28" s="85" t="s">
        <v>103</v>
      </c>
    </row>
    <row r="29" spans="1:14" x14ac:dyDescent="0.25">
      <c r="A29" s="99"/>
      <c r="B29" s="139" t="s">
        <v>104</v>
      </c>
      <c r="C29" s="139" t="s">
        <v>105</v>
      </c>
      <c r="D29" s="139" t="s">
        <v>106</v>
      </c>
      <c r="E29" s="139" t="s">
        <v>107</v>
      </c>
      <c r="F29" s="139" t="s">
        <v>108</v>
      </c>
      <c r="G29" s="139" t="s">
        <v>109</v>
      </c>
      <c r="H29" s="140" t="s">
        <v>110</v>
      </c>
      <c r="I29" s="139" t="s">
        <v>111</v>
      </c>
      <c r="J29" s="139" t="s">
        <v>112</v>
      </c>
      <c r="K29" s="139" t="s">
        <v>113</v>
      </c>
      <c r="L29" s="139" t="s">
        <v>114</v>
      </c>
      <c r="M29" s="139" t="s">
        <v>115</v>
      </c>
    </row>
    <row r="30" spans="1:14" ht="14.4" x14ac:dyDescent="0.25">
      <c r="A30" s="99"/>
      <c r="B30" s="134"/>
      <c r="C30" s="134"/>
      <c r="D30" s="134"/>
      <c r="E30" s="134"/>
      <c r="F30" s="134"/>
      <c r="G30" s="134"/>
      <c r="H30" s="134"/>
      <c r="I30" s="134"/>
      <c r="J30" s="141"/>
      <c r="K30" s="141"/>
      <c r="L30" s="141"/>
      <c r="M30" s="134"/>
    </row>
    <row r="31" spans="1:14" ht="14.4" x14ac:dyDescent="0.25">
      <c r="A31" s="132" t="s">
        <v>116</v>
      </c>
      <c r="B31" s="134"/>
      <c r="C31" s="134"/>
      <c r="D31" s="134"/>
      <c r="E31" s="134"/>
      <c r="F31" s="134"/>
      <c r="G31" s="134"/>
      <c r="H31" s="134"/>
      <c r="I31" s="134"/>
      <c r="J31" s="141"/>
      <c r="K31" s="141"/>
      <c r="L31" s="141"/>
      <c r="M31" s="134"/>
    </row>
    <row r="32" spans="1:14" ht="14.7" customHeight="1" x14ac:dyDescent="0.25">
      <c r="A32" s="142" t="s">
        <v>117</v>
      </c>
      <c r="B32" s="134">
        <v>580000</v>
      </c>
      <c r="C32" s="134">
        <f>0.05*B32</f>
        <v>29000</v>
      </c>
      <c r="D32" s="134">
        <f>B32-C32</f>
        <v>551000</v>
      </c>
      <c r="E32" s="134">
        <v>310000</v>
      </c>
      <c r="F32" s="134">
        <f>D32-E32</f>
        <v>241000</v>
      </c>
      <c r="G32" s="134">
        <f>0.5*F32</f>
        <v>120500</v>
      </c>
      <c r="H32" s="134">
        <f>G32*0.24</f>
        <v>28920</v>
      </c>
      <c r="I32" s="285" t="s">
        <v>118</v>
      </c>
      <c r="J32" s="285"/>
      <c r="K32" s="285"/>
      <c r="L32" s="285"/>
      <c r="M32" s="134">
        <f>C32+H32</f>
        <v>57920</v>
      </c>
    </row>
    <row r="33" spans="1:14" x14ac:dyDescent="0.25">
      <c r="A33" s="142" t="s">
        <v>119</v>
      </c>
      <c r="B33" s="134">
        <v>1710000</v>
      </c>
      <c r="C33" s="134">
        <f>0.05*B33</f>
        <v>85500</v>
      </c>
      <c r="D33" s="134">
        <f>B33-C33</f>
        <v>1624500</v>
      </c>
      <c r="E33" s="134">
        <v>1230000</v>
      </c>
      <c r="F33" s="134">
        <f>D33-E33</f>
        <v>394500</v>
      </c>
      <c r="G33" s="134">
        <f>0.5*F33</f>
        <v>197250</v>
      </c>
      <c r="H33" s="134">
        <f>G33*0.24</f>
        <v>47340</v>
      </c>
      <c r="I33" s="134">
        <f>MIN(E33,D33)</f>
        <v>1230000</v>
      </c>
      <c r="J33" s="134">
        <v>1195000</v>
      </c>
      <c r="K33" s="134">
        <f>I33-J33</f>
        <v>35000</v>
      </c>
      <c r="L33" s="134">
        <f>K33*0.265</f>
        <v>9275</v>
      </c>
      <c r="M33" s="134">
        <f>C33+H33+L33</f>
        <v>142115</v>
      </c>
    </row>
    <row r="34" spans="1:14" ht="24.75" customHeight="1" x14ac:dyDescent="0.25">
      <c r="A34" s="142" t="s">
        <v>120</v>
      </c>
      <c r="B34" s="134">
        <v>4560000</v>
      </c>
      <c r="C34" s="134">
        <f>0.05*B34</f>
        <v>228000</v>
      </c>
      <c r="D34" s="134">
        <f>B34-C34</f>
        <v>4332000</v>
      </c>
      <c r="E34" s="143">
        <v>6240000</v>
      </c>
      <c r="F34" s="285" t="s">
        <v>121</v>
      </c>
      <c r="G34" s="285"/>
      <c r="H34" s="285"/>
      <c r="I34" s="134">
        <f>MIN(F34,D34)</f>
        <v>4332000</v>
      </c>
      <c r="J34" s="134">
        <v>4060000</v>
      </c>
      <c r="K34" s="144">
        <f>I34-J34</f>
        <v>272000</v>
      </c>
      <c r="L34" s="144">
        <f>K34*0.265</f>
        <v>72080</v>
      </c>
      <c r="M34" s="139">
        <f>C34+H34+L34</f>
        <v>300080</v>
      </c>
    </row>
    <row r="35" spans="1:14" ht="14.4" thickBot="1" x14ac:dyDescent="0.3">
      <c r="B35" s="145">
        <f>SUM(B32:B34)</f>
        <v>6850000</v>
      </c>
      <c r="C35" s="146"/>
      <c r="D35" s="146"/>
      <c r="E35" s="146"/>
      <c r="F35" s="146"/>
      <c r="G35" s="146"/>
      <c r="H35" s="146"/>
      <c r="J35" s="147">
        <f>SUM(J33:J34)</f>
        <v>5255000</v>
      </c>
      <c r="L35" s="148" t="s">
        <v>122</v>
      </c>
      <c r="M35" s="134">
        <f>SUM(M32:M34)</f>
        <v>500115</v>
      </c>
      <c r="N35" s="68" t="s">
        <v>123</v>
      </c>
    </row>
    <row r="36" spans="1:14" x14ac:dyDescent="0.25">
      <c r="B36" s="146"/>
      <c r="C36" s="146"/>
      <c r="D36" s="146"/>
      <c r="E36" s="146"/>
      <c r="F36" s="146"/>
      <c r="G36" s="146"/>
      <c r="H36" s="146"/>
      <c r="L36" s="148"/>
      <c r="M36" s="149"/>
    </row>
    <row r="37" spans="1:14" ht="14.25" customHeight="1" x14ac:dyDescent="0.25">
      <c r="A37" s="88" t="s">
        <v>124</v>
      </c>
      <c r="B37" s="124">
        <v>1200000</v>
      </c>
      <c r="C37" s="85">
        <f>0.05*B37</f>
        <v>60000</v>
      </c>
      <c r="D37" s="85">
        <f>B37-C37</f>
        <v>1140000</v>
      </c>
      <c r="E37" s="85">
        <v>956000</v>
      </c>
      <c r="F37" s="85">
        <f>D37-E37</f>
        <v>184000</v>
      </c>
      <c r="G37" s="85">
        <f>0.5*F37</f>
        <v>92000</v>
      </c>
      <c r="H37" s="134">
        <f>G37*0.24</f>
        <v>22080</v>
      </c>
      <c r="I37" s="285" t="s">
        <v>125</v>
      </c>
      <c r="J37" s="285"/>
      <c r="K37" s="285"/>
      <c r="L37" s="285"/>
      <c r="M37" s="124">
        <f>H37+C37</f>
        <v>82080</v>
      </c>
      <c r="N37" s="68" t="s">
        <v>126</v>
      </c>
    </row>
    <row r="38" spans="1:14" x14ac:dyDescent="0.25">
      <c r="B38" s="146"/>
      <c r="C38" s="146"/>
      <c r="D38" s="146"/>
      <c r="E38" s="146"/>
      <c r="F38" s="146"/>
      <c r="G38" s="146"/>
      <c r="H38" s="146"/>
      <c r="L38" s="148"/>
      <c r="M38" s="149"/>
    </row>
    <row r="39" spans="1:14" x14ac:dyDescent="0.25">
      <c r="A39" s="68" t="s">
        <v>127</v>
      </c>
      <c r="B39" s="146"/>
      <c r="C39" s="146"/>
      <c r="D39" s="146"/>
      <c r="E39" s="146"/>
      <c r="F39" s="146"/>
      <c r="G39" s="146"/>
      <c r="H39" s="146"/>
      <c r="L39" s="148"/>
      <c r="M39" s="149"/>
    </row>
    <row r="42" spans="1:14" x14ac:dyDescent="0.25">
      <c r="A42" s="71"/>
    </row>
  </sheetData>
  <mergeCells count="6">
    <mergeCell ref="I37:L37"/>
    <mergeCell ref="F17:K18"/>
    <mergeCell ref="A1:F1"/>
    <mergeCell ref="A26:N26"/>
    <mergeCell ref="I32:L32"/>
    <mergeCell ref="F34:H3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F2ADB-0331-4783-B829-67B1A58517E2}">
  <sheetPr>
    <tabColor theme="7" tint="0.39997558519241921"/>
  </sheetPr>
  <dimension ref="A1:J90"/>
  <sheetViews>
    <sheetView topLeftCell="A69" workbookViewId="0">
      <selection activeCell="C13" sqref="C13:E13"/>
    </sheetView>
  </sheetViews>
  <sheetFormatPr baseColWidth="10" defaultColWidth="8.77734375" defaultRowHeight="13.8" x14ac:dyDescent="0.25"/>
  <cols>
    <col min="1" max="1" width="35.44140625" style="68" customWidth="1"/>
    <col min="2" max="2" width="22.44140625" style="68" customWidth="1"/>
    <col min="3" max="3" width="16.21875" style="68" customWidth="1"/>
    <col min="4" max="4" width="15.77734375" style="68" customWidth="1"/>
    <col min="5" max="5" width="14.77734375" style="68" customWidth="1"/>
    <col min="6" max="8" width="14.44140625" style="68" customWidth="1"/>
    <col min="9" max="9" width="96.77734375" style="68" customWidth="1"/>
    <col min="10" max="10" width="4.77734375" style="68" bestFit="1" customWidth="1"/>
    <col min="11" max="13" width="10.44140625" style="68" customWidth="1"/>
    <col min="14" max="14" width="3.44140625" style="68" customWidth="1"/>
    <col min="15" max="16384" width="8.77734375" style="68"/>
  </cols>
  <sheetData>
    <row r="1" spans="1:10" ht="15.6" x14ac:dyDescent="0.3">
      <c r="A1" s="277" t="s">
        <v>128</v>
      </c>
      <c r="B1" s="277"/>
      <c r="C1" s="277"/>
      <c r="D1" s="277"/>
      <c r="E1" s="277"/>
    </row>
    <row r="2" spans="1:10" ht="15.6" x14ac:dyDescent="0.3">
      <c r="A2" s="23"/>
      <c r="B2" s="23"/>
      <c r="C2" s="23"/>
      <c r="D2" s="23"/>
      <c r="E2" s="23"/>
    </row>
    <row r="3" spans="1:10" x14ac:dyDescent="0.25">
      <c r="A3" s="288" t="s">
        <v>129</v>
      </c>
      <c r="B3" s="288"/>
      <c r="C3" s="288"/>
      <c r="D3" s="288"/>
      <c r="E3" s="288"/>
      <c r="F3" s="288"/>
      <c r="G3" s="288"/>
      <c r="H3" s="288"/>
      <c r="I3" s="288"/>
      <c r="J3" s="288"/>
    </row>
    <row r="4" spans="1:10" x14ac:dyDescent="0.25">
      <c r="A4" s="72"/>
      <c r="B4" s="72"/>
      <c r="C4" s="73">
        <v>2020</v>
      </c>
      <c r="D4" s="73">
        <v>2019</v>
      </c>
      <c r="E4" s="73">
        <v>2018</v>
      </c>
      <c r="H4" s="74"/>
      <c r="I4" s="74"/>
    </row>
    <row r="5" spans="1:10" x14ac:dyDescent="0.25">
      <c r="A5" s="68" t="s">
        <v>130</v>
      </c>
      <c r="C5" s="76">
        <v>2350000</v>
      </c>
      <c r="D5" s="76">
        <v>1490000</v>
      </c>
      <c r="E5" s="76">
        <v>1020000</v>
      </c>
      <c r="H5" s="77"/>
      <c r="I5" s="77"/>
    </row>
    <row r="6" spans="1:10" x14ac:dyDescent="0.25">
      <c r="C6" s="78"/>
      <c r="D6" s="78"/>
      <c r="E6" s="78"/>
      <c r="H6" s="77"/>
      <c r="I6" s="77"/>
    </row>
    <row r="7" spans="1:10" x14ac:dyDescent="0.25">
      <c r="A7" s="68" t="s">
        <v>131</v>
      </c>
      <c r="C7" s="78"/>
      <c r="D7" s="78"/>
      <c r="E7" s="78"/>
      <c r="H7" s="77"/>
      <c r="I7" s="77"/>
    </row>
    <row r="8" spans="1:10" ht="14.4" x14ac:dyDescent="0.3">
      <c r="A8" s="71" t="s">
        <v>132</v>
      </c>
      <c r="C8" s="76">
        <v>0</v>
      </c>
      <c r="D8" s="76">
        <v>100000</v>
      </c>
      <c r="E8" s="76">
        <v>100000</v>
      </c>
      <c r="F8" s="290" t="s">
        <v>133</v>
      </c>
      <c r="G8" s="290"/>
      <c r="H8" s="290"/>
      <c r="I8" s="290"/>
    </row>
    <row r="9" spans="1:10" ht="15.6" x14ac:dyDescent="0.3">
      <c r="A9" s="79" t="s">
        <v>134</v>
      </c>
      <c r="C9" s="76">
        <v>-125000</v>
      </c>
      <c r="D9" s="76">
        <v>-125000</v>
      </c>
      <c r="E9" s="76">
        <v>-125000</v>
      </c>
      <c r="F9" s="125" t="s">
        <v>135</v>
      </c>
      <c r="H9" s="77"/>
      <c r="I9" s="77"/>
    </row>
    <row r="10" spans="1:10" x14ac:dyDescent="0.25">
      <c r="A10" s="68" t="s">
        <v>136</v>
      </c>
      <c r="C10" s="80">
        <f>SUM(C5:C9)</f>
        <v>2225000</v>
      </c>
      <c r="D10" s="80">
        <f>SUM(D5:D9)</f>
        <v>1465000</v>
      </c>
      <c r="E10" s="80">
        <f>SUM(E5:E9)</f>
        <v>995000</v>
      </c>
      <c r="H10" s="77"/>
      <c r="I10" s="77"/>
    </row>
    <row r="11" spans="1:10" ht="29.1" customHeight="1" x14ac:dyDescent="0.3">
      <c r="A11" s="289" t="s">
        <v>137</v>
      </c>
      <c r="B11" s="289"/>
      <c r="C11" s="76">
        <v>-40000</v>
      </c>
      <c r="D11" s="76">
        <v>-30000</v>
      </c>
      <c r="E11" s="76">
        <v>-25000</v>
      </c>
      <c r="F11" s="120" t="s">
        <v>138</v>
      </c>
      <c r="H11" s="77"/>
      <c r="I11" s="77"/>
    </row>
    <row r="12" spans="1:10" x14ac:dyDescent="0.25">
      <c r="A12" s="68" t="s">
        <v>3</v>
      </c>
      <c r="C12" s="81">
        <v>520000</v>
      </c>
      <c r="D12" s="81">
        <v>500000</v>
      </c>
      <c r="E12" s="81">
        <v>480000</v>
      </c>
      <c r="H12" s="77"/>
      <c r="I12" s="77"/>
    </row>
    <row r="13" spans="1:10" x14ac:dyDescent="0.25">
      <c r="A13" s="68" t="s">
        <v>139</v>
      </c>
      <c r="C13" s="82">
        <f>SUM(C10:C12)</f>
        <v>2705000</v>
      </c>
      <c r="D13" s="82">
        <f>SUM(D10:D12)</f>
        <v>1935000</v>
      </c>
      <c r="E13" s="82">
        <f>SUM(E10:E12)</f>
        <v>1450000</v>
      </c>
      <c r="H13" s="83"/>
      <c r="I13" s="83"/>
    </row>
    <row r="15" spans="1:10" s="87" customFormat="1" ht="41.4" x14ac:dyDescent="0.25">
      <c r="A15" s="68"/>
      <c r="B15" s="68"/>
      <c r="C15" s="84" t="s">
        <v>140</v>
      </c>
      <c r="D15" s="85" t="s">
        <v>141</v>
      </c>
      <c r="E15" s="86"/>
      <c r="H15" s="86"/>
    </row>
    <row r="16" spans="1:10" s="87" customFormat="1" x14ac:dyDescent="0.25">
      <c r="A16" s="68" t="s">
        <v>142</v>
      </c>
      <c r="B16" s="68"/>
      <c r="C16" s="76">
        <f>AVERAGE(C13:E13)</f>
        <v>2030000</v>
      </c>
      <c r="D16" s="76">
        <f>C13</f>
        <v>2705000</v>
      </c>
      <c r="E16" s="86"/>
      <c r="H16" s="86"/>
    </row>
    <row r="17" spans="1:10" s="87" customFormat="1" x14ac:dyDescent="0.25">
      <c r="A17" s="68"/>
      <c r="B17" s="68"/>
      <c r="C17" s="68"/>
      <c r="D17" s="68"/>
      <c r="E17" s="68"/>
      <c r="F17" s="68"/>
      <c r="G17" s="68"/>
      <c r="H17" s="68"/>
    </row>
    <row r="18" spans="1:10" x14ac:dyDescent="0.25">
      <c r="A18" s="89"/>
    </row>
    <row r="19" spans="1:10" x14ac:dyDescent="0.25">
      <c r="A19" s="288" t="s">
        <v>143</v>
      </c>
      <c r="B19" s="288"/>
      <c r="C19" s="288"/>
      <c r="D19" s="288"/>
      <c r="E19" s="288"/>
      <c r="F19" s="288"/>
      <c r="G19" s="288"/>
      <c r="H19" s="288"/>
      <c r="I19" s="288"/>
      <c r="J19" s="288"/>
    </row>
    <row r="20" spans="1:10" x14ac:dyDescent="0.25">
      <c r="D20" s="90" t="s">
        <v>144</v>
      </c>
      <c r="E20" s="91" t="s">
        <v>145</v>
      </c>
    </row>
    <row r="21" spans="1:10" x14ac:dyDescent="0.25">
      <c r="A21" s="68" t="s">
        <v>146</v>
      </c>
      <c r="D21" s="92">
        <f>C16</f>
        <v>2030000</v>
      </c>
      <c r="E21" s="92">
        <f>D16</f>
        <v>2705000</v>
      </c>
    </row>
    <row r="22" spans="1:10" x14ac:dyDescent="0.25">
      <c r="A22" s="68" t="s">
        <v>147</v>
      </c>
      <c r="D22" s="81">
        <f>-0.265*D21</f>
        <v>-537950</v>
      </c>
      <c r="E22" s="81">
        <f>-0.265*E21</f>
        <v>-716825</v>
      </c>
    </row>
    <row r="23" spans="1:10" x14ac:dyDescent="0.25">
      <c r="A23" s="68" t="s">
        <v>148</v>
      </c>
      <c r="D23" s="76">
        <f>SUM(D21:D22)</f>
        <v>1492050</v>
      </c>
      <c r="E23" s="76">
        <f>SUM(E21:E22)</f>
        <v>1988175</v>
      </c>
    </row>
    <row r="24" spans="1:10" x14ac:dyDescent="0.25">
      <c r="D24" s="78"/>
      <c r="E24" s="78"/>
    </row>
    <row r="25" spans="1:10" ht="28.2" customHeight="1" x14ac:dyDescent="0.25">
      <c r="A25" s="289" t="s">
        <v>149</v>
      </c>
      <c r="B25" s="289"/>
      <c r="C25" s="86" t="s">
        <v>150</v>
      </c>
      <c r="D25" s="81">
        <f>-C58</f>
        <v>-587086.95652173914</v>
      </c>
      <c r="E25" s="81">
        <f>-D58</f>
        <v>-589837.16475095786</v>
      </c>
    </row>
    <row r="26" spans="1:10" x14ac:dyDescent="0.25">
      <c r="A26" s="68" t="s">
        <v>151</v>
      </c>
      <c r="D26" s="76">
        <f>SUM(D23:D25)</f>
        <v>904963.04347826086</v>
      </c>
      <c r="E26" s="76">
        <f>SUM(E23:E25)</f>
        <v>1398337.8352490421</v>
      </c>
    </row>
    <row r="27" spans="1:10" x14ac:dyDescent="0.25">
      <c r="D27" s="77"/>
      <c r="E27" s="77"/>
    </row>
    <row r="28" spans="1:10" x14ac:dyDescent="0.25">
      <c r="A28" s="89" t="s">
        <v>152</v>
      </c>
      <c r="D28" s="77"/>
      <c r="E28" s="77"/>
    </row>
    <row r="29" spans="1:10" x14ac:dyDescent="0.25">
      <c r="A29" s="68" t="s">
        <v>153</v>
      </c>
      <c r="D29" s="93">
        <v>0.15</v>
      </c>
      <c r="E29" s="93">
        <v>0.16</v>
      </c>
    </row>
    <row r="30" spans="1:10" x14ac:dyDescent="0.25">
      <c r="A30" s="68" t="s">
        <v>154</v>
      </c>
      <c r="D30" s="94">
        <f>ROUND(1/D29,2)</f>
        <v>6.67</v>
      </c>
      <c r="E30" s="94">
        <f>ROUND(1/E29,2)</f>
        <v>6.25</v>
      </c>
    </row>
    <row r="31" spans="1:10" x14ac:dyDescent="0.25">
      <c r="A31" s="68" t="s">
        <v>155</v>
      </c>
      <c r="D31" s="76">
        <f>D30*D26</f>
        <v>6036103.5</v>
      </c>
      <c r="E31" s="76">
        <f>E30*E26</f>
        <v>8739611.4703065138</v>
      </c>
    </row>
    <row r="32" spans="1:10" x14ac:dyDescent="0.25">
      <c r="D32" s="78"/>
      <c r="E32" s="78"/>
    </row>
    <row r="33" spans="1:8" x14ac:dyDescent="0.25">
      <c r="A33" s="89" t="s">
        <v>156</v>
      </c>
      <c r="D33" s="78"/>
      <c r="E33" s="78"/>
    </row>
    <row r="34" spans="1:8" x14ac:dyDescent="0.25">
      <c r="A34" s="68" t="s">
        <v>157</v>
      </c>
      <c r="C34" s="86" t="s">
        <v>158</v>
      </c>
      <c r="D34" s="81">
        <f>C80</f>
        <v>681468.42105263157</v>
      </c>
      <c r="E34" s="81">
        <f>+D80</f>
        <v>661057.22222222225</v>
      </c>
    </row>
    <row r="35" spans="1:8" x14ac:dyDescent="0.25">
      <c r="A35" s="68" t="s">
        <v>159</v>
      </c>
      <c r="C35" s="86"/>
      <c r="D35" s="76">
        <f>SUM(D31:D34)</f>
        <v>6717571.9210526319</v>
      </c>
      <c r="E35" s="76">
        <f>SUM(E31:E34)</f>
        <v>9400668.6925287358</v>
      </c>
    </row>
    <row r="36" spans="1:8" x14ac:dyDescent="0.25">
      <c r="C36" s="86"/>
      <c r="D36" s="78"/>
      <c r="E36" s="78"/>
    </row>
    <row r="37" spans="1:8" x14ac:dyDescent="0.25">
      <c r="A37" s="89" t="s">
        <v>160</v>
      </c>
      <c r="C37" s="86"/>
      <c r="D37" s="78"/>
      <c r="E37" s="78"/>
    </row>
    <row r="38" spans="1:8" x14ac:dyDescent="0.25">
      <c r="A38" s="68" t="s">
        <v>161</v>
      </c>
      <c r="C38" s="86"/>
      <c r="D38" s="78"/>
      <c r="E38" s="78"/>
    </row>
    <row r="39" spans="1:8" x14ac:dyDescent="0.25">
      <c r="A39" s="68" t="s">
        <v>124</v>
      </c>
      <c r="B39" s="95"/>
      <c r="C39" s="71" t="s">
        <v>162</v>
      </c>
      <c r="D39" s="81">
        <v>1117920</v>
      </c>
      <c r="E39" s="81">
        <f>D39</f>
        <v>1117920</v>
      </c>
    </row>
    <row r="40" spans="1:8" x14ac:dyDescent="0.25">
      <c r="D40" s="78"/>
      <c r="E40" s="78"/>
    </row>
    <row r="41" spans="1:8" x14ac:dyDescent="0.25">
      <c r="A41" s="89" t="s">
        <v>163</v>
      </c>
      <c r="B41" s="89"/>
      <c r="C41" s="89"/>
      <c r="D41" s="126">
        <f>D35+D39</f>
        <v>7835491.9210526319</v>
      </c>
      <c r="E41" s="126">
        <f>E35+E39</f>
        <v>10518588.692528736</v>
      </c>
    </row>
    <row r="42" spans="1:8" x14ac:dyDescent="0.25">
      <c r="D42" s="77"/>
      <c r="E42" s="77"/>
    </row>
    <row r="43" spans="1:8" s="96" customFormat="1" x14ac:dyDescent="0.25">
      <c r="A43" s="89" t="s">
        <v>164</v>
      </c>
      <c r="B43" s="68"/>
      <c r="C43" s="68"/>
      <c r="D43" s="77"/>
      <c r="E43" s="77"/>
    </row>
    <row r="44" spans="1:8" s="96" customFormat="1" x14ac:dyDescent="0.25">
      <c r="A44" s="68" t="s">
        <v>165</v>
      </c>
      <c r="B44" s="68"/>
      <c r="C44" s="68"/>
      <c r="D44" s="76">
        <v>0</v>
      </c>
      <c r="E44" s="76">
        <v>0</v>
      </c>
    </row>
    <row r="45" spans="1:8" s="96" customFormat="1" x14ac:dyDescent="0.25">
      <c r="A45" s="68"/>
      <c r="B45" s="68"/>
      <c r="C45" s="68"/>
      <c r="D45" s="68"/>
      <c r="E45" s="68"/>
    </row>
    <row r="46" spans="1:8" s="96" customFormat="1" ht="14.4" thickBot="1" x14ac:dyDescent="0.3">
      <c r="A46" s="68" t="s">
        <v>166</v>
      </c>
      <c r="B46" s="68"/>
      <c r="C46" s="68"/>
      <c r="D46" s="97">
        <f>D41-D44</f>
        <v>7835491.9210526319</v>
      </c>
      <c r="E46" s="97">
        <f>E41-E44</f>
        <v>10518588.692528736</v>
      </c>
    </row>
    <row r="47" spans="1:8" ht="14.4" thickTop="1" x14ac:dyDescent="0.25">
      <c r="G47" s="77"/>
      <c r="H47" s="77"/>
    </row>
    <row r="48" spans="1:8" x14ac:dyDescent="0.25">
      <c r="A48" s="89"/>
      <c r="G48" s="77"/>
      <c r="H48" s="77"/>
    </row>
    <row r="49" spans="1:10" x14ac:dyDescent="0.25">
      <c r="A49" s="291" t="s">
        <v>167</v>
      </c>
      <c r="B49" s="291"/>
      <c r="C49" s="88"/>
      <c r="D49" s="88"/>
      <c r="E49" s="88"/>
      <c r="F49" s="88"/>
      <c r="G49" s="88"/>
      <c r="H49" s="88"/>
      <c r="I49" s="292"/>
      <c r="J49" s="292"/>
    </row>
    <row r="50" spans="1:10" x14ac:dyDescent="0.25">
      <c r="A50" s="88" t="s">
        <v>83</v>
      </c>
      <c r="B50" s="98"/>
      <c r="C50" s="88"/>
      <c r="D50" s="88"/>
      <c r="E50" s="88"/>
      <c r="F50" s="88"/>
      <c r="G50" s="88"/>
      <c r="H50" s="88"/>
      <c r="I50" s="99"/>
      <c r="J50" s="99"/>
    </row>
    <row r="51" spans="1:10" x14ac:dyDescent="0.25">
      <c r="A51" s="100" t="s">
        <v>168</v>
      </c>
      <c r="B51" s="100"/>
      <c r="C51" s="100"/>
      <c r="D51" s="88"/>
      <c r="F51" s="88"/>
      <c r="G51" s="88"/>
      <c r="H51" s="88"/>
      <c r="I51" s="99"/>
      <c r="J51" s="99"/>
    </row>
    <row r="52" spans="1:10" x14ac:dyDescent="0.25">
      <c r="A52" s="100"/>
      <c r="B52" s="100" t="s">
        <v>169</v>
      </c>
      <c r="C52" s="101">
        <v>700000</v>
      </c>
      <c r="D52" s="102">
        <v>700000</v>
      </c>
      <c r="F52" s="88"/>
      <c r="G52" s="88"/>
      <c r="H52" s="88"/>
      <c r="I52" s="99"/>
      <c r="J52" s="99"/>
    </row>
    <row r="53" spans="1:10" x14ac:dyDescent="0.25">
      <c r="A53" s="100"/>
      <c r="B53" s="100" t="s">
        <v>170</v>
      </c>
      <c r="C53" s="103">
        <v>0.2</v>
      </c>
      <c r="D53" s="104">
        <v>0.2</v>
      </c>
      <c r="F53" s="88"/>
      <c r="G53" s="88"/>
      <c r="H53" s="88"/>
      <c r="I53" s="99"/>
      <c r="J53" s="99"/>
    </row>
    <row r="54" spans="1:10" x14ac:dyDescent="0.25">
      <c r="A54" s="100"/>
      <c r="B54" s="100" t="s">
        <v>171</v>
      </c>
      <c r="C54" s="105">
        <v>0.26500000000000001</v>
      </c>
      <c r="D54" s="106">
        <v>0.26500000000000001</v>
      </c>
      <c r="F54" s="88"/>
      <c r="G54" s="107"/>
      <c r="H54" s="108"/>
      <c r="I54" s="99"/>
      <c r="J54" s="99"/>
    </row>
    <row r="55" spans="1:10" x14ac:dyDescent="0.25">
      <c r="A55" s="100"/>
      <c r="B55" s="100" t="s">
        <v>172</v>
      </c>
      <c r="C55" s="109">
        <v>0.15</v>
      </c>
      <c r="D55" s="110">
        <v>0.16</v>
      </c>
      <c r="F55" s="88"/>
      <c r="G55" s="88"/>
      <c r="H55" s="108"/>
      <c r="I55" s="99"/>
      <c r="J55" s="99"/>
    </row>
    <row r="56" spans="1:10" ht="28.2" customHeight="1" x14ac:dyDescent="0.25">
      <c r="A56" s="100"/>
      <c r="B56" s="111" t="s">
        <v>173</v>
      </c>
      <c r="C56" s="112">
        <f>(((C52*C53*C54)/(C53+C55)))*((1+1.5*C55)/(1+C55))</f>
        <v>112913.04347826088</v>
      </c>
      <c r="D56" s="112">
        <f>(((D52*D53*D54)/(D53+D55)))*((1+1.5*D55)/(1+D55))</f>
        <v>110162.83524904217</v>
      </c>
      <c r="F56" s="88"/>
      <c r="G56" s="88"/>
      <c r="H56" s="88"/>
      <c r="I56" s="99"/>
      <c r="J56" s="99"/>
    </row>
    <row r="57" spans="1:10" x14ac:dyDescent="0.25">
      <c r="A57" s="100"/>
      <c r="B57" s="100"/>
      <c r="C57" s="113"/>
      <c r="D57" s="114"/>
      <c r="F57" s="88"/>
      <c r="G57" s="88"/>
      <c r="H57" s="88"/>
      <c r="I57" s="99"/>
      <c r="J57" s="99"/>
    </row>
    <row r="58" spans="1:10" x14ac:dyDescent="0.25">
      <c r="A58" s="68" t="s">
        <v>174</v>
      </c>
      <c r="B58" s="88"/>
      <c r="C58" s="115">
        <f>C52-C56</f>
        <v>587086.95652173914</v>
      </c>
      <c r="D58" s="115">
        <f>D52-D56</f>
        <v>589837.16475095786</v>
      </c>
      <c r="F58" s="88"/>
      <c r="G58" s="88"/>
      <c r="H58" s="88"/>
      <c r="I58" s="99"/>
      <c r="J58" s="99"/>
    </row>
    <row r="59" spans="1:10" x14ac:dyDescent="0.25">
      <c r="A59" s="88"/>
      <c r="C59" s="88"/>
      <c r="D59" s="88"/>
      <c r="E59" s="88"/>
      <c r="F59" s="88"/>
      <c r="G59" s="88"/>
      <c r="H59" s="88"/>
      <c r="I59" s="99"/>
      <c r="J59" s="99"/>
    </row>
    <row r="60" spans="1:10" x14ac:dyDescent="0.25">
      <c r="A60" s="88" t="s">
        <v>175</v>
      </c>
      <c r="C60" s="88"/>
      <c r="D60" s="88"/>
      <c r="E60" s="88"/>
      <c r="F60" s="88"/>
      <c r="G60" s="88"/>
      <c r="H60" s="88"/>
      <c r="I60" s="99"/>
      <c r="J60" s="99"/>
    </row>
    <row r="61" spans="1:10" x14ac:dyDescent="0.25">
      <c r="A61" s="88"/>
      <c r="C61" s="88"/>
      <c r="D61" s="88"/>
      <c r="E61" s="88"/>
      <c r="F61" s="88"/>
      <c r="G61" s="88"/>
      <c r="H61" s="88"/>
      <c r="I61" s="99"/>
      <c r="J61" s="99"/>
    </row>
    <row r="62" spans="1:10" x14ac:dyDescent="0.25">
      <c r="A62" s="116" t="s">
        <v>176</v>
      </c>
      <c r="B62" s="88"/>
      <c r="C62" s="88"/>
      <c r="D62" s="88"/>
      <c r="F62" s="88"/>
      <c r="G62" s="88"/>
      <c r="H62" s="88"/>
      <c r="I62" s="99"/>
      <c r="J62" s="99"/>
    </row>
    <row r="63" spans="1:10" x14ac:dyDescent="0.25">
      <c r="B63" s="88"/>
      <c r="C63" s="88"/>
      <c r="D63" s="88"/>
      <c r="F63" s="88"/>
      <c r="G63" s="88"/>
      <c r="H63" s="88"/>
      <c r="I63" s="99"/>
      <c r="J63" s="99"/>
    </row>
    <row r="64" spans="1:10" x14ac:dyDescent="0.25">
      <c r="A64" s="100" t="s">
        <v>177</v>
      </c>
      <c r="B64" s="100"/>
      <c r="C64" s="100"/>
      <c r="D64" s="88"/>
      <c r="F64" s="88"/>
      <c r="G64" s="88"/>
      <c r="H64" s="88"/>
      <c r="I64" s="99"/>
      <c r="J64" s="99"/>
    </row>
    <row r="65" spans="1:10" x14ac:dyDescent="0.25">
      <c r="A65" s="100"/>
      <c r="B65" s="117" t="s">
        <v>178</v>
      </c>
      <c r="C65" s="101">
        <v>1195000</v>
      </c>
      <c r="D65" s="102">
        <v>1195000</v>
      </c>
      <c r="F65" s="88"/>
      <c r="G65" s="88"/>
      <c r="H65" s="88"/>
      <c r="I65" s="99"/>
      <c r="J65" s="99"/>
    </row>
    <row r="66" spans="1:10" x14ac:dyDescent="0.25">
      <c r="A66" s="100"/>
      <c r="B66" s="117" t="s">
        <v>170</v>
      </c>
      <c r="C66" s="103">
        <v>0.04</v>
      </c>
      <c r="D66" s="104">
        <v>0.04</v>
      </c>
      <c r="F66" s="68" t="s">
        <v>179</v>
      </c>
      <c r="G66" s="88"/>
      <c r="H66" s="88"/>
      <c r="I66" s="99"/>
      <c r="J66" s="99"/>
    </row>
    <row r="67" spans="1:10" x14ac:dyDescent="0.25">
      <c r="A67" s="100"/>
      <c r="B67" s="117" t="s">
        <v>171</v>
      </c>
      <c r="C67" s="105">
        <v>0.26500000000000001</v>
      </c>
      <c r="D67" s="106">
        <v>0.26500000000000001</v>
      </c>
      <c r="F67" s="88"/>
      <c r="G67" s="88"/>
      <c r="H67" s="88"/>
      <c r="I67" s="99"/>
      <c r="J67" s="99"/>
    </row>
    <row r="68" spans="1:10" x14ac:dyDescent="0.25">
      <c r="A68" s="100"/>
      <c r="B68" s="117" t="s">
        <v>172</v>
      </c>
      <c r="C68" s="109">
        <v>0.15</v>
      </c>
      <c r="D68" s="110">
        <v>0.16</v>
      </c>
      <c r="F68" s="88"/>
      <c r="G68" s="88"/>
      <c r="H68" s="88"/>
      <c r="I68" s="99"/>
      <c r="J68" s="99"/>
    </row>
    <row r="69" spans="1:10" ht="28.2" customHeight="1" x14ac:dyDescent="0.25">
      <c r="A69" s="100"/>
      <c r="B69" s="111" t="s">
        <v>173</v>
      </c>
      <c r="C69" s="101">
        <f>((C65*C66*C67)/(C66+C68))</f>
        <v>66668.421052631573</v>
      </c>
      <c r="D69" s="102">
        <f>((D65*D66*D67)/(D66+D68))</f>
        <v>63335</v>
      </c>
      <c r="F69" s="88"/>
      <c r="G69" s="88"/>
      <c r="H69" s="88"/>
      <c r="I69" s="99"/>
      <c r="J69" s="99"/>
    </row>
    <row r="70" spans="1:10" x14ac:dyDescent="0.25">
      <c r="A70" s="100"/>
      <c r="C70" s="118"/>
      <c r="D70" s="119"/>
      <c r="F70" s="88"/>
      <c r="G70" s="88"/>
      <c r="H70" s="88"/>
      <c r="I70" s="99"/>
      <c r="J70" s="99"/>
    </row>
    <row r="71" spans="1:10" ht="14.4" x14ac:dyDescent="0.3">
      <c r="A71" s="100"/>
      <c r="B71" s="120"/>
      <c r="C71" s="118"/>
      <c r="D71" s="119"/>
      <c r="F71" s="88"/>
      <c r="G71" s="88"/>
      <c r="H71" s="88"/>
      <c r="I71" s="99"/>
      <c r="J71" s="99"/>
    </row>
    <row r="72" spans="1:10" x14ac:dyDescent="0.25">
      <c r="A72" s="100"/>
      <c r="B72" s="117"/>
      <c r="C72" s="118"/>
      <c r="D72" s="88"/>
      <c r="F72" s="88"/>
      <c r="G72" s="88"/>
      <c r="H72" s="88"/>
      <c r="I72" s="99"/>
      <c r="J72" s="99"/>
    </row>
    <row r="73" spans="1:10" x14ac:dyDescent="0.25">
      <c r="A73" s="100" t="s">
        <v>168</v>
      </c>
      <c r="B73" s="117"/>
      <c r="C73" s="100"/>
      <c r="D73" s="88"/>
      <c r="F73" s="88"/>
      <c r="G73" s="88"/>
      <c r="H73" s="88"/>
      <c r="I73" s="99"/>
      <c r="J73" s="99"/>
    </row>
    <row r="74" spans="1:10" x14ac:dyDescent="0.25">
      <c r="A74" s="100"/>
      <c r="B74" s="117" t="s">
        <v>178</v>
      </c>
      <c r="C74" s="101">
        <v>4060000</v>
      </c>
      <c r="D74" s="102">
        <v>4060000</v>
      </c>
      <c r="F74" s="88"/>
      <c r="G74" s="88"/>
      <c r="H74" s="88"/>
      <c r="I74" s="99"/>
      <c r="J74" s="99"/>
    </row>
    <row r="75" spans="1:10" x14ac:dyDescent="0.25">
      <c r="A75" s="100"/>
      <c r="B75" s="117" t="s">
        <v>170</v>
      </c>
      <c r="C75" s="103">
        <v>0.2</v>
      </c>
      <c r="D75" s="104">
        <v>0.2</v>
      </c>
      <c r="F75" s="88"/>
      <c r="G75" s="88"/>
      <c r="H75" s="88"/>
      <c r="I75" s="99"/>
      <c r="J75" s="99"/>
    </row>
    <row r="76" spans="1:10" x14ac:dyDescent="0.25">
      <c r="A76" s="100"/>
      <c r="B76" s="117" t="s">
        <v>171</v>
      </c>
      <c r="C76" s="105">
        <v>0.26500000000000001</v>
      </c>
      <c r="D76" s="106">
        <v>0.26500000000000001</v>
      </c>
      <c r="F76" s="88"/>
      <c r="G76" s="88"/>
      <c r="H76" s="88"/>
      <c r="I76" s="99"/>
      <c r="J76" s="99"/>
    </row>
    <row r="77" spans="1:10" x14ac:dyDescent="0.25">
      <c r="A77" s="100"/>
      <c r="B77" s="117" t="s">
        <v>172</v>
      </c>
      <c r="C77" s="109">
        <v>0.15</v>
      </c>
      <c r="D77" s="110">
        <v>0.16</v>
      </c>
      <c r="F77" s="88"/>
      <c r="G77" s="88"/>
      <c r="H77" s="88"/>
      <c r="I77" s="99"/>
      <c r="J77" s="99"/>
    </row>
    <row r="78" spans="1:10" ht="29.1" customHeight="1" x14ac:dyDescent="0.25">
      <c r="A78" s="100"/>
      <c r="B78" s="111" t="s">
        <v>173</v>
      </c>
      <c r="C78" s="101">
        <f>((C74*C75*C76)/(C75+C77))</f>
        <v>614800</v>
      </c>
      <c r="D78" s="102">
        <f>((D74*D75*D76)/(D75+D77))</f>
        <v>597722.22222222225</v>
      </c>
      <c r="F78" s="88"/>
      <c r="G78" s="121"/>
      <c r="H78" s="88"/>
      <c r="I78" s="99"/>
      <c r="J78" s="99"/>
    </row>
    <row r="79" spans="1:10" x14ac:dyDescent="0.25">
      <c r="B79" s="88"/>
      <c r="C79" s="88"/>
      <c r="D79" s="88"/>
      <c r="F79" s="88"/>
      <c r="G79" s="88"/>
      <c r="H79" s="88"/>
      <c r="I79" s="99"/>
      <c r="J79" s="99"/>
    </row>
    <row r="80" spans="1:10" x14ac:dyDescent="0.25">
      <c r="A80" s="68" t="s">
        <v>180</v>
      </c>
      <c r="B80" s="88"/>
      <c r="C80" s="115">
        <f>C69+C78</f>
        <v>681468.42105263157</v>
      </c>
      <c r="D80" s="115">
        <f>D69+D78</f>
        <v>661057.22222222225</v>
      </c>
      <c r="F80" s="88"/>
      <c r="G80" s="88"/>
      <c r="H80" s="88"/>
      <c r="I80" s="99"/>
      <c r="J80" s="99"/>
    </row>
    <row r="81" spans="1:10" x14ac:dyDescent="0.25">
      <c r="A81" s="88"/>
      <c r="C81" s="88"/>
      <c r="D81" s="88"/>
      <c r="E81" s="88"/>
      <c r="F81" s="88"/>
      <c r="G81" s="88"/>
      <c r="H81" s="88"/>
      <c r="I81" s="99"/>
      <c r="J81" s="99"/>
    </row>
    <row r="82" spans="1:10" x14ac:dyDescent="0.25">
      <c r="A82" s="88"/>
      <c r="B82" s="71"/>
      <c r="C82" s="88"/>
      <c r="D82" s="88"/>
      <c r="E82" s="88"/>
      <c r="F82" s="88"/>
      <c r="G82" s="88"/>
      <c r="H82" s="88"/>
      <c r="I82" s="99"/>
      <c r="J82" s="99"/>
    </row>
    <row r="83" spans="1:10" x14ac:dyDescent="0.25">
      <c r="A83" s="88"/>
      <c r="B83" s="88"/>
      <c r="C83" s="88"/>
      <c r="D83" s="88"/>
      <c r="E83" s="88"/>
      <c r="F83" s="88"/>
      <c r="G83" s="88"/>
      <c r="H83" s="88"/>
      <c r="I83" s="88"/>
      <c r="J83" s="99"/>
    </row>
    <row r="84" spans="1:10" ht="14.4" x14ac:dyDescent="0.3">
      <c r="A84" s="122"/>
      <c r="B84" s="71"/>
      <c r="C84" s="71"/>
      <c r="D84" s="71"/>
      <c r="E84" s="71"/>
      <c r="F84" s="71"/>
      <c r="G84" s="71"/>
      <c r="H84" s="71"/>
      <c r="I84" s="71"/>
      <c r="J84" s="99"/>
    </row>
    <row r="85" spans="1:10" ht="14.4" x14ac:dyDescent="0.3">
      <c r="A85" s="122"/>
      <c r="B85" s="71"/>
      <c r="C85" s="71"/>
      <c r="D85" s="71"/>
      <c r="E85" s="71"/>
      <c r="F85" s="71"/>
      <c r="G85" s="71"/>
      <c r="H85" s="71"/>
      <c r="I85" s="71"/>
      <c r="J85" s="99"/>
    </row>
    <row r="86" spans="1:10" x14ac:dyDescent="0.25">
      <c r="A86" s="88"/>
      <c r="E86" s="88"/>
      <c r="F86" s="88"/>
      <c r="G86" s="88"/>
      <c r="H86" s="88"/>
      <c r="I86" s="88"/>
      <c r="J86" s="99"/>
    </row>
    <row r="87" spans="1:10" x14ac:dyDescent="0.25">
      <c r="A87" s="88"/>
      <c r="B87" s="88"/>
      <c r="C87" s="88"/>
      <c r="D87" s="88"/>
      <c r="E87" s="88"/>
      <c r="F87" s="88"/>
      <c r="G87" s="88"/>
      <c r="H87" s="88"/>
      <c r="I87" s="88"/>
      <c r="J87" s="99"/>
    </row>
    <row r="88" spans="1:10" x14ac:dyDescent="0.25">
      <c r="A88" s="289"/>
      <c r="B88" s="289"/>
      <c r="C88" s="289"/>
      <c r="D88" s="289"/>
      <c r="E88" s="289"/>
      <c r="F88" s="289"/>
      <c r="G88" s="289"/>
      <c r="H88" s="289"/>
    </row>
    <row r="89" spans="1:10" x14ac:dyDescent="0.25">
      <c r="A89" s="289"/>
      <c r="B89" s="289"/>
      <c r="C89" s="289"/>
      <c r="D89" s="289"/>
      <c r="E89" s="289"/>
      <c r="F89" s="289"/>
      <c r="G89" s="289"/>
      <c r="H89" s="289"/>
    </row>
    <row r="90" spans="1:10" x14ac:dyDescent="0.25">
      <c r="A90" s="289"/>
      <c r="B90" s="289"/>
      <c r="C90" s="289"/>
      <c r="D90" s="289"/>
      <c r="E90" s="289"/>
      <c r="F90" s="289"/>
      <c r="G90" s="289"/>
      <c r="H90" s="289"/>
    </row>
  </sheetData>
  <mergeCells count="11">
    <mergeCell ref="A90:H90"/>
    <mergeCell ref="A1:E1"/>
    <mergeCell ref="F8:I8"/>
    <mergeCell ref="A25:B25"/>
    <mergeCell ref="A49:B49"/>
    <mergeCell ref="I49:J49"/>
    <mergeCell ref="A88:H88"/>
    <mergeCell ref="A89:H89"/>
    <mergeCell ref="A19:J19"/>
    <mergeCell ref="A3:J3"/>
    <mergeCell ref="A11:B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PPP-déchets organiques</vt:lpstr>
      <vt:lpstr>Services conseils	</vt:lpstr>
      <vt:lpstr>Recyclage-MCV</vt:lpstr>
      <vt:lpstr>Recyclage - Rentabilité</vt:lpstr>
      <vt:lpstr>Recyclage - VAN</vt:lpstr>
      <vt:lpstr>Pristine Patrimoniale</vt:lpstr>
      <vt:lpstr>Pristine - capitalisation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Marie-Eve Quenneville</dc:creator>
  <cp:keywords/>
  <dc:description/>
  <cp:lastModifiedBy>SOKRI Marzouk</cp:lastModifiedBy>
  <cp:revision/>
  <dcterms:created xsi:type="dcterms:W3CDTF">2022-09-02T20:38:46Z</dcterms:created>
  <dcterms:modified xsi:type="dcterms:W3CDTF">2025-02-05T13:09:11Z</dcterms:modified>
  <cp:category/>
  <cp:contentStatus/>
</cp:coreProperties>
</file>