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9311423\Documents\_40937\Séance 04\"/>
    </mc:Choice>
  </mc:AlternateContent>
  <xr:revisionPtr revIDLastSave="0" documentId="13_ncr:1_{334E9E06-A073-4AC6-89A1-B04C57EFD1B2}" xr6:coauthVersionLast="47" xr6:coauthVersionMax="47" xr10:uidLastSave="{00000000-0000-0000-0000-000000000000}"/>
  <bookViews>
    <workbookView xWindow="-110" yWindow="-110" windowWidth="19420" windowHeight="10420" tabRatio="880" firstSheet="3" activeTab="4" xr2:uid="{00000000-000D-0000-FFFF-FFFF00000000}"/>
  </bookViews>
  <sheets>
    <sheet name="_TM_Feuil1" sheetId="4" state="veryHidden" r:id="rId1"/>
    <sheet name="_TM_Période optimale de remplac" sheetId="9" state="veryHidden" r:id="rId2"/>
    <sheet name="_TM_Feuil2" sheetId="15" state="veryHidden" r:id="rId3"/>
    <sheet name="Données" sheetId="40" r:id="rId4"/>
    <sheet name="VAN" sheetId="37" r:id="rId5"/>
    <sheet name="Financement" sheetId="39" r:id="rId6"/>
  </sheets>
  <definedNames>
    <definedName name="Financement_10_ans">Financement!$C$32:$L$33</definedName>
    <definedName name="Financement_5_ans">Financement!$C$49:$G$50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40957.601400463</definedName>
    <definedName name="IQ_NAMES_REVISION_DATE__1" hidden="1">40957.6266666667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40" l="1"/>
  <c r="B19" i="39" l="1"/>
  <c r="C32" i="40"/>
  <c r="C33" i="40" s="1"/>
  <c r="C7" i="37"/>
  <c r="C48" i="37" s="1"/>
  <c r="C14" i="37"/>
  <c r="C16" i="37"/>
  <c r="C17" i="37"/>
  <c r="C18" i="37"/>
  <c r="C13" i="37" l="1"/>
  <c r="C46" i="37"/>
  <c r="E26" i="37"/>
  <c r="F26" i="37"/>
  <c r="G26" i="37"/>
  <c r="H26" i="37"/>
  <c r="I26" i="37"/>
  <c r="J26" i="37"/>
  <c r="K26" i="37"/>
  <c r="L26" i="37"/>
  <c r="M26" i="37"/>
  <c r="E32" i="37"/>
  <c r="F32" i="37"/>
  <c r="G32" i="37"/>
  <c r="H32" i="37"/>
  <c r="I32" i="37"/>
  <c r="J32" i="37"/>
  <c r="K32" i="37"/>
  <c r="L32" i="37"/>
  <c r="M32" i="37"/>
  <c r="D32" i="37"/>
  <c r="B5" i="39"/>
  <c r="C31" i="39"/>
  <c r="C32" i="39" s="1"/>
  <c r="C34" i="39" s="1"/>
  <c r="D31" i="39" s="1"/>
  <c r="E12" i="39"/>
  <c r="D12" i="39"/>
  <c r="C12" i="39"/>
  <c r="B12" i="39"/>
  <c r="L9" i="39"/>
  <c r="K9" i="39"/>
  <c r="J9" i="39"/>
  <c r="I9" i="39"/>
  <c r="H9" i="39"/>
  <c r="G9" i="39"/>
  <c r="F9" i="39"/>
  <c r="E9" i="39"/>
  <c r="D9" i="39"/>
  <c r="C9" i="39"/>
  <c r="B9" i="39"/>
  <c r="H57" i="40"/>
  <c r="E65" i="40" s="1"/>
  <c r="B36" i="39"/>
  <c r="C48" i="39"/>
  <c r="D61" i="40"/>
  <c r="E58" i="40" s="1"/>
  <c r="E61" i="40" s="1"/>
  <c r="F58" i="40" s="1"/>
  <c r="F61" i="40" s="1"/>
  <c r="G58" i="40" s="1"/>
  <c r="O7" i="37"/>
  <c r="O8" i="37" s="1"/>
  <c r="H48" i="40"/>
  <c r="H42" i="40"/>
  <c r="H47" i="40"/>
  <c r="H43" i="40"/>
  <c r="H44" i="40" s="1"/>
  <c r="D44" i="40"/>
  <c r="D45" i="40"/>
  <c r="D41" i="40"/>
  <c r="D42" i="40"/>
  <c r="F65" i="40"/>
  <c r="C66" i="40" s="1"/>
  <c r="F66" i="40" s="1"/>
  <c r="C67" i="40" s="1"/>
  <c r="F67" i="40" s="1"/>
  <c r="C68" i="40" s="1"/>
  <c r="C33" i="39" l="1"/>
  <c r="D32" i="39"/>
  <c r="C49" i="39"/>
  <c r="D49" i="39" s="1"/>
  <c r="E49" i="39" s="1"/>
  <c r="F49" i="39" s="1"/>
  <c r="G49" i="39" s="1"/>
  <c r="H49" i="39" s="1"/>
  <c r="I49" i="39" s="1"/>
  <c r="C16" i="39"/>
  <c r="C62" i="39" s="1"/>
  <c r="C17" i="39"/>
  <c r="D43" i="40"/>
  <c r="D46" i="40" s="1"/>
  <c r="D48" i="40" s="1"/>
  <c r="D49" i="40" s="1"/>
  <c r="D50" i="40" s="1"/>
  <c r="H49" i="40"/>
  <c r="H50" i="40" s="1"/>
  <c r="H51" i="40" s="1"/>
  <c r="E7" i="37" s="1"/>
  <c r="C8" i="37"/>
  <c r="C3" i="37" s="1"/>
  <c r="O3" i="37"/>
  <c r="B53" i="39"/>
  <c r="G61" i="40"/>
  <c r="G60" i="40"/>
  <c r="E11" i="39" s="1"/>
  <c r="B62" i="39"/>
  <c r="E68" i="40"/>
  <c r="F68" i="40"/>
  <c r="C19" i="37"/>
  <c r="D7" i="37" s="1"/>
  <c r="D8" i="37" s="1"/>
  <c r="D3" i="37" s="1"/>
  <c r="F60" i="40"/>
  <c r="D11" i="39" s="1"/>
  <c r="D60" i="40"/>
  <c r="B11" i="39" s="1"/>
  <c r="E60" i="40"/>
  <c r="C11" i="39" s="1"/>
  <c r="E67" i="40"/>
  <c r="E66" i="40"/>
  <c r="C54" i="37"/>
  <c r="B60" i="39"/>
  <c r="C60" i="39"/>
  <c r="D51" i="40" l="1"/>
  <c r="D6" i="39"/>
  <c r="L6" i="39"/>
  <c r="H6" i="39"/>
  <c r="B6" i="39"/>
  <c r="K6" i="39"/>
  <c r="E6" i="39"/>
  <c r="C6" i="39"/>
  <c r="F6" i="39"/>
  <c r="G6" i="39"/>
  <c r="I6" i="39"/>
  <c r="J6" i="39"/>
  <c r="C50" i="39"/>
  <c r="D33" i="39"/>
  <c r="D17" i="39" s="1"/>
  <c r="D63" i="39" s="1"/>
  <c r="C63" i="39"/>
  <c r="D16" i="39"/>
  <c r="E32" i="39"/>
  <c r="D34" i="39"/>
  <c r="E31" i="39" s="1"/>
  <c r="E33" i="39" s="1"/>
  <c r="C51" i="39"/>
  <c r="D48" i="39" s="1"/>
  <c r="D50" i="39" s="1"/>
  <c r="D25" i="37"/>
  <c r="D26" i="37" s="1"/>
  <c r="D27" i="37" s="1"/>
  <c r="D28" i="37" s="1"/>
  <c r="D31" i="37" s="1"/>
  <c r="D33" i="37" s="1"/>
  <c r="C8" i="39" s="1"/>
  <c r="B13" i="39"/>
  <c r="B18" i="39" s="1"/>
  <c r="B20" i="39" s="1"/>
  <c r="C4" i="39" s="1"/>
  <c r="C37" i="37"/>
  <c r="C42" i="37" s="1"/>
  <c r="I7" i="39"/>
  <c r="D7" i="39"/>
  <c r="J7" i="39"/>
  <c r="H7" i="37"/>
  <c r="N7" i="37"/>
  <c r="F7" i="37"/>
  <c r="C45" i="37" s="1"/>
  <c r="C47" i="37" s="1"/>
  <c r="C49" i="37" s="1"/>
  <c r="I7" i="37"/>
  <c r="G7" i="37"/>
  <c r="E7" i="39"/>
  <c r="K7" i="39"/>
  <c r="F7" i="39"/>
  <c r="C53" i="37"/>
  <c r="C55" i="37" s="1"/>
  <c r="G7" i="39"/>
  <c r="K7" i="37"/>
  <c r="H7" i="39"/>
  <c r="J7" i="37"/>
  <c r="C7" i="39"/>
  <c r="L7" i="39"/>
  <c r="L7" i="37"/>
  <c r="M7" i="37"/>
  <c r="D51" i="39" l="1"/>
  <c r="E48" i="39" s="1"/>
  <c r="E50" i="39" s="1"/>
  <c r="E17" i="39"/>
  <c r="E34" i="39"/>
  <c r="F31" i="39" s="1"/>
  <c r="F33" i="39" s="1"/>
  <c r="E16" i="39"/>
  <c r="F32" i="39"/>
  <c r="D60" i="39"/>
  <c r="D62" i="39"/>
  <c r="C13" i="39"/>
  <c r="C18" i="39" s="1"/>
  <c r="C42" i="39" s="1"/>
  <c r="M3" i="37"/>
  <c r="M8" i="37"/>
  <c r="L37" i="37"/>
  <c r="M37" i="37"/>
  <c r="N8" i="37"/>
  <c r="N3" i="37"/>
  <c r="K37" i="37"/>
  <c r="L8" i="37"/>
  <c r="L3" i="37"/>
  <c r="I37" i="37"/>
  <c r="J8" i="37"/>
  <c r="J3" i="37"/>
  <c r="F37" i="37"/>
  <c r="G3" i="37"/>
  <c r="G8" i="37"/>
  <c r="H8" i="37"/>
  <c r="G37" i="37"/>
  <c r="H3" i="37"/>
  <c r="D29" i="37"/>
  <c r="E24" i="37" s="1"/>
  <c r="E27" i="37" s="1"/>
  <c r="I3" i="37"/>
  <c r="I8" i="37"/>
  <c r="H37" i="37"/>
  <c r="E8" i="37"/>
  <c r="D37" i="37"/>
  <c r="E3" i="37"/>
  <c r="K3" i="37"/>
  <c r="J37" i="37"/>
  <c r="K8" i="37"/>
  <c r="E37" i="37"/>
  <c r="F3" i="37"/>
  <c r="F8" i="37"/>
  <c r="C20" i="39" l="1"/>
  <c r="D4" i="39" s="1"/>
  <c r="F34" i="39"/>
  <c r="G31" i="39" s="1"/>
  <c r="F17" i="39"/>
  <c r="G32" i="39"/>
  <c r="F16" i="39"/>
  <c r="E60" i="39"/>
  <c r="E62" i="39"/>
  <c r="E63" i="39"/>
  <c r="E51" i="39"/>
  <c r="F48" i="39" s="1"/>
  <c r="F50" i="39" s="1"/>
  <c r="C38" i="37"/>
  <c r="C9" i="37"/>
  <c r="D42" i="37"/>
  <c r="E42" i="37" s="1"/>
  <c r="F42" i="37" s="1"/>
  <c r="G42" i="37" s="1"/>
  <c r="H42" i="37" s="1"/>
  <c r="I42" i="37" s="1"/>
  <c r="J42" i="37" s="1"/>
  <c r="K42" i="37" s="1"/>
  <c r="L42" i="37" s="1"/>
  <c r="M42" i="37" s="1"/>
  <c r="E28" i="37"/>
  <c r="E31" i="37" s="1"/>
  <c r="E33" i="37" s="1"/>
  <c r="D8" i="39" s="1"/>
  <c r="G33" i="39" l="1"/>
  <c r="D13" i="39"/>
  <c r="D18" i="39" s="1"/>
  <c r="D42" i="39" s="1"/>
  <c r="D43" i="39" s="1"/>
  <c r="F51" i="39"/>
  <c r="G48" i="39" s="1"/>
  <c r="G50" i="39" s="1"/>
  <c r="F62" i="39"/>
  <c r="F60" i="39"/>
  <c r="H32" i="39"/>
  <c r="G16" i="39"/>
  <c r="F63" i="39"/>
  <c r="G34" i="39"/>
  <c r="H31" i="39" s="1"/>
  <c r="G17" i="39"/>
  <c r="E29" i="37"/>
  <c r="F24" i="37" s="1"/>
  <c r="F27" i="37" s="1"/>
  <c r="F28" i="37" s="1"/>
  <c r="F31" i="37" s="1"/>
  <c r="F33" i="37" s="1"/>
  <c r="E8" i="39" s="1"/>
  <c r="D20" i="39" l="1"/>
  <c r="E4" i="39" s="1"/>
  <c r="E13" i="39" s="1"/>
  <c r="E18" i="39" s="1"/>
  <c r="E20" i="39" s="1"/>
  <c r="F4" i="39" s="1"/>
  <c r="H33" i="39"/>
  <c r="H17" i="39"/>
  <c r="H34" i="39"/>
  <c r="I31" i="39" s="1"/>
  <c r="I33" i="39" s="1"/>
  <c r="G62" i="39"/>
  <c r="G63" i="39"/>
  <c r="G60" i="39"/>
  <c r="I32" i="39"/>
  <c r="H16" i="39"/>
  <c r="G51" i="39"/>
  <c r="H48" i="39" s="1"/>
  <c r="H50" i="39" s="1"/>
  <c r="F29" i="37"/>
  <c r="G24" i="37" s="1"/>
  <c r="G27" i="37" s="1"/>
  <c r="E42" i="39" l="1"/>
  <c r="E43" i="39" s="1"/>
  <c r="H51" i="39"/>
  <c r="I48" i="39" s="1"/>
  <c r="I50" i="39" s="1"/>
  <c r="H60" i="39"/>
  <c r="H62" i="39"/>
  <c r="H63" i="39"/>
  <c r="I16" i="39"/>
  <c r="J32" i="39"/>
  <c r="I17" i="39"/>
  <c r="I34" i="39"/>
  <c r="J31" i="39" s="1"/>
  <c r="G28" i="37"/>
  <c r="G31" i="37" s="1"/>
  <c r="G33" i="37" s="1"/>
  <c r="F8" i="39" s="1"/>
  <c r="F13" i="39" s="1"/>
  <c r="F18" i="39" s="1"/>
  <c r="F42" i="39" l="1"/>
  <c r="F43" i="39" s="1"/>
  <c r="F20" i="39"/>
  <c r="G4" i="39" s="1"/>
  <c r="J33" i="39"/>
  <c r="J17" i="39" s="1"/>
  <c r="J16" i="39"/>
  <c r="K32" i="39"/>
  <c r="I62" i="39"/>
  <c r="I60" i="39"/>
  <c r="I63" i="39"/>
  <c r="J34" i="39"/>
  <c r="K31" i="39" s="1"/>
  <c r="I51" i="39"/>
  <c r="G29" i="37"/>
  <c r="H24" i="37" s="1"/>
  <c r="H27" i="37" s="1"/>
  <c r="H28" i="37" s="1"/>
  <c r="H31" i="37" s="1"/>
  <c r="H33" i="37" s="1"/>
  <c r="G8" i="39" s="1"/>
  <c r="G13" i="39" l="1"/>
  <c r="G18" i="39" s="1"/>
  <c r="K33" i="39"/>
  <c r="K34" i="39"/>
  <c r="L31" i="39" s="1"/>
  <c r="L33" i="39" s="1"/>
  <c r="K17" i="39"/>
  <c r="K16" i="39"/>
  <c r="L32" i="39"/>
  <c r="L16" i="39" s="1"/>
  <c r="J62" i="39"/>
  <c r="J63" i="39"/>
  <c r="J60" i="39"/>
  <c r="H29" i="37"/>
  <c r="I24" i="37" s="1"/>
  <c r="I27" i="37" s="1"/>
  <c r="G20" i="39" l="1"/>
  <c r="H4" i="39" s="1"/>
  <c r="G42" i="39"/>
  <c r="G43" i="39" s="1"/>
  <c r="L60" i="39"/>
  <c r="L62" i="39"/>
  <c r="K62" i="39"/>
  <c r="K60" i="39"/>
  <c r="K63" i="39"/>
  <c r="L34" i="39"/>
  <c r="L17" i="39"/>
  <c r="L63" i="39" s="1"/>
  <c r="I28" i="37"/>
  <c r="I31" i="37" s="1"/>
  <c r="I33" i="37" s="1"/>
  <c r="H8" i="39" s="1"/>
  <c r="H13" i="39" l="1"/>
  <c r="H18" i="39" s="1"/>
  <c r="I29" i="37"/>
  <c r="J24" i="37" s="1"/>
  <c r="J27" i="37" s="1"/>
  <c r="H42" i="39" l="1"/>
  <c r="H43" i="39" s="1"/>
  <c r="H20" i="39"/>
  <c r="I4" i="39" s="1"/>
  <c r="J28" i="37"/>
  <c r="J31" i="37" s="1"/>
  <c r="J33" i="37" s="1"/>
  <c r="I8" i="39" s="1"/>
  <c r="I13" i="39" l="1"/>
  <c r="I18" i="39" s="1"/>
  <c r="J29" i="37"/>
  <c r="K24" i="37" s="1"/>
  <c r="K27" i="37" s="1"/>
  <c r="I20" i="39" l="1"/>
  <c r="J4" i="39" s="1"/>
  <c r="I42" i="39"/>
  <c r="I43" i="39" s="1"/>
  <c r="K28" i="37"/>
  <c r="K31" i="37" s="1"/>
  <c r="K33" i="37" s="1"/>
  <c r="J8" i="39" s="1"/>
  <c r="J13" i="39" l="1"/>
  <c r="J18" i="39" s="1"/>
  <c r="K29" i="37"/>
  <c r="L24" i="37" s="1"/>
  <c r="L27" i="37" s="1"/>
  <c r="J42" i="39" l="1"/>
  <c r="J43" i="39" s="1"/>
  <c r="J20" i="39"/>
  <c r="K4" i="39" s="1"/>
  <c r="L28" i="37"/>
  <c r="L31" i="37" s="1"/>
  <c r="L33" i="37" s="1"/>
  <c r="K8" i="39" s="1"/>
  <c r="K13" i="39" l="1"/>
  <c r="K18" i="39" s="1"/>
  <c r="L29" i="37"/>
  <c r="M24" i="37" s="1"/>
  <c r="M27" i="37" s="1"/>
  <c r="M28" i="37" s="1"/>
  <c r="M31" i="37" s="1"/>
  <c r="M33" i="37" s="1"/>
  <c r="L8" i="39" s="1"/>
  <c r="K20" i="39" l="1"/>
  <c r="L4" i="39" s="1"/>
  <c r="L13" i="39" s="1"/>
  <c r="L18" i="39" s="1"/>
  <c r="K42" i="39"/>
  <c r="K43" i="39" s="1"/>
  <c r="M29" i="37"/>
  <c r="L42" i="39" l="1"/>
  <c r="L43" i="39" s="1"/>
  <c r="L20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 Vézina</author>
  </authors>
  <commentList>
    <comment ref="B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L'exemple initial a été développé par Chan Sitha Meas 2014, modifié 2015 MV, 2017 MEQ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Évaluation projets:</t>
        </r>
        <r>
          <rPr>
            <sz val="9"/>
            <color indexed="81"/>
            <rFont val="Tahoma"/>
            <family val="2"/>
          </rPr>
          <t xml:space="preserve">
Investissements requis
Données relatives aux flux monétaires
Amortissements
Récupération en fin de projet
Taux d'actualisation
Taux d'impôts
</t>
        </r>
        <r>
          <rPr>
            <b/>
            <sz val="9"/>
            <color indexed="81"/>
            <rFont val="Tahoma"/>
            <family val="2"/>
          </rPr>
          <t>Financement:</t>
        </r>
        <r>
          <rPr>
            <sz val="9"/>
            <color indexed="81"/>
            <rFont val="Tahoma"/>
            <family val="2"/>
          </rPr>
          <t xml:space="preserve">
Taux d'intérêt
Dette actuelle, versements annuels capital et intérêts
Données relatives aux ratios financiers</t>
        </r>
      </text>
    </comment>
    <comment ref="B35" authorId="0" shapeId="0" xr:uid="{00000000-0006-0000-0300-000003000000}">
      <text>
        <r>
          <rPr>
            <sz val="9"/>
            <color indexed="81"/>
            <rFont val="Tahoma"/>
            <family val="2"/>
          </rPr>
          <t>-Date de début de projet différentes
-Durée des projets à comparer
-Investissements effectués à des moments différents
-Variation des flux financiers en cours de projets
Risque des projets différent
Outils: Van, TRI, Indice de rentabilité, Délais de réc. actualisé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Marie-Eve</author>
  </authors>
  <commentList>
    <comment ref="C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Marie-Eve:</t>
        </r>
        <r>
          <rPr>
            <sz val="9"/>
            <color indexed="81"/>
            <rFont val="Tahoma"/>
            <family val="2"/>
          </rPr>
          <t xml:space="preserve">
Formule combinée qui permet de calculer la valeur actualisée des économies d'impôts ainsi que la valeur actualisée des économies d'impôts à la fin du projet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Marie-Eve</author>
  </authors>
  <commentList>
    <comment ref="A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Marie-Eve:</t>
        </r>
        <r>
          <rPr>
            <sz val="9"/>
            <color indexed="81"/>
            <rFont val="Tahoma"/>
            <family val="2"/>
          </rPr>
          <t xml:space="preserve">
Bénéfice net + intérêts + amortissement
On exclut les intérêts pour pouvoir les présenter séparément, ce qui permet de voir rapidement quel sera le montant annuel d'intérêts versés
</t>
        </r>
      </text>
    </comment>
    <comment ref="L10" authorId="0" shapeId="0" xr:uid="{00000000-0006-0000-0500-000002000000}">
      <text>
        <r>
          <rPr>
            <b/>
            <sz val="9"/>
            <color indexed="81"/>
            <rFont val="Tahoma"/>
            <charset val="1"/>
          </rPr>
          <t>Marie-Eve:</t>
        </r>
        <r>
          <rPr>
            <sz val="9"/>
            <color indexed="81"/>
            <rFont val="Tahoma"/>
            <charset val="1"/>
          </rPr>
          <t xml:space="preserve">
La valeur résiduelle des immobilisations doit être incluse dans le calcul de la VAN pour montrer la rentabilité globale du projet. Ces immobilisations ont une valeur à la fin de l'horizon de 10 ans. Toutefois, dans la perspective où l'usine continuera ses activités à la fin de la période, la valeur résiduelle doit être exclue du calcul du financement.
</t>
        </r>
      </text>
    </comment>
  </commentList>
</comments>
</file>

<file path=xl/sharedStrings.xml><?xml version="1.0" encoding="utf-8"?>
<sst xmlns="http://schemas.openxmlformats.org/spreadsheetml/2006/main" count="213" uniqueCount="170">
  <si>
    <t>Left</t>
  </si>
  <si>
    <t>Top</t>
  </si>
  <si>
    <t>Right</t>
  </si>
  <si>
    <t>Bottom</t>
  </si>
  <si>
    <t>Ref</t>
  </si>
  <si>
    <t>Rendement exigé</t>
  </si>
  <si>
    <t>$B$8:$E$11</t>
  </si>
  <si>
    <t>Flux actualisés</t>
  </si>
  <si>
    <t>$B$2:$E$8</t>
  </si>
  <si>
    <t>$B$11:$F$16</t>
  </si>
  <si>
    <t>$H$17:$N$21</t>
  </si>
  <si>
    <t>$A$3:$K$4</t>
  </si>
  <si>
    <t>$B$2:$H$5</t>
  </si>
  <si>
    <t>$C$18:$E$21</t>
  </si>
  <si>
    <t>$C$22:$E$26</t>
  </si>
  <si>
    <t>Investissement</t>
  </si>
  <si>
    <t>Taux d'impôt</t>
  </si>
  <si>
    <t>Taux d'amortissement</t>
  </si>
  <si>
    <t>Valeur résiduelle</t>
  </si>
  <si>
    <t>Durée de vie</t>
  </si>
  <si>
    <t>VAEIACC</t>
  </si>
  <si>
    <t>Flux monétaires</t>
  </si>
  <si>
    <t>Revenus</t>
  </si>
  <si>
    <t xml:space="preserve">Projet </t>
  </si>
  <si>
    <t>VAN</t>
  </si>
  <si>
    <t>Flux an 1</t>
  </si>
  <si>
    <t>Flux an 2</t>
  </si>
  <si>
    <t>Flux an 3</t>
  </si>
  <si>
    <t>Flux an 4</t>
  </si>
  <si>
    <t>Flux an 5</t>
  </si>
  <si>
    <t>Flux an 6</t>
  </si>
  <si>
    <t>Solde départ</t>
  </si>
  <si>
    <t>Année 1</t>
  </si>
  <si>
    <t>Tonnage traité annuellement</t>
  </si>
  <si>
    <t>Usine actuelle de Montréal</t>
  </si>
  <si>
    <t>Investissement Terrain</t>
  </si>
  <si>
    <t>Investissement Fonds de roulement</t>
  </si>
  <si>
    <t>Frais fixes</t>
  </si>
  <si>
    <t xml:space="preserve">Capital </t>
  </si>
  <si>
    <t>Intérêts</t>
  </si>
  <si>
    <t>Solde de la fin</t>
  </si>
  <si>
    <t>Impôts 30%</t>
  </si>
  <si>
    <t>Usine</t>
  </si>
  <si>
    <r>
      <t>Quantité de CO</t>
    </r>
    <r>
      <rPr>
        <b/>
        <vertAlign val="superscript"/>
        <sz val="8"/>
        <color rgb="FFFFFFFF"/>
        <rFont val="Arial"/>
        <family val="2"/>
      </rPr>
      <t>2</t>
    </r>
    <r>
      <rPr>
        <b/>
        <sz val="8"/>
        <color rgb="FFFFFFFF"/>
        <rFont val="Arial"/>
        <family val="2"/>
      </rPr>
      <t xml:space="preserve"> produite (KG)</t>
    </r>
  </si>
  <si>
    <r>
      <t>Prix de vente du CO</t>
    </r>
    <r>
      <rPr>
        <b/>
        <vertAlign val="superscript"/>
        <sz val="8"/>
        <color rgb="FFFFFFFF"/>
        <rFont val="Arial"/>
        <family val="2"/>
      </rPr>
      <t>2</t>
    </r>
    <r>
      <rPr>
        <b/>
        <sz val="8"/>
        <color rgb="FFFFFFFF"/>
        <rFont val="Arial"/>
        <family val="2"/>
      </rPr>
      <t xml:space="preserve"> (par KG)</t>
    </r>
  </si>
  <si>
    <t>Déchets</t>
  </si>
  <si>
    <t>CO2</t>
  </si>
  <si>
    <t>Revenus supp. annuel</t>
  </si>
  <si>
    <t>Investissement Usine (amort. 20%)</t>
  </si>
  <si>
    <t>Flux an 7</t>
  </si>
  <si>
    <t>Flux an 8</t>
  </si>
  <si>
    <t>Flux an 9</t>
  </si>
  <si>
    <t>Flux an 10</t>
  </si>
  <si>
    <t>TRI</t>
  </si>
  <si>
    <t>Délai de récupération</t>
  </si>
  <si>
    <t>plus de 6 ans</t>
  </si>
  <si>
    <t>RCI</t>
  </si>
  <si>
    <t>Amortissement</t>
  </si>
  <si>
    <t>Rendement net annuel</t>
  </si>
  <si>
    <t>Capital investi</t>
  </si>
  <si>
    <t xml:space="preserve">3 usines </t>
  </si>
  <si>
    <t>VAE</t>
  </si>
  <si>
    <t>Frais de financement</t>
  </si>
  <si>
    <t>Dividende actionnaire</t>
  </si>
  <si>
    <r>
      <rPr>
        <b/>
        <i/>
        <sz val="9"/>
        <color rgb="FFFF0000"/>
        <rFont val="Arial"/>
        <family val="2"/>
      </rPr>
      <t>Nouveau</t>
    </r>
    <r>
      <rPr>
        <sz val="9"/>
        <color theme="1"/>
        <rFont val="Arial"/>
        <family val="2"/>
      </rPr>
      <t xml:space="preserve"> Financement</t>
    </r>
  </si>
  <si>
    <t>Capital</t>
  </si>
  <si>
    <t>Solde fin</t>
  </si>
  <si>
    <t>Solde d'encaisse au début</t>
  </si>
  <si>
    <t>Surplus / (déficit)</t>
  </si>
  <si>
    <t>Surplus / (déficit) après remboursement</t>
  </si>
  <si>
    <t>Fonds récupérés à la fin du projet</t>
  </si>
  <si>
    <t>Solde d'encaisse à la fin</t>
  </si>
  <si>
    <r>
      <t>(1+11%)</t>
    </r>
    <r>
      <rPr>
        <vertAlign val="superscript"/>
        <sz val="9"/>
        <color theme="1"/>
        <rFont val="Arial"/>
        <family val="2"/>
      </rPr>
      <t>1</t>
    </r>
  </si>
  <si>
    <r>
      <t>(1+11%)</t>
    </r>
    <r>
      <rPr>
        <vertAlign val="superscript"/>
        <sz val="9"/>
        <color theme="1"/>
        <rFont val="Arial"/>
        <family val="2"/>
      </rPr>
      <t>2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</si>
  <si>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3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</si>
  <si>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</si>
  <si>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>(1+11%)</t>
    </r>
    <r>
      <rPr>
        <vertAlign val="superscript"/>
        <sz val="9"/>
        <color theme="1"/>
        <rFont val="Arial"/>
        <family val="2"/>
      </rPr>
      <t>5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</si>
  <si>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6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</si>
  <si>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7</t>
    </r>
    <r>
      <rPr>
        <sz val="11"/>
        <color theme="1"/>
        <rFont val="Calibri"/>
        <family val="2"/>
        <scheme val="minor"/>
      </rPr>
      <t/>
    </r>
  </si>
  <si>
    <r>
      <t>(1+11%)</t>
    </r>
    <r>
      <rPr>
        <vertAlign val="superscript"/>
        <sz val="9"/>
        <color theme="1"/>
        <rFont val="Arial"/>
        <family val="2"/>
      </rPr>
      <t>8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</si>
  <si>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9</t>
    </r>
    <r>
      <rPr>
        <sz val="10"/>
        <color theme="1"/>
        <rFont val="Arial"/>
        <family val="2"/>
      </rPr>
      <t/>
    </r>
  </si>
  <si>
    <r>
      <t>(1+11%)</t>
    </r>
    <r>
      <rPr>
        <vertAlign val="superscript"/>
        <sz val="9"/>
        <color theme="1"/>
        <rFont val="Arial"/>
        <family val="2"/>
      </rPr>
      <t>10</t>
    </r>
    <r>
      <rPr>
        <sz val="11"/>
        <color theme="1"/>
        <rFont val="Calibri"/>
        <family val="2"/>
        <scheme val="minor"/>
      </rPr>
      <t/>
    </r>
  </si>
  <si>
    <r>
      <t>(1+11%)</t>
    </r>
    <r>
      <rPr>
        <vertAlign val="superscript"/>
        <sz val="9"/>
        <color theme="1"/>
        <rFont val="Arial"/>
        <family val="2"/>
      </rPr>
      <t>10</t>
    </r>
    <r>
      <rPr>
        <sz val="10"/>
        <color theme="1"/>
        <rFont val="Arial"/>
        <family val="2"/>
      </rPr>
      <t/>
    </r>
  </si>
  <si>
    <t>(hypothèse simpliste mais OK)</t>
  </si>
  <si>
    <t>Nouvelle Usine</t>
  </si>
  <si>
    <t>Résultat d'exploitation</t>
  </si>
  <si>
    <t>Résultat net</t>
  </si>
  <si>
    <t>Marge Suppl.</t>
  </si>
  <si>
    <t>Etats des résultats RECUP+</t>
  </si>
  <si>
    <t>Étape 3: Calcul des flux actualisés</t>
  </si>
  <si>
    <t>Étape 2: Calcul des flux monétaires pertinents</t>
  </si>
  <si>
    <t>Requis pour le calcul du financement</t>
  </si>
  <si>
    <t>Requis pour le calcul de la VAN</t>
  </si>
  <si>
    <t>Frais financiers</t>
  </si>
  <si>
    <t>Données présentées dans le texte à mettre en tableau</t>
  </si>
  <si>
    <t>Amortissement usines</t>
  </si>
  <si>
    <t>Remboursement annuel dette</t>
  </si>
  <si>
    <t>Taux d'intérêt</t>
  </si>
  <si>
    <t>Durée du projet (ans)</t>
  </si>
  <si>
    <t>Coût du capital</t>
  </si>
  <si>
    <t>Valeur résiduelle nouvelle usine</t>
  </si>
  <si>
    <t>Flux monétaires suppl.</t>
  </si>
  <si>
    <t>.</t>
  </si>
  <si>
    <t>Valeur au marché de l'usine de Montréal?</t>
  </si>
  <si>
    <t>Rendement moyen</t>
  </si>
  <si>
    <t>Amortissement moyen</t>
  </si>
  <si>
    <r>
      <t xml:space="preserve">Fonds auto-générés </t>
    </r>
    <r>
      <rPr>
        <b/>
        <i/>
        <sz val="9"/>
        <color rgb="FFFF0000"/>
        <rFont val="Arial"/>
        <family val="2"/>
      </rPr>
      <t>supplémentaires</t>
    </r>
  </si>
  <si>
    <r>
      <t xml:space="preserve">Remboursement du capital-dette </t>
    </r>
    <r>
      <rPr>
        <b/>
        <i/>
        <sz val="9"/>
        <color rgb="FFFF0000"/>
        <rFont val="Arial"/>
        <family val="2"/>
      </rPr>
      <t>actuelle</t>
    </r>
  </si>
  <si>
    <r>
      <t xml:space="preserve">Remboursement des intérêts-dette </t>
    </r>
    <r>
      <rPr>
        <b/>
        <i/>
        <sz val="9"/>
        <color rgb="FFFF0000"/>
        <rFont val="Arial"/>
        <family val="2"/>
      </rPr>
      <t>actuelle</t>
    </r>
  </si>
  <si>
    <t>Investissement intial net</t>
  </si>
  <si>
    <t>Année</t>
  </si>
  <si>
    <t>Présentation OK</t>
  </si>
  <si>
    <t>Étape 4: Calculer les autres indicateurs de performance</t>
  </si>
  <si>
    <t>Étape 6: Présenter votre recommandation</t>
  </si>
  <si>
    <t>Étape 1: Calculer les besoins en financement</t>
  </si>
  <si>
    <t>Étape 2: Estimer le montant de financement nécessaire maintenir un surplus sur 10 ans</t>
  </si>
  <si>
    <t>Étape 3: Calculer le montant des intérêts sur 10 ans</t>
  </si>
  <si>
    <t>(facilite les copier coller)</t>
  </si>
  <si>
    <t>Étape 1: Identification des données pertinentes</t>
  </si>
  <si>
    <t>Dividende annuel actionnaire</t>
  </si>
  <si>
    <t>Dette (4 ans)</t>
  </si>
  <si>
    <r>
      <t xml:space="preserve">Endettement général </t>
    </r>
    <r>
      <rPr>
        <i/>
        <sz val="10"/>
        <color theme="1"/>
        <rFont val="Trebuchet MS"/>
        <family val="2"/>
      </rPr>
      <t xml:space="preserve">Leverage </t>
    </r>
    <r>
      <rPr>
        <sz val="11"/>
        <color theme="1"/>
        <rFont val="Calibri"/>
        <family val="2"/>
        <scheme val="minor"/>
      </rPr>
      <t>(Actif/Passif)</t>
    </r>
  </si>
  <si>
    <t>Résultat net avant impôt</t>
  </si>
  <si>
    <r>
      <rPr>
        <b/>
        <sz val="11"/>
        <color theme="1"/>
        <rFont val="Calibri"/>
        <family val="2"/>
        <scheme val="minor"/>
      </rPr>
      <t>Couverture dette et intérêts</t>
    </r>
    <r>
      <rPr>
        <sz val="11"/>
        <color theme="1"/>
        <rFont val="Calibri"/>
        <family val="2"/>
        <scheme val="minor"/>
      </rPr>
      <t>: (Résultats d'exploitation/ (Intérêt +Rembours. Capital)/(1-Ti))</t>
    </r>
  </si>
  <si>
    <r>
      <rPr>
        <b/>
        <sz val="11"/>
        <color theme="1"/>
        <rFont val="Calibri"/>
        <family val="2"/>
        <scheme val="minor"/>
      </rPr>
      <t xml:space="preserve">Actif LT non financé: </t>
    </r>
    <r>
      <rPr>
        <sz val="11"/>
        <color theme="1"/>
        <rFont val="Calibri"/>
        <family val="2"/>
        <scheme val="minor"/>
      </rPr>
      <t>(DLT+PCDNC/Immo+placements)</t>
    </r>
  </si>
  <si>
    <r>
      <rPr>
        <b/>
        <sz val="11"/>
        <color theme="1"/>
        <rFont val="Calibri"/>
        <family val="2"/>
        <scheme val="minor"/>
      </rPr>
      <t>Endettement à LT:</t>
    </r>
    <r>
      <rPr>
        <sz val="11"/>
        <color theme="1"/>
        <rFont val="Calibri"/>
        <family val="2"/>
        <scheme val="minor"/>
      </rPr>
      <t xml:space="preserve"> (DLT+PCDNC/C.P.)</t>
    </r>
  </si>
  <si>
    <r>
      <rPr>
        <b/>
        <sz val="11"/>
        <color theme="1"/>
        <rFont val="Calibri"/>
        <family val="2"/>
        <scheme val="minor"/>
      </rPr>
      <t>Endettement général:</t>
    </r>
    <r>
      <rPr>
        <sz val="11"/>
        <color theme="1"/>
        <rFont val="Calibri"/>
        <family val="2"/>
        <scheme val="minor"/>
      </rPr>
      <t xml:space="preserve"> (Passif / C.P.)</t>
    </r>
  </si>
  <si>
    <t>N/A</t>
  </si>
  <si>
    <t>Liquidités cumulées:</t>
  </si>
  <si>
    <t>Techniques d'analyse de projets d'investissement (pas à pas)</t>
  </si>
  <si>
    <t>À éviter</t>
  </si>
  <si>
    <t>Situation fictive mais basée sur un exemple réel)</t>
  </si>
  <si>
    <t>Outils financiers pertinents?</t>
  </si>
  <si>
    <t>Terrain</t>
  </si>
  <si>
    <t>Bâtiment</t>
  </si>
  <si>
    <t>Étape 4: Compléter le budget de caisse à partir du tableau précédent</t>
  </si>
  <si>
    <t>Nouveau financement</t>
  </si>
  <si>
    <t>Voir étape 3</t>
  </si>
  <si>
    <t>Liquiditées annuelles</t>
  </si>
  <si>
    <t>Étape 7: Calculer les ratios de financement si requis</t>
  </si>
  <si>
    <t>Étape 5: Ajuster le montant du financement nécessaire ou du terme au besoin (versements anticipés)</t>
  </si>
  <si>
    <t>Étape 6: Calculer la possibilité d'accroître les versements en réduisant le terme</t>
  </si>
  <si>
    <t>Valeur résiduelle nouveau terrain</t>
  </si>
  <si>
    <t xml:space="preserve">Étape 5: Analyser le projet quantitativement et qualitativement </t>
  </si>
  <si>
    <t xml:space="preserve">Conclure sur le résultat quantitatif (Fit financier) </t>
  </si>
  <si>
    <t xml:space="preserve">Produire une analyse qualitative équilibrée (Risque du projet, fit opérationnel, lien avec les éléments de l'analyse de la situation actuelle) </t>
  </si>
  <si>
    <t xml:space="preserve">demie année </t>
  </si>
  <si>
    <t>montant de base</t>
  </si>
  <si>
    <t>DPA</t>
  </si>
  <si>
    <t xml:space="preserve">cloture </t>
  </si>
  <si>
    <t>taux d'impôt</t>
  </si>
  <si>
    <t xml:space="preserve">Solde d'ouverture </t>
  </si>
  <si>
    <t>ajout</t>
  </si>
  <si>
    <t xml:space="preserve">ou </t>
  </si>
  <si>
    <t>Autres informations présentées sous forme de tableau:</t>
  </si>
  <si>
    <t>Prix de vente par tonne traitée</t>
  </si>
  <si>
    <t>Capacité (en tonnes)</t>
  </si>
  <si>
    <t xml:space="preserve">Coûts fixes </t>
  </si>
  <si>
    <t>Nouvelle usine  à l'est Montréal</t>
  </si>
  <si>
    <t xml:space="preserve">Coût variable unitaire par tonne </t>
  </si>
  <si>
    <t xml:space="preserve">Coûts variables </t>
  </si>
  <si>
    <t xml:space="preserve">Marge sur coût variable </t>
  </si>
  <si>
    <t xml:space="preserve">Coûts supplémentaires </t>
  </si>
  <si>
    <t>Coûts fixes</t>
  </si>
  <si>
    <t>Flux monétaires avant impôt</t>
  </si>
  <si>
    <t>Économies d'impôts provenant de la DPA</t>
  </si>
  <si>
    <t>Économies d'impôts sur amo immeuble</t>
  </si>
  <si>
    <t>Information manquante? Il faut poser une hypothèse sur le prix de vente de l'immeuble et du bâtiment</t>
  </si>
  <si>
    <t>Calcul des intérêts sur la dette actuelle</t>
  </si>
  <si>
    <r>
      <t xml:space="preserve">Fonds auto-générés </t>
    </r>
    <r>
      <rPr>
        <b/>
        <i/>
        <sz val="9"/>
        <color rgb="FFFF0000"/>
        <rFont val="Arial"/>
        <family val="2"/>
      </rPr>
      <t xml:space="preserve">actuels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</si>
</sst>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$&quot;_);[Red]\(#,##0\ &quot;$&quot;\)"/>
    <numFmt numFmtId="8" formatCode="#,##0.00\ &quot;$&quot;_);[Red]\(#,##0.00\ &quot;$&quot;\)"/>
    <numFmt numFmtId="44" formatCode="_ * #,##0.00_)\ &quot;$&quot;_ ;_ * \(#,##0.00\)\ &quot;$&quot;_ ;_ * &quot;-&quot;??_)\ &quot;$&quot;_ ;_ @_ "/>
    <numFmt numFmtId="164" formatCode="_ * #,##0.00_)\ _$_ ;_ * \(#,##0.00\)\ _$_ ;_ * &quot;-&quot;??_)\ _$_ ;_ @_ "/>
    <numFmt numFmtId="165" formatCode="_ * #,##0_)\ &quot;$&quot;_ ;_ * \(#,##0\)\ &quot;$&quot;_ ;_ * &quot;-&quot;??_)\ &quot;$&quot;_ ;_ @_ "/>
    <numFmt numFmtId="166" formatCode="_ * #,##0_)\ _$_ ;_ * \(#,##0\)\ _$_ ;_ * &quot;-&quot;??_)\ _$_ ;_ @_ "/>
    <numFmt numFmtId="167" formatCode="_ * #,##0.0_)\ &quot;$&quot;_ ;_ * \(#,##0.0\)\ &quot;$&quot;_ ;_ * &quot;-&quot;??_)\ &quot;$&quot;_ ;_ @_ "/>
    <numFmt numFmtId="168" formatCode="_ * #,##0_)\ &quot;$&quot;_ ;_ * \(#,##0\)\ &quot;$&quot;_ ;_ * &quot;-&quot;?_)\ &quot;$&quot;_ ;_ @_ "/>
  </numFmts>
  <fonts count="4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b/>
      <sz val="8"/>
      <color theme="0"/>
      <name val="Arial"/>
      <family val="2"/>
    </font>
    <font>
      <u val="singleAccounting"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rgb="FFFFFF00"/>
      <name val="Arial"/>
      <family val="2"/>
    </font>
    <font>
      <sz val="8"/>
      <color rgb="FFFF0000"/>
      <name val="Arial"/>
      <family val="2"/>
    </font>
    <font>
      <u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  <font>
      <b/>
      <vertAlign val="superscript"/>
      <sz val="8"/>
      <color rgb="FFFFFF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 val="singleAccounting"/>
      <sz val="9"/>
      <color theme="1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i/>
      <sz val="11"/>
      <color rgb="FFFF0000"/>
      <name val="Calibri"/>
      <family val="2"/>
      <scheme val="minor"/>
    </font>
    <font>
      <i/>
      <sz val="11"/>
      <color rgb="FFFF0000"/>
      <name val="Arial"/>
      <family val="2"/>
    </font>
    <font>
      <b/>
      <i/>
      <sz val="9"/>
      <color rgb="FFFF0000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u/>
      <sz val="11"/>
      <color theme="1"/>
      <name val="Arial"/>
      <family val="2"/>
    </font>
    <font>
      <i/>
      <sz val="10"/>
      <color theme="1"/>
      <name val="Trebuchet MS"/>
      <family val="2"/>
    </font>
    <font>
      <b/>
      <sz val="14"/>
      <color theme="4" tint="-0.249977111117893"/>
      <name val="Arial"/>
      <family val="2"/>
    </font>
    <font>
      <sz val="11"/>
      <color theme="9" tint="-0.249977111117893"/>
      <name val="Arial"/>
      <family val="2"/>
    </font>
    <font>
      <b/>
      <sz val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09DA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24"/>
      </top>
      <bottom/>
      <diagonal/>
    </border>
    <border>
      <left style="thin">
        <color indexed="24"/>
      </left>
      <right/>
      <top/>
      <bottom/>
      <diagonal/>
    </border>
    <border>
      <left style="thin">
        <color rgb="FF409DAD"/>
      </left>
      <right/>
      <top style="thin">
        <color indexed="24"/>
      </top>
      <bottom style="thin">
        <color rgb="FF409DAD"/>
      </bottom>
      <diagonal/>
    </border>
    <border>
      <left style="thin">
        <color indexed="24"/>
      </left>
      <right/>
      <top style="thin">
        <color rgb="FF409DAD"/>
      </top>
      <bottom style="medium">
        <color rgb="FF409DAD"/>
      </bottom>
      <diagonal/>
    </border>
    <border>
      <left style="thin">
        <color indexed="24"/>
      </left>
      <right style="thin">
        <color indexed="24"/>
      </right>
      <top style="thin">
        <color rgb="FF409DAD"/>
      </top>
      <bottom style="medium">
        <color rgb="FF409DAD"/>
      </bottom>
      <diagonal/>
    </border>
    <border>
      <left/>
      <right style="thin">
        <color rgb="FF409DAD"/>
      </right>
      <top style="thin">
        <color indexed="24"/>
      </top>
      <bottom/>
      <diagonal/>
    </border>
    <border>
      <left style="dashed">
        <color indexed="24"/>
      </left>
      <right/>
      <top style="dashed">
        <color indexed="24"/>
      </top>
      <bottom style="dashed">
        <color indexed="24"/>
      </bottom>
      <diagonal/>
    </border>
    <border>
      <left style="thin">
        <color indexed="24"/>
      </left>
      <right style="thin">
        <color indexed="24"/>
      </right>
      <top style="dashed">
        <color indexed="24"/>
      </top>
      <bottom style="dashed">
        <color indexed="24"/>
      </bottom>
      <diagonal/>
    </border>
    <border>
      <left style="thin">
        <color indexed="24"/>
      </left>
      <right style="thin">
        <color indexed="24"/>
      </right>
      <top style="dashed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dashed">
        <color indexed="24"/>
      </top>
      <bottom/>
      <diagonal/>
    </border>
    <border>
      <left style="mediumDashed">
        <color theme="8"/>
      </left>
      <right/>
      <top style="mediumDashed">
        <color theme="8"/>
      </top>
      <bottom/>
      <diagonal/>
    </border>
    <border>
      <left/>
      <right/>
      <top style="mediumDashed">
        <color theme="8"/>
      </top>
      <bottom/>
      <diagonal/>
    </border>
    <border>
      <left/>
      <right style="mediumDashed">
        <color theme="8"/>
      </right>
      <top style="mediumDashed">
        <color theme="8"/>
      </top>
      <bottom/>
      <diagonal/>
    </border>
    <border>
      <left style="mediumDashed">
        <color theme="8"/>
      </left>
      <right/>
      <top/>
      <bottom style="mediumDashed">
        <color theme="8"/>
      </bottom>
      <diagonal/>
    </border>
    <border>
      <left/>
      <right/>
      <top/>
      <bottom style="mediumDashed">
        <color theme="8"/>
      </bottom>
      <diagonal/>
    </border>
    <border>
      <left/>
      <right style="mediumDashed">
        <color theme="8"/>
      </right>
      <top/>
      <bottom style="mediumDashed">
        <color theme="8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/>
      <right/>
      <top style="medium">
        <color theme="8" tint="-0.24994659260841701"/>
      </top>
      <bottom style="medium">
        <color theme="8"/>
      </bottom>
      <diagonal/>
    </border>
    <border>
      <left/>
      <right style="medium">
        <color theme="8" tint="-0.24994659260841701"/>
      </right>
      <top style="medium">
        <color theme="8" tint="-0.24994659260841701"/>
      </top>
      <bottom style="medium">
        <color theme="8"/>
      </bottom>
      <diagonal/>
    </border>
    <border>
      <left style="dashed">
        <color indexed="24"/>
      </left>
      <right style="dashed">
        <color indexed="24"/>
      </right>
      <top style="dashed">
        <color indexed="24"/>
      </top>
      <bottom style="dashed">
        <color indexed="24"/>
      </bottom>
      <diagonal/>
    </border>
    <border>
      <left style="dashed">
        <color theme="8"/>
      </left>
      <right style="dashed">
        <color theme="8"/>
      </right>
      <top style="dashed">
        <color theme="8"/>
      </top>
      <bottom style="dashed">
        <color theme="8"/>
      </bottom>
      <diagonal/>
    </border>
    <border>
      <left style="dashed">
        <color theme="8"/>
      </left>
      <right/>
      <top style="dashed">
        <color theme="8"/>
      </top>
      <bottom style="dashed">
        <color theme="8"/>
      </bottom>
      <diagonal/>
    </border>
    <border>
      <left/>
      <right style="dashed">
        <color theme="8"/>
      </right>
      <top style="dashed">
        <color theme="8"/>
      </top>
      <bottom style="dashed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409DAD"/>
      </bottom>
      <diagonal/>
    </border>
    <border>
      <left style="thin">
        <color indexed="24"/>
      </left>
      <right style="medium">
        <color indexed="64"/>
      </right>
      <top style="medium">
        <color indexed="64"/>
      </top>
      <bottom style="dashed">
        <color indexed="24"/>
      </bottom>
      <diagonal/>
    </border>
    <border>
      <left style="medium">
        <color indexed="64"/>
      </left>
      <right/>
      <top style="thin">
        <color indexed="24"/>
      </top>
      <bottom style="thin">
        <color rgb="FF409DAD"/>
      </bottom>
      <diagonal/>
    </border>
    <border>
      <left style="thin">
        <color indexed="24"/>
      </left>
      <right style="medium">
        <color indexed="64"/>
      </right>
      <top style="dashed">
        <color indexed="24"/>
      </top>
      <bottom style="dashed">
        <color indexed="24"/>
      </bottom>
      <diagonal/>
    </border>
    <border>
      <left style="medium">
        <color indexed="64"/>
      </left>
      <right/>
      <top style="thin">
        <color indexed="24"/>
      </top>
      <bottom/>
      <diagonal/>
    </border>
    <border>
      <left style="thin">
        <color indexed="24"/>
      </left>
      <right style="medium">
        <color indexed="64"/>
      </right>
      <top style="dashed">
        <color indexed="24"/>
      </top>
      <bottom/>
      <diagonal/>
    </border>
    <border>
      <left style="thin">
        <color indexed="24"/>
      </left>
      <right style="medium">
        <color indexed="64"/>
      </right>
      <top style="dashed">
        <color indexed="24"/>
      </top>
      <bottom style="medium">
        <color indexed="64"/>
      </bottom>
      <diagonal/>
    </border>
    <border>
      <left style="medium">
        <color indexed="64"/>
      </left>
      <right/>
      <top style="thin">
        <color indexed="2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7">
    <xf numFmtId="0" fontId="0" fillId="0" borderId="0" xfId="0"/>
    <xf numFmtId="165" fontId="0" fillId="0" borderId="0" xfId="2" applyNumberFormat="1" applyFont="1"/>
    <xf numFmtId="0" fontId="3" fillId="0" borderId="0" xfId="0" applyFont="1"/>
    <xf numFmtId="0" fontId="4" fillId="2" borderId="2" xfId="0" applyFont="1" applyFill="1" applyBorder="1" applyAlignment="1">
      <alignment horizontal="left" vertical="center"/>
    </xf>
    <xf numFmtId="8" fontId="0" fillId="0" borderId="0" xfId="0" applyNumberFormat="1"/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right" vertical="center"/>
    </xf>
    <xf numFmtId="10" fontId="0" fillId="0" borderId="0" xfId="0" applyNumberFormat="1"/>
    <xf numFmtId="0" fontId="0" fillId="0" borderId="0" xfId="0"/>
    <xf numFmtId="0" fontId="3" fillId="0" borderId="0" xfId="0" applyFont="1"/>
    <xf numFmtId="0" fontId="0" fillId="0" borderId="0" xfId="0"/>
    <xf numFmtId="0" fontId="5" fillId="3" borderId="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/>
    </xf>
    <xf numFmtId="165" fontId="11" fillId="4" borderId="7" xfId="2" applyNumberFormat="1" applyFont="1" applyFill="1" applyBorder="1" applyAlignment="1">
      <alignment horizontal="right" vertical="center"/>
    </xf>
    <xf numFmtId="165" fontId="11" fillId="4" borderId="8" xfId="2" applyNumberFormat="1" applyFont="1" applyFill="1" applyBorder="1" applyAlignment="1">
      <alignment horizontal="right" vertical="center"/>
    </xf>
    <xf numFmtId="165" fontId="11" fillId="4" borderId="10" xfId="2" applyNumberFormat="1" applyFont="1" applyFill="1" applyBorder="1" applyAlignment="1">
      <alignment horizontal="right" vertical="center"/>
    </xf>
    <xf numFmtId="9" fontId="11" fillId="4" borderId="8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2" borderId="0" xfId="0" applyFont="1" applyFill="1" applyBorder="1" applyAlignment="1">
      <alignment horizontal="left" vertical="center"/>
    </xf>
    <xf numFmtId="165" fontId="9" fillId="5" borderId="5" xfId="0" applyNumberFormat="1" applyFont="1" applyFill="1" applyBorder="1" applyAlignment="1">
      <alignment horizontal="right" vertical="center"/>
    </xf>
    <xf numFmtId="0" fontId="12" fillId="5" borderId="4" xfId="0" applyFont="1" applyFill="1" applyBorder="1" applyAlignment="1">
      <alignment horizontal="center" vertical="center"/>
    </xf>
    <xf numFmtId="166" fontId="11" fillId="4" borderId="10" xfId="1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/>
    </xf>
    <xf numFmtId="10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5" fontId="7" fillId="0" borderId="11" xfId="2" applyNumberFormat="1" applyFont="1" applyBorder="1"/>
    <xf numFmtId="165" fontId="7" fillId="0" borderId="12" xfId="2" applyNumberFormat="1" applyFont="1" applyBorder="1"/>
    <xf numFmtId="165" fontId="10" fillId="0" borderId="12" xfId="2" applyNumberFormat="1" applyFont="1" applyBorder="1" applyAlignment="1">
      <alignment horizontal="center"/>
    </xf>
    <xf numFmtId="165" fontId="10" fillId="0" borderId="13" xfId="2" applyNumberFormat="1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0" xfId="0" applyFont="1"/>
    <xf numFmtId="0" fontId="18" fillId="3" borderId="1" xfId="0" applyFont="1" applyFill="1" applyBorder="1" applyAlignment="1">
      <alignment horizontal="center" vertical="center"/>
    </xf>
    <xf numFmtId="166" fontId="7" fillId="0" borderId="0" xfId="1" applyNumberFormat="1" applyFont="1"/>
    <xf numFmtId="166" fontId="10" fillId="0" borderId="0" xfId="1" applyNumberFormat="1" applyFont="1"/>
    <xf numFmtId="0" fontId="7" fillId="0" borderId="0" xfId="0" applyFont="1" applyAlignment="1">
      <alignment horizontal="left" indent="3"/>
    </xf>
    <xf numFmtId="0" fontId="20" fillId="0" borderId="0" xfId="0" applyFont="1"/>
    <xf numFmtId="0" fontId="21" fillId="0" borderId="0" xfId="0" applyFont="1"/>
    <xf numFmtId="166" fontId="7" fillId="0" borderId="0" xfId="0" applyNumberFormat="1" applyFont="1"/>
    <xf numFmtId="0" fontId="21" fillId="0" borderId="0" xfId="0" applyFont="1" applyAlignment="1">
      <alignment horizontal="center"/>
    </xf>
    <xf numFmtId="166" fontId="7" fillId="0" borderId="17" xfId="1" applyNumberFormat="1" applyFont="1" applyBorder="1"/>
    <xf numFmtId="166" fontId="7" fillId="0" borderId="18" xfId="1" applyNumberFormat="1" applyFont="1" applyBorder="1"/>
    <xf numFmtId="166" fontId="7" fillId="0" borderId="19" xfId="1" applyNumberFormat="1" applyFont="1" applyBorder="1"/>
    <xf numFmtId="166" fontId="7" fillId="0" borderId="20" xfId="1" applyNumberFormat="1" applyFont="1" applyBorder="1"/>
    <xf numFmtId="166" fontId="7" fillId="0" borderId="0" xfId="1" applyNumberFormat="1" applyFont="1" applyBorder="1"/>
    <xf numFmtId="166" fontId="7" fillId="0" borderId="21" xfId="1" applyNumberFormat="1" applyFont="1" applyBorder="1"/>
    <xf numFmtId="166" fontId="7" fillId="0" borderId="22" xfId="1" applyNumberFormat="1" applyFont="1" applyBorder="1"/>
    <xf numFmtId="166" fontId="7" fillId="0" borderId="23" xfId="1" applyNumberFormat="1" applyFont="1" applyBorder="1"/>
    <xf numFmtId="166" fontId="7" fillId="0" borderId="24" xfId="1" applyNumberFormat="1" applyFont="1" applyBorder="1"/>
    <xf numFmtId="0" fontId="24" fillId="6" borderId="25" xfId="0" applyFont="1" applyFill="1" applyBorder="1" applyAlignment="1">
      <alignment horizontal="center"/>
    </xf>
    <xf numFmtId="0" fontId="24" fillId="6" borderId="26" xfId="0" applyFont="1" applyFill="1" applyBorder="1" applyAlignment="1">
      <alignment horizontal="center"/>
    </xf>
    <xf numFmtId="165" fontId="7" fillId="0" borderId="0" xfId="0" applyNumberFormat="1" applyFont="1"/>
    <xf numFmtId="165" fontId="10" fillId="0" borderId="0" xfId="0" applyNumberFormat="1" applyFont="1"/>
    <xf numFmtId="165" fontId="11" fillId="4" borderId="27" xfId="2" applyNumberFormat="1" applyFont="1" applyFill="1" applyBorder="1" applyAlignment="1">
      <alignment horizontal="right" vertical="center"/>
    </xf>
    <xf numFmtId="0" fontId="7" fillId="0" borderId="0" xfId="0" applyFont="1" applyFill="1" applyBorder="1"/>
    <xf numFmtId="0" fontId="25" fillId="0" borderId="0" xfId="0" applyFont="1"/>
    <xf numFmtId="165" fontId="10" fillId="0" borderId="0" xfId="2" applyNumberFormat="1" applyFont="1"/>
    <xf numFmtId="0" fontId="7" fillId="0" borderId="0" xfId="0" applyFont="1" applyAlignment="1">
      <alignment horizontal="left"/>
    </xf>
    <xf numFmtId="166" fontId="17" fillId="0" borderId="0" xfId="1" applyNumberFormat="1" applyFont="1"/>
    <xf numFmtId="0" fontId="7" fillId="0" borderId="0" xfId="0" applyFont="1" applyFill="1"/>
    <xf numFmtId="165" fontId="23" fillId="0" borderId="0" xfId="2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right" vertical="center"/>
    </xf>
    <xf numFmtId="165" fontId="10" fillId="4" borderId="28" xfId="2" applyNumberFormat="1" applyFont="1" applyFill="1" applyBorder="1"/>
    <xf numFmtId="0" fontId="17" fillId="0" borderId="0" xfId="0" applyFont="1" applyAlignment="1">
      <alignment horizontal="left" indent="3"/>
    </xf>
    <xf numFmtId="0" fontId="16" fillId="4" borderId="29" xfId="0" applyFont="1" applyFill="1" applyBorder="1"/>
    <xf numFmtId="10" fontId="16" fillId="4" borderId="30" xfId="3" applyNumberFormat="1" applyFont="1" applyFill="1" applyBorder="1" applyAlignment="1">
      <alignment horizontal="center"/>
    </xf>
    <xf numFmtId="0" fontId="16" fillId="4" borderId="29" xfId="0" applyFont="1" applyFill="1" applyBorder="1" applyAlignment="1">
      <alignment horizontal="left"/>
    </xf>
    <xf numFmtId="165" fontId="16" fillId="4" borderId="30" xfId="0" applyNumberFormat="1" applyFont="1" applyFill="1" applyBorder="1"/>
    <xf numFmtId="0" fontId="17" fillId="0" borderId="0" xfId="0" applyFont="1" applyFill="1" applyAlignment="1">
      <alignment horizontal="right"/>
    </xf>
    <xf numFmtId="0" fontId="17" fillId="0" borderId="0" xfId="0" applyFont="1" applyAlignment="1">
      <alignment horizontal="right"/>
    </xf>
    <xf numFmtId="166" fontId="7" fillId="0" borderId="0" xfId="1" applyNumberFormat="1" applyFont="1" applyFill="1"/>
    <xf numFmtId="165" fontId="4" fillId="2" borderId="9" xfId="2" applyNumberFormat="1" applyFont="1" applyFill="1" applyBorder="1" applyAlignment="1">
      <alignment horizontal="right" vertical="center"/>
    </xf>
    <xf numFmtId="0" fontId="17" fillId="0" borderId="34" xfId="0" applyFont="1" applyBorder="1"/>
    <xf numFmtId="0" fontId="7" fillId="0" borderId="0" xfId="0" applyFont="1" applyBorder="1"/>
    <xf numFmtId="0" fontId="7" fillId="0" borderId="34" xfId="0" applyFont="1" applyBorder="1" applyAlignment="1">
      <alignment horizontal="left" indent="3"/>
    </xf>
    <xf numFmtId="0" fontId="7" fillId="0" borderId="34" xfId="0" applyFont="1" applyBorder="1"/>
    <xf numFmtId="165" fontId="7" fillId="0" borderId="35" xfId="2" applyNumberFormat="1" applyFont="1" applyBorder="1"/>
    <xf numFmtId="0" fontId="21" fillId="0" borderId="0" xfId="0" applyFont="1" applyBorder="1"/>
    <xf numFmtId="0" fontId="21" fillId="0" borderId="36" xfId="0" applyFont="1" applyBorder="1"/>
    <xf numFmtId="0" fontId="21" fillId="0" borderId="37" xfId="0" applyFont="1" applyBorder="1"/>
    <xf numFmtId="0" fontId="21" fillId="0" borderId="38" xfId="0" applyFont="1" applyBorder="1"/>
    <xf numFmtId="0" fontId="7" fillId="0" borderId="35" xfId="0" applyFont="1" applyBorder="1" applyAlignment="1">
      <alignment horizontal="center"/>
    </xf>
    <xf numFmtId="166" fontId="7" fillId="0" borderId="35" xfId="0" applyNumberFormat="1" applyFont="1" applyBorder="1" applyAlignment="1">
      <alignment horizontal="center"/>
    </xf>
    <xf numFmtId="166" fontId="10" fillId="0" borderId="35" xfId="0" applyNumberFormat="1" applyFont="1" applyBorder="1" applyAlignment="1">
      <alignment horizontal="center"/>
    </xf>
    <xf numFmtId="165" fontId="7" fillId="0" borderId="35" xfId="2" applyNumberFormat="1" applyFont="1" applyBorder="1" applyAlignment="1">
      <alignment horizontal="center"/>
    </xf>
    <xf numFmtId="168" fontId="7" fillId="0" borderId="35" xfId="0" applyNumberFormat="1" applyFont="1" applyBorder="1" applyAlignment="1">
      <alignment horizontal="center"/>
    </xf>
    <xf numFmtId="165" fontId="10" fillId="0" borderId="35" xfId="0" applyNumberFormat="1" applyFont="1" applyBorder="1" applyAlignment="1">
      <alignment horizontal="center"/>
    </xf>
    <xf numFmtId="165" fontId="7" fillId="0" borderId="35" xfId="0" applyNumberFormat="1" applyFont="1" applyBorder="1" applyAlignment="1">
      <alignment horizontal="center"/>
    </xf>
    <xf numFmtId="165" fontId="7" fillId="0" borderId="39" xfId="0" applyNumberFormat="1" applyFont="1" applyBorder="1" applyAlignment="1">
      <alignment horizontal="center"/>
    </xf>
    <xf numFmtId="0" fontId="31" fillId="0" borderId="40" xfId="0" applyFont="1" applyBorder="1"/>
    <xf numFmtId="0" fontId="1" fillId="0" borderId="41" xfId="0" applyFont="1" applyBorder="1"/>
    <xf numFmtId="0" fontId="31" fillId="0" borderId="42" xfId="0" applyFont="1" applyBorder="1" applyAlignment="1">
      <alignment horizontal="center" wrapText="1"/>
    </xf>
    <xf numFmtId="165" fontId="10" fillId="0" borderId="35" xfId="2" applyNumberFormat="1" applyFont="1" applyBorder="1"/>
    <xf numFmtId="165" fontId="22" fillId="0" borderId="35" xfId="2" applyNumberFormat="1" applyFont="1" applyBorder="1"/>
    <xf numFmtId="165" fontId="17" fillId="0" borderId="35" xfId="2" applyNumberFormat="1" applyFont="1" applyBorder="1"/>
    <xf numFmtId="0" fontId="21" fillId="0" borderId="40" xfId="0" applyFont="1" applyBorder="1"/>
    <xf numFmtId="0" fontId="21" fillId="0" borderId="41" xfId="0" applyFont="1" applyBorder="1"/>
    <xf numFmtId="0" fontId="26" fillId="0" borderId="42" xfId="0" applyFont="1" applyBorder="1" applyAlignment="1">
      <alignment horizontal="center"/>
    </xf>
    <xf numFmtId="9" fontId="7" fillId="0" borderId="31" xfId="0" applyNumberFormat="1" applyFont="1" applyBorder="1" applyAlignment="1">
      <alignment horizontal="center"/>
    </xf>
    <xf numFmtId="0" fontId="32" fillId="0" borderId="0" xfId="0" applyFont="1"/>
    <xf numFmtId="0" fontId="5" fillId="3" borderId="43" xfId="0" applyFont="1" applyFill="1" applyBorder="1" applyAlignment="1">
      <alignment horizontal="left" vertical="center"/>
    </xf>
    <xf numFmtId="166" fontId="11" fillId="4" borderId="44" xfId="1" applyNumberFormat="1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left" vertical="center"/>
    </xf>
    <xf numFmtId="166" fontId="11" fillId="4" borderId="46" xfId="1" applyNumberFormat="1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left" vertical="center"/>
    </xf>
    <xf numFmtId="165" fontId="11" fillId="4" borderId="48" xfId="2" applyNumberFormat="1" applyFont="1" applyFill="1" applyBorder="1" applyAlignment="1">
      <alignment horizontal="center" vertical="center"/>
    </xf>
    <xf numFmtId="167" fontId="11" fillId="4" borderId="48" xfId="2" applyNumberFormat="1" applyFont="1" applyFill="1" applyBorder="1" applyAlignment="1">
      <alignment horizontal="center" vertical="center"/>
    </xf>
    <xf numFmtId="0" fontId="5" fillId="3" borderId="50" xfId="0" applyFont="1" applyFill="1" applyBorder="1" applyAlignment="1">
      <alignment horizontal="left" vertical="center"/>
    </xf>
    <xf numFmtId="165" fontId="11" fillId="4" borderId="49" xfId="2" applyNumberFormat="1" applyFont="1" applyFill="1" applyBorder="1" applyAlignment="1">
      <alignment horizontal="center" vertical="center"/>
    </xf>
    <xf numFmtId="166" fontId="11" fillId="4" borderId="48" xfId="1" applyNumberFormat="1" applyFont="1" applyFill="1" applyBorder="1" applyAlignment="1">
      <alignment horizontal="center" vertical="center"/>
    </xf>
    <xf numFmtId="44" fontId="11" fillId="4" borderId="48" xfId="2" applyNumberFormat="1" applyFont="1" applyFill="1" applyBorder="1" applyAlignment="1">
      <alignment horizontal="center" vertical="center"/>
    </xf>
    <xf numFmtId="0" fontId="23" fillId="0" borderId="34" xfId="0" applyFont="1" applyBorder="1"/>
    <xf numFmtId="0" fontId="33" fillId="0" borderId="0" xfId="0" applyFont="1" applyBorder="1"/>
    <xf numFmtId="165" fontId="23" fillId="0" borderId="35" xfId="2" applyNumberFormat="1" applyFont="1" applyBorder="1"/>
    <xf numFmtId="0" fontId="17" fillId="0" borderId="36" xfId="0" applyFont="1" applyBorder="1"/>
    <xf numFmtId="0" fontId="7" fillId="0" borderId="37" xfId="0" applyFont="1" applyBorder="1"/>
    <xf numFmtId="165" fontId="7" fillId="0" borderId="38" xfId="0" applyNumberFormat="1" applyFont="1" applyBorder="1" applyAlignment="1">
      <alignment horizontal="center"/>
    </xf>
    <xf numFmtId="165" fontId="0" fillId="0" borderId="0" xfId="0" applyNumberFormat="1"/>
    <xf numFmtId="0" fontId="1" fillId="7" borderId="32" xfId="0" applyFont="1" applyFill="1" applyBorder="1"/>
    <xf numFmtId="0" fontId="1" fillId="7" borderId="33" xfId="0" applyFont="1" applyFill="1" applyBorder="1"/>
    <xf numFmtId="6" fontId="1" fillId="7" borderId="51" xfId="0" applyNumberFormat="1" applyFont="1" applyFill="1" applyBorder="1" applyAlignment="1">
      <alignment horizontal="center"/>
    </xf>
    <xf numFmtId="0" fontId="1" fillId="7" borderId="34" xfId="0" applyFont="1" applyFill="1" applyBorder="1"/>
    <xf numFmtId="0" fontId="1" fillId="7" borderId="0" xfId="0" applyFont="1" applyFill="1" applyBorder="1"/>
    <xf numFmtId="6" fontId="1" fillId="7" borderId="52" xfId="0" applyNumberFormat="1" applyFont="1" applyFill="1" applyBorder="1" applyAlignment="1">
      <alignment horizontal="center"/>
    </xf>
    <xf numFmtId="0" fontId="1" fillId="7" borderId="52" xfId="0" applyFont="1" applyFill="1" applyBorder="1" applyAlignment="1">
      <alignment horizontal="center"/>
    </xf>
    <xf numFmtId="9" fontId="1" fillId="7" borderId="52" xfId="0" applyNumberFormat="1" applyFont="1" applyFill="1" applyBorder="1" applyAlignment="1">
      <alignment horizontal="center"/>
    </xf>
    <xf numFmtId="0" fontId="1" fillId="7" borderId="36" xfId="0" applyFont="1" applyFill="1" applyBorder="1"/>
    <xf numFmtId="0" fontId="1" fillId="7" borderId="37" xfId="0" applyFont="1" applyFill="1" applyBorder="1"/>
    <xf numFmtId="6" fontId="1" fillId="7" borderId="5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7" fillId="0" borderId="31" xfId="1" applyNumberFormat="1" applyFont="1" applyBorder="1"/>
    <xf numFmtId="0" fontId="21" fillId="0" borderId="31" xfId="0" applyFont="1" applyBorder="1"/>
    <xf numFmtId="0" fontId="24" fillId="6" borderId="31" xfId="0" applyFont="1" applyFill="1" applyBorder="1" applyAlignment="1">
      <alignment horizontal="center"/>
    </xf>
    <xf numFmtId="166" fontId="7" fillId="0" borderId="31" xfId="1" applyNumberFormat="1" applyFont="1" applyBorder="1" applyAlignment="1">
      <alignment horizontal="center"/>
    </xf>
    <xf numFmtId="9" fontId="7" fillId="0" borderId="0" xfId="0" applyNumberFormat="1" applyFont="1" applyAlignment="1">
      <alignment horizontal="right"/>
    </xf>
    <xf numFmtId="0" fontId="28" fillId="6" borderId="32" xfId="0" applyFont="1" applyFill="1" applyBorder="1" applyAlignment="1">
      <alignment horizontal="center"/>
    </xf>
    <xf numFmtId="0" fontId="28" fillId="6" borderId="34" xfId="0" applyFont="1" applyFill="1" applyBorder="1" applyAlignment="1">
      <alignment horizontal="center"/>
    </xf>
    <xf numFmtId="166" fontId="7" fillId="0" borderId="35" xfId="1" applyNumberFormat="1" applyFont="1" applyBorder="1"/>
    <xf numFmtId="0" fontId="28" fillId="6" borderId="36" xfId="0" applyFont="1" applyFill="1" applyBorder="1" applyAlignment="1">
      <alignment horizontal="center"/>
    </xf>
    <xf numFmtId="166" fontId="7" fillId="0" borderId="37" xfId="1" applyNumberFormat="1" applyFont="1" applyBorder="1"/>
    <xf numFmtId="0" fontId="7" fillId="0" borderId="56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165" fontId="10" fillId="0" borderId="28" xfId="2" applyNumberFormat="1" applyFont="1" applyFill="1" applyBorder="1"/>
    <xf numFmtId="0" fontId="34" fillId="0" borderId="0" xfId="0" applyFont="1"/>
    <xf numFmtId="166" fontId="17" fillId="0" borderId="31" xfId="1" applyNumberFormat="1" applyFont="1" applyBorder="1"/>
    <xf numFmtId="0" fontId="4" fillId="0" borderId="55" xfId="0" applyFont="1" applyBorder="1"/>
    <xf numFmtId="0" fontId="16" fillId="0" borderId="0" xfId="0" applyFont="1"/>
    <xf numFmtId="2" fontId="0" fillId="0" borderId="0" xfId="0" applyNumberFormat="1" applyFill="1" applyBorder="1" applyAlignment="1">
      <alignment wrapText="1"/>
    </xf>
    <xf numFmtId="4" fontId="0" fillId="0" borderId="0" xfId="0" applyNumberFormat="1" applyBorder="1" applyAlignment="1">
      <alignment wrapText="1"/>
    </xf>
    <xf numFmtId="0" fontId="7" fillId="0" borderId="31" xfId="0" applyFont="1" applyBorder="1" applyAlignment="1">
      <alignment horizontal="center"/>
    </xf>
    <xf numFmtId="0" fontId="36" fillId="0" borderId="0" xfId="0" applyFont="1"/>
    <xf numFmtId="0" fontId="37" fillId="0" borderId="0" xfId="0" applyFont="1"/>
    <xf numFmtId="0" fontId="7" fillId="0" borderId="31" xfId="0" applyFont="1" applyBorder="1"/>
    <xf numFmtId="2" fontId="0" fillId="0" borderId="31" xfId="0" applyNumberFormat="1" applyFill="1" applyBorder="1" applyAlignment="1">
      <alignment horizontal="center"/>
    </xf>
    <xf numFmtId="9" fontId="0" fillId="0" borderId="31" xfId="3" applyFont="1" applyFill="1" applyBorder="1" applyAlignment="1">
      <alignment horizontal="center" wrapText="1"/>
    </xf>
    <xf numFmtId="2" fontId="7" fillId="0" borderId="31" xfId="0" applyNumberFormat="1" applyFont="1" applyBorder="1" applyAlignment="1">
      <alignment horizontal="center"/>
    </xf>
    <xf numFmtId="0" fontId="4" fillId="0" borderId="0" xfId="0" applyFont="1" applyBorder="1"/>
    <xf numFmtId="165" fontId="23" fillId="0" borderId="0" xfId="2" applyNumberFormat="1" applyFont="1" applyBorder="1"/>
    <xf numFmtId="0" fontId="4" fillId="0" borderId="0" xfId="0" applyFont="1" applyBorder="1" applyAlignment="1">
      <alignment horizontal="right"/>
    </xf>
    <xf numFmtId="165" fontId="23" fillId="7" borderId="54" xfId="2" applyNumberFormat="1" applyFont="1" applyFill="1" applyBorder="1"/>
    <xf numFmtId="165" fontId="23" fillId="7" borderId="0" xfId="2" applyNumberFormat="1" applyFont="1" applyFill="1" applyBorder="1"/>
    <xf numFmtId="166" fontId="7" fillId="7" borderId="0" xfId="1" applyNumberFormat="1" applyFont="1" applyFill="1"/>
    <xf numFmtId="166" fontId="10" fillId="7" borderId="0" xfId="1" applyNumberFormat="1" applyFont="1" applyFill="1"/>
    <xf numFmtId="2" fontId="0" fillId="7" borderId="31" xfId="0" applyNumberFormat="1" applyFill="1" applyBorder="1" applyAlignment="1">
      <alignment horizontal="center"/>
    </xf>
    <xf numFmtId="9" fontId="0" fillId="7" borderId="31" xfId="3" applyFont="1" applyFill="1" applyBorder="1" applyAlignment="1">
      <alignment horizontal="center" wrapText="1"/>
    </xf>
    <xf numFmtId="2" fontId="7" fillId="7" borderId="31" xfId="0" applyNumberFormat="1" applyFont="1" applyFill="1" applyBorder="1" applyAlignment="1">
      <alignment horizontal="center"/>
    </xf>
    <xf numFmtId="165" fontId="38" fillId="7" borderId="5" xfId="0" applyNumberFormat="1" applyFont="1" applyFill="1" applyBorder="1" applyAlignment="1">
      <alignment horizontal="right" vertical="center"/>
    </xf>
    <xf numFmtId="10" fontId="16" fillId="7" borderId="30" xfId="3" applyNumberFormat="1" applyFont="1" applyFill="1" applyBorder="1" applyAlignment="1">
      <alignment horizontal="center"/>
    </xf>
    <xf numFmtId="165" fontId="4" fillId="7" borderId="9" xfId="2" applyNumberFormat="1" applyFont="1" applyFill="1" applyBorder="1" applyAlignment="1">
      <alignment horizontal="right" vertical="center"/>
    </xf>
    <xf numFmtId="6" fontId="0" fillId="7" borderId="0" xfId="0" applyNumberFormat="1" applyFill="1"/>
    <xf numFmtId="6" fontId="0" fillId="0" borderId="0" xfId="0" applyNumberFormat="1"/>
    <xf numFmtId="166" fontId="10" fillId="0" borderId="0" xfId="1" applyNumberFormat="1" applyFont="1" applyFill="1"/>
    <xf numFmtId="166" fontId="7" fillId="0" borderId="38" xfId="1" applyNumberFormat="1" applyFont="1" applyBorder="1"/>
    <xf numFmtId="166" fontId="7" fillId="0" borderId="57" xfId="1" applyNumberFormat="1" applyFont="1" applyBorder="1"/>
    <xf numFmtId="165" fontId="0" fillId="0" borderId="37" xfId="0" applyNumberFormat="1" applyBorder="1"/>
    <xf numFmtId="9" fontId="0" fillId="0" borderId="37" xfId="0" applyNumberFormat="1" applyBorder="1"/>
    <xf numFmtId="165" fontId="7" fillId="0" borderId="0" xfId="0" applyNumberFormat="1" applyFont="1" applyAlignment="1">
      <alignment horizontal="center"/>
    </xf>
    <xf numFmtId="9" fontId="0" fillId="0" borderId="0" xfId="0" applyNumberFormat="1" applyBorder="1"/>
    <xf numFmtId="0" fontId="5" fillId="3" borderId="3" xfId="0" applyFont="1" applyFill="1" applyBorder="1" applyAlignment="1">
      <alignment horizontal="center" vertical="center" wrapText="1"/>
    </xf>
    <xf numFmtId="165" fontId="0" fillId="0" borderId="31" xfId="0" applyNumberFormat="1" applyBorder="1"/>
    <xf numFmtId="0" fontId="20" fillId="0" borderId="0" xfId="0" applyFont="1" applyAlignment="1">
      <alignment horizontal="left"/>
    </xf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409DAD"/>
      <rgbColor rgb="00BFDEE4"/>
      <rgbColor rgb="00AA5CAA"/>
      <rgbColor rgb="00E3C9E3"/>
      <rgbColor rgb="00BDB694"/>
      <rgbColor rgb="00E9E7DB"/>
      <rgbColor rgb="009BCA40"/>
      <rgbColor rgb="00DEEDBF"/>
      <rgbColor rgb="00007C92"/>
      <rgbColor rgb="008E258D"/>
      <rgbColor rgb="00A79E70"/>
      <rgbColor rgb="007AB800"/>
      <rgbColor rgb="0000338D"/>
      <rgbColor rgb="00C84E00"/>
      <rgbColor rgb="0098C6EA"/>
      <rgbColor rgb="0000338D"/>
      <rgbColor rgb="004066AA"/>
      <rgbColor rgb="00BFCCE3"/>
      <rgbColor rgb="00D67A40"/>
      <rgbColor rgb="00F1D3BF"/>
      <rgbColor rgb="00B2D4EF"/>
      <rgbColor rgb="00E5F1FA"/>
      <rgbColor rgb="00B6646B"/>
      <rgbColor rgb="00E7CBCE"/>
      <rgbColor rgb="003366FF"/>
      <rgbColor rgb="0033CCCC"/>
      <rgbColor rgb="0099CC00"/>
      <rgbColor rgb="00F5B36A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6E9EE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14654</xdr:colOff>
      <xdr:row>4</xdr:row>
      <xdr:rowOff>29307</xdr:rowOff>
    </xdr:from>
    <xdr:to>
      <xdr:col>9</xdr:col>
      <xdr:colOff>307730</xdr:colOff>
      <xdr:row>7</xdr:row>
      <xdr:rowOff>126999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97217" y="823057"/>
          <a:ext cx="9286263" cy="28758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100"/>
            <a:t>L'entreprise </a:t>
          </a:r>
          <a:r>
            <a:rPr lang="fr-CA" sz="1100" b="1"/>
            <a:t>Récup+</a:t>
          </a:r>
          <a:r>
            <a:rPr lang="fr-CA" sz="1100"/>
            <a:t> est spécialisée dans le traitement des déchets et possède 3 usines au</a:t>
          </a:r>
          <a:r>
            <a:rPr lang="fr-CA" sz="1100" baseline="0"/>
            <a:t> </a:t>
          </a:r>
          <a:r>
            <a:rPr lang="fr-CA" sz="1100"/>
            <a:t>Québec, soit à Montréal, Laval et Brossard. </a:t>
          </a:r>
          <a:r>
            <a:rPr lang="fr-CA" sz="1100" b="0"/>
            <a:t>Elle </a:t>
          </a:r>
          <a:r>
            <a:rPr lang="fr-CA" sz="1100"/>
            <a:t>charge aux municipalités un prix par tonne traitée.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CA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100"/>
            <a:t>La charge d'amortissement annuelle est</a:t>
          </a:r>
          <a:r>
            <a:rPr lang="fr-CA" sz="1100" baseline="0"/>
            <a:t> de </a:t>
          </a:r>
          <a:r>
            <a:rPr lang="fr-CA" sz="1100" baseline="0">
              <a:solidFill>
                <a:srgbClr val="FF0000"/>
              </a:solidFill>
            </a:rPr>
            <a:t>300 000$,  </a:t>
          </a:r>
          <a:r>
            <a:rPr lang="fr-CA" sz="1100" baseline="0"/>
            <a:t>pour chacune des 3 usines. La d</a:t>
          </a:r>
          <a:r>
            <a:rPr lang="fr-CA" sz="1100"/>
            <a:t>ette actuelle de l'entreprise est de </a:t>
          </a:r>
          <a:r>
            <a:rPr lang="fr-CA" sz="1100">
              <a:solidFill>
                <a:srgbClr val="FF0000"/>
              </a:solidFill>
            </a:rPr>
            <a:t>2M$</a:t>
          </a:r>
          <a:r>
            <a:rPr lang="fr-CA" sz="1100"/>
            <a:t> à un taux d</a:t>
          </a:r>
          <a:r>
            <a:rPr lang="fr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'intérêt de 9% </a:t>
          </a:r>
          <a:r>
            <a:rPr lang="fr-CA" sz="1100"/>
            <a:t>échéant dans 4 ans. Le remboursement du capital est de </a:t>
          </a:r>
          <a:r>
            <a:rPr lang="fr-CA" sz="1100">
              <a:solidFill>
                <a:srgbClr val="FF0000"/>
              </a:solidFill>
            </a:rPr>
            <a:t>500 000$ </a:t>
          </a:r>
          <a:r>
            <a:rPr lang="fr-CA" sz="1100"/>
            <a:t>annuellement.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CA" sz="1100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100" b="1"/>
            <a:t>Récup+</a:t>
          </a:r>
          <a:r>
            <a:rPr lang="fr-CA" sz="1100"/>
            <a:t> envisage de construire une nouvelle usine à l'est de Montréal pour remplacer celle présentement en activité au nord de Montréal. Contrairement aux usines actuelles, la nouvelle usine utilisera le procédé de biométhanisation qui traitera mieux les déchets.</a:t>
          </a:r>
          <a:r>
            <a:rPr lang="fr-CA" sz="1100" baseline="0"/>
            <a:t> Le CO2 produit par le procédé pourra </a:t>
          </a:r>
          <a:r>
            <a:rPr lang="fr-CA" sz="1100"/>
            <a:t>être transformé en électricité, laquelle pourra être revendue.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CA" sz="1100"/>
        </a:p>
        <a:p>
          <a:r>
            <a:rPr lang="fr-CA" sz="1100"/>
            <a:t>Si l'option de remplacer l'usine est choisie, l'usine actuelle cessera ses activités dès le début des opérations de la nouvelle usine. L'horizon est de </a:t>
          </a:r>
          <a:r>
            <a:rPr lang="fr-CA" sz="1100">
              <a:solidFill>
                <a:srgbClr val="FF0000"/>
              </a:solidFill>
            </a:rPr>
            <a:t>10 ans</a:t>
          </a:r>
          <a:r>
            <a:rPr lang="fr-CA" sz="1100"/>
            <a:t>, après quoi une disposition présumée des actifs (sans conséquences fiscales) est prévue. À la fin du projet, la </a:t>
          </a:r>
          <a:r>
            <a:rPr lang="fr-CA" sz="1100">
              <a:solidFill>
                <a:sysClr val="windowText" lastClr="000000"/>
              </a:solidFill>
            </a:rPr>
            <a:t>nouvelle usine aura une valeur résiduelle de </a:t>
          </a:r>
          <a:r>
            <a:rPr lang="fr-CA" sz="1100">
              <a:solidFill>
                <a:srgbClr val="FF0000"/>
              </a:solidFill>
            </a:rPr>
            <a:t>15 M$</a:t>
          </a:r>
          <a:r>
            <a:rPr lang="fr-CA" sz="1100">
              <a:solidFill>
                <a:sysClr val="windowText" lastClr="000000"/>
              </a:solidFill>
            </a:rPr>
            <a:t> et le terrain </a:t>
          </a:r>
          <a:r>
            <a:rPr lang="fr-CA" sz="1100">
              <a:solidFill>
                <a:srgbClr val="FF0000"/>
              </a:solidFill>
            </a:rPr>
            <a:t>5 M$</a:t>
          </a:r>
          <a:r>
            <a:rPr lang="fr-CA" sz="1100">
              <a:solidFill>
                <a:sysClr val="windowText" lastClr="000000"/>
              </a:solidFill>
            </a:rPr>
            <a:t>. </a:t>
          </a:r>
          <a:r>
            <a:rPr lang="fr-CA" sz="1100"/>
            <a:t>Aucun investissement récurrent en immobilisations n'est prévu. </a:t>
          </a:r>
        </a:p>
        <a:p>
          <a:r>
            <a:rPr lang="fr-CA" sz="1100"/>
            <a:t>La banque accepte de financer le projet sur 10 ans au taux de 9%.</a:t>
          </a:r>
          <a:r>
            <a:rPr lang="fr-CA" sz="1100" baseline="0"/>
            <a:t> L</a:t>
          </a:r>
          <a:r>
            <a:rPr lang="fr-CA" sz="1100"/>
            <a:t>e capital est remboursé par verserments égaux sur la période du prêt. Le </a:t>
          </a:r>
          <a:r>
            <a:rPr lang="fr-CA" sz="1100">
              <a:solidFill>
                <a:schemeClr val="tx1"/>
              </a:solidFill>
            </a:rPr>
            <a:t>taux d'impôt est de </a:t>
          </a:r>
          <a:r>
            <a:rPr lang="fr-CA" sz="1100">
              <a:solidFill>
                <a:srgbClr val="FF0000"/>
              </a:solidFill>
            </a:rPr>
            <a:t>30%. </a:t>
          </a:r>
          <a:r>
            <a:rPr lang="fr-CA" sz="1100"/>
            <a:t>Le </a:t>
          </a:r>
          <a:r>
            <a:rPr lang="fr-CA" sz="1100">
              <a:solidFill>
                <a:schemeClr val="tx1"/>
              </a:solidFill>
            </a:rPr>
            <a:t>coût en capital actuel de l'entreprise est de </a:t>
          </a:r>
          <a:r>
            <a:rPr lang="fr-CA" sz="1100">
              <a:solidFill>
                <a:srgbClr val="FF0000"/>
              </a:solidFill>
            </a:rPr>
            <a:t>11%</a:t>
          </a:r>
          <a:r>
            <a:rPr lang="fr-CA" sz="1100"/>
            <a:t>. Chaque usine est de même taille donc les coûts sont similaires d'une usine à l'autre.</a:t>
          </a:r>
          <a:r>
            <a:rPr lang="fr-CA" sz="1100" baseline="0"/>
            <a:t> </a:t>
          </a:r>
        </a:p>
        <a:p>
          <a:r>
            <a:rPr lang="fr-CA" sz="1100" baseline="0"/>
            <a:t>L</a:t>
          </a:r>
          <a:r>
            <a:rPr lang="fr-CA" sz="1100"/>
            <a:t>'actionnaire actuel se verse un </a:t>
          </a:r>
          <a:r>
            <a:rPr lang="fr-CA" sz="1100">
              <a:solidFill>
                <a:schemeClr val="tx1"/>
              </a:solidFill>
            </a:rPr>
            <a:t>dividende de </a:t>
          </a:r>
          <a:r>
            <a:rPr lang="fr-CA" sz="1100">
              <a:solidFill>
                <a:srgbClr val="FF0000"/>
              </a:solidFill>
            </a:rPr>
            <a:t>100 000$ </a:t>
          </a:r>
          <a:r>
            <a:rPr lang="fr-CA" sz="1100">
              <a:solidFill>
                <a:schemeClr val="tx1"/>
              </a:solidFill>
            </a:rPr>
            <a:t>annuellement</a:t>
          </a:r>
          <a:r>
            <a:rPr lang="fr-CA" sz="1100"/>
            <a:t>.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baseColWidth="10" defaultRowHeight="14.5" x14ac:dyDescent="0.35"/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>
        <v>1</v>
      </c>
      <c r="B2">
        <v>3</v>
      </c>
      <c r="C2">
        <v>11</v>
      </c>
      <c r="D2">
        <v>4</v>
      </c>
      <c r="E2" s="9" t="s">
        <v>11</v>
      </c>
    </row>
    <row r="3" spans="1:5" x14ac:dyDescent="0.35">
      <c r="A3">
        <v>2</v>
      </c>
      <c r="B3">
        <v>8</v>
      </c>
      <c r="C3">
        <v>5</v>
      </c>
      <c r="D3">
        <v>11</v>
      </c>
      <c r="E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RowHeight="14.5" x14ac:dyDescent="0.35"/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>
        <v>2</v>
      </c>
      <c r="B2">
        <v>2</v>
      </c>
      <c r="C2">
        <v>5</v>
      </c>
      <c r="D2">
        <v>8</v>
      </c>
      <c r="E2" t="s">
        <v>8</v>
      </c>
    </row>
    <row r="3" spans="1:5" x14ac:dyDescent="0.35">
      <c r="A3">
        <v>2</v>
      </c>
      <c r="B3">
        <v>11</v>
      </c>
      <c r="C3">
        <v>6</v>
      </c>
      <c r="D3">
        <v>16</v>
      </c>
      <c r="E3" t="s">
        <v>9</v>
      </c>
    </row>
    <row r="4" spans="1:5" x14ac:dyDescent="0.35">
      <c r="A4">
        <v>8</v>
      </c>
      <c r="B4">
        <v>17</v>
      </c>
      <c r="C4">
        <v>14</v>
      </c>
      <c r="D4">
        <v>21</v>
      </c>
      <c r="E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RowHeight="14.5" x14ac:dyDescent="0.35"/>
  <sheetData>
    <row r="1" spans="1:5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35">
      <c r="A2">
        <v>2</v>
      </c>
      <c r="B2">
        <v>2</v>
      </c>
      <c r="C2">
        <v>8</v>
      </c>
      <c r="D2">
        <v>5</v>
      </c>
      <c r="E2" s="9" t="s">
        <v>12</v>
      </c>
    </row>
    <row r="3" spans="1:5" x14ac:dyDescent="0.35">
      <c r="A3">
        <v>3</v>
      </c>
      <c r="B3">
        <v>18</v>
      </c>
      <c r="C3">
        <v>5</v>
      </c>
      <c r="D3">
        <v>21</v>
      </c>
      <c r="E3" s="9" t="s">
        <v>13</v>
      </c>
    </row>
    <row r="4" spans="1:5" x14ac:dyDescent="0.35">
      <c r="A4">
        <v>3</v>
      </c>
      <c r="B4">
        <v>22</v>
      </c>
      <c r="C4">
        <v>5</v>
      </c>
      <c r="D4">
        <v>26</v>
      </c>
      <c r="E4" s="9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8"/>
  <sheetViews>
    <sheetView showGridLines="0" topLeftCell="A58" zoomScale="120" zoomScaleNormal="120" workbookViewId="0">
      <selection activeCell="D48" sqref="D48"/>
    </sheetView>
  </sheetViews>
  <sheetFormatPr baseColWidth="10" defaultColWidth="11.6328125" defaultRowHeight="14" x14ac:dyDescent="0.3"/>
  <cols>
    <col min="1" max="1" width="2.7265625" style="43" customWidth="1"/>
    <col min="2" max="2" width="29.6328125" style="43" customWidth="1"/>
    <col min="3" max="4" width="15.7265625" style="43" customWidth="1"/>
    <col min="5" max="5" width="15.36328125" style="43" customWidth="1"/>
    <col min="6" max="6" width="12.7265625" style="43" bestFit="1" customWidth="1"/>
    <col min="7" max="7" width="17.08984375" style="43" customWidth="1"/>
    <col min="8" max="8" width="13.26953125" style="43" bestFit="1" customWidth="1"/>
    <col min="9" max="9" width="15.26953125" style="43" bestFit="1" customWidth="1"/>
    <col min="10" max="12" width="12.7265625" style="43" bestFit="1" customWidth="1"/>
    <col min="13" max="16384" width="11.6328125" style="43"/>
  </cols>
  <sheetData>
    <row r="1" spans="2:8" ht="18" x14ac:dyDescent="0.4">
      <c r="B1" s="156" t="s">
        <v>129</v>
      </c>
    </row>
    <row r="3" spans="2:8" x14ac:dyDescent="0.3">
      <c r="B3" s="105" t="s">
        <v>118</v>
      </c>
    </row>
    <row r="4" spans="2:8" x14ac:dyDescent="0.3">
      <c r="B4" s="186" t="s">
        <v>131</v>
      </c>
      <c r="C4" s="186"/>
      <c r="D4" s="186"/>
    </row>
    <row r="5" spans="2:8" ht="186" customHeight="1" x14ac:dyDescent="0.3">
      <c r="B5" s="37"/>
    </row>
    <row r="6" spans="2:8" ht="16.5" customHeight="1" x14ac:dyDescent="0.3"/>
    <row r="7" spans="2:8" ht="16.5" customHeight="1" x14ac:dyDescent="0.3"/>
    <row r="8" spans="2:8" ht="16.5" customHeight="1" x14ac:dyDescent="0.3"/>
    <row r="9" spans="2:8" ht="16.5" customHeight="1" x14ac:dyDescent="0.3"/>
    <row r="10" spans="2:8" x14ac:dyDescent="0.3">
      <c r="B10" s="43" t="s">
        <v>154</v>
      </c>
      <c r="E10" s="43" t="s">
        <v>94</v>
      </c>
      <c r="F10" s="44"/>
      <c r="G10" s="44"/>
    </row>
    <row r="11" spans="2:8" ht="14.5" thickBot="1" x14ac:dyDescent="0.35">
      <c r="B11" s="42" t="s">
        <v>34</v>
      </c>
      <c r="F11" s="44"/>
      <c r="G11" s="44"/>
    </row>
    <row r="12" spans="2:8" x14ac:dyDescent="0.3">
      <c r="B12" s="106" t="s">
        <v>156</v>
      </c>
      <c r="C12" s="107">
        <v>150000</v>
      </c>
      <c r="E12" s="124" t="s">
        <v>95</v>
      </c>
      <c r="F12" s="125"/>
      <c r="G12" s="126">
        <v>900000</v>
      </c>
    </row>
    <row r="13" spans="2:8" x14ac:dyDescent="0.3">
      <c r="B13" s="108" t="s">
        <v>33</v>
      </c>
      <c r="C13" s="109">
        <v>150000</v>
      </c>
      <c r="E13" s="127" t="s">
        <v>120</v>
      </c>
      <c r="F13" s="128"/>
      <c r="G13" s="129">
        <v>2000000</v>
      </c>
    </row>
    <row r="14" spans="2:8" x14ac:dyDescent="0.3">
      <c r="B14" s="110" t="s">
        <v>155</v>
      </c>
      <c r="C14" s="111">
        <v>42</v>
      </c>
      <c r="E14" s="127" t="s">
        <v>96</v>
      </c>
      <c r="F14" s="128"/>
      <c r="G14" s="129">
        <v>500000</v>
      </c>
    </row>
    <row r="15" spans="2:8" x14ac:dyDescent="0.3">
      <c r="B15" s="110" t="s">
        <v>159</v>
      </c>
      <c r="C15" s="112">
        <v>19.75</v>
      </c>
      <c r="E15" s="127" t="s">
        <v>119</v>
      </c>
      <c r="F15" s="128"/>
      <c r="G15" s="129">
        <v>100000</v>
      </c>
    </row>
    <row r="16" spans="2:8" ht="14.5" thickBot="1" x14ac:dyDescent="0.35">
      <c r="B16" s="113" t="s">
        <v>157</v>
      </c>
      <c r="C16" s="114">
        <v>2500000</v>
      </c>
      <c r="E16" s="127" t="s">
        <v>98</v>
      </c>
      <c r="F16" s="128"/>
      <c r="G16" s="130">
        <v>10</v>
      </c>
    </row>
    <row r="17" spans="2:8" x14ac:dyDescent="0.3">
      <c r="E17" s="127" t="s">
        <v>97</v>
      </c>
      <c r="F17" s="128"/>
      <c r="G17" s="131">
        <v>0.09</v>
      </c>
    </row>
    <row r="18" spans="2:8" ht="14.5" thickBot="1" x14ac:dyDescent="0.35">
      <c r="B18" s="42" t="s">
        <v>158</v>
      </c>
      <c r="E18" s="127" t="s">
        <v>99</v>
      </c>
      <c r="F18" s="128"/>
      <c r="G18" s="131">
        <v>0.11</v>
      </c>
    </row>
    <row r="19" spans="2:8" x14ac:dyDescent="0.3">
      <c r="B19" s="106" t="s">
        <v>156</v>
      </c>
      <c r="C19" s="107">
        <v>400000</v>
      </c>
      <c r="E19" s="127" t="s">
        <v>16</v>
      </c>
      <c r="F19" s="128"/>
      <c r="G19" s="131">
        <v>0.3</v>
      </c>
    </row>
    <row r="20" spans="2:8" x14ac:dyDescent="0.3">
      <c r="B20" s="108" t="s">
        <v>33</v>
      </c>
      <c r="C20" s="109">
        <v>400000</v>
      </c>
      <c r="E20" s="127" t="s">
        <v>100</v>
      </c>
      <c r="F20" s="128"/>
      <c r="G20" s="129">
        <v>15000000</v>
      </c>
    </row>
    <row r="21" spans="2:8" x14ac:dyDescent="0.3">
      <c r="B21" s="110" t="s">
        <v>155</v>
      </c>
      <c r="C21" s="111">
        <v>42</v>
      </c>
      <c r="E21" s="132" t="s">
        <v>142</v>
      </c>
      <c r="F21" s="133"/>
      <c r="G21" s="134">
        <v>5000000</v>
      </c>
    </row>
    <row r="22" spans="2:8" x14ac:dyDescent="0.3">
      <c r="B22" s="110" t="s">
        <v>159</v>
      </c>
      <c r="C22" s="112">
        <v>21.25</v>
      </c>
    </row>
    <row r="23" spans="2:8" x14ac:dyDescent="0.3">
      <c r="B23" s="110" t="s">
        <v>157</v>
      </c>
      <c r="C23" s="111">
        <v>3000000</v>
      </c>
    </row>
    <row r="24" spans="2:8" x14ac:dyDescent="0.3">
      <c r="B24" s="110" t="s">
        <v>43</v>
      </c>
      <c r="C24" s="115">
        <v>1700000</v>
      </c>
    </row>
    <row r="25" spans="2:8" x14ac:dyDescent="0.3">
      <c r="B25" s="110" t="s">
        <v>44</v>
      </c>
      <c r="C25" s="116">
        <v>2.15</v>
      </c>
    </row>
    <row r="26" spans="2:8" x14ac:dyDescent="0.3">
      <c r="B26" s="110" t="s">
        <v>36</v>
      </c>
      <c r="C26" s="111">
        <v>1000000</v>
      </c>
      <c r="H26" s="37"/>
    </row>
    <row r="27" spans="2:8" x14ac:dyDescent="0.3">
      <c r="B27" s="110" t="s">
        <v>35</v>
      </c>
      <c r="C27" s="111">
        <v>10000000</v>
      </c>
      <c r="H27" s="37"/>
    </row>
    <row r="28" spans="2:8" ht="14.5" thickBot="1" x14ac:dyDescent="0.35">
      <c r="B28" s="113" t="s">
        <v>48</v>
      </c>
      <c r="C28" s="114">
        <v>30000000</v>
      </c>
      <c r="H28" s="37"/>
    </row>
    <row r="29" spans="2:8" x14ac:dyDescent="0.3">
      <c r="H29" s="37"/>
    </row>
    <row r="30" spans="2:8" x14ac:dyDescent="0.3">
      <c r="B30" s="152" t="s">
        <v>167</v>
      </c>
      <c r="H30" s="37"/>
    </row>
    <row r="31" spans="2:8" x14ac:dyDescent="0.3">
      <c r="B31" s="151" t="s">
        <v>103</v>
      </c>
      <c r="C31" s="165">
        <v>5000000</v>
      </c>
      <c r="H31" s="37"/>
    </row>
    <row r="32" spans="2:8" x14ac:dyDescent="0.3">
      <c r="B32" s="164" t="s">
        <v>133</v>
      </c>
      <c r="C32" s="166">
        <f>2000000</f>
        <v>2000000</v>
      </c>
      <c r="H32" s="37"/>
    </row>
    <row r="33" spans="2:8" x14ac:dyDescent="0.3">
      <c r="B33" s="164" t="s">
        <v>134</v>
      </c>
      <c r="C33" s="166">
        <f>C31-C32</f>
        <v>3000000</v>
      </c>
      <c r="H33" s="37"/>
    </row>
    <row r="34" spans="2:8" x14ac:dyDescent="0.3">
      <c r="B34" s="162"/>
      <c r="C34" s="163"/>
      <c r="H34" s="37"/>
    </row>
    <row r="35" spans="2:8" x14ac:dyDescent="0.3">
      <c r="B35" s="152" t="s">
        <v>132</v>
      </c>
      <c r="C35" s="163"/>
      <c r="H35" s="37"/>
    </row>
    <row r="36" spans="2:8" x14ac:dyDescent="0.3">
      <c r="H36" s="37"/>
    </row>
    <row r="37" spans="2:8" x14ac:dyDescent="0.3">
      <c r="B37" s="105" t="s">
        <v>90</v>
      </c>
      <c r="H37" s="37"/>
    </row>
    <row r="38" spans="2:8" x14ac:dyDescent="0.3">
      <c r="B38" s="105"/>
      <c r="H38" s="37"/>
    </row>
    <row r="39" spans="2:8" x14ac:dyDescent="0.3">
      <c r="B39" s="105" t="s">
        <v>91</v>
      </c>
      <c r="F39" s="105" t="s">
        <v>92</v>
      </c>
      <c r="H39" s="37"/>
    </row>
    <row r="40" spans="2:8" ht="15" thickBot="1" x14ac:dyDescent="0.4">
      <c r="B40" s="101" t="s">
        <v>88</v>
      </c>
      <c r="C40" s="102"/>
      <c r="D40" s="103" t="s">
        <v>60</v>
      </c>
      <c r="F40" s="95" t="s">
        <v>84</v>
      </c>
      <c r="G40" s="96"/>
      <c r="H40" s="97" t="s">
        <v>87</v>
      </c>
    </row>
    <row r="41" spans="2:8" x14ac:dyDescent="0.3">
      <c r="B41" s="81" t="s">
        <v>22</v>
      </c>
      <c r="C41" s="83"/>
      <c r="D41" s="82">
        <f>$C$13*$C$14*3</f>
        <v>18900000</v>
      </c>
      <c r="E41" s="44"/>
      <c r="F41" s="78" t="s">
        <v>47</v>
      </c>
      <c r="G41" s="79"/>
      <c r="H41" s="87"/>
    </row>
    <row r="42" spans="2:8" ht="15" x14ac:dyDescent="0.4">
      <c r="B42" s="81" t="s">
        <v>160</v>
      </c>
      <c r="C42" s="83"/>
      <c r="D42" s="98">
        <f>-$C$13*$C$15*3</f>
        <v>-8887500</v>
      </c>
      <c r="F42" s="80" t="s">
        <v>45</v>
      </c>
      <c r="G42" s="79"/>
      <c r="H42" s="88">
        <f>(Données!C20-Données!C13)*Données!C14</f>
        <v>10500000</v>
      </c>
    </row>
    <row r="43" spans="2:8" ht="15" x14ac:dyDescent="0.4">
      <c r="B43" s="81" t="s">
        <v>161</v>
      </c>
      <c r="C43" s="83"/>
      <c r="D43" s="82">
        <f>SUM(D41:D42)</f>
        <v>10012500</v>
      </c>
      <c r="E43" s="37"/>
      <c r="F43" s="80" t="s">
        <v>46</v>
      </c>
      <c r="G43" s="79"/>
      <c r="H43" s="89">
        <f>Données!C24*Données!C25</f>
        <v>3655000</v>
      </c>
    </row>
    <row r="44" spans="2:8" x14ac:dyDescent="0.3">
      <c r="B44" s="117" t="s">
        <v>57</v>
      </c>
      <c r="C44" s="118"/>
      <c r="D44" s="119">
        <f>-G12</f>
        <v>-900000</v>
      </c>
      <c r="E44" s="37"/>
      <c r="F44" s="81"/>
      <c r="G44" s="79"/>
      <c r="H44" s="90">
        <f>SUM(H42:H43)</f>
        <v>14155000</v>
      </c>
    </row>
    <row r="45" spans="2:8" x14ac:dyDescent="0.3">
      <c r="B45" s="81" t="s">
        <v>37</v>
      </c>
      <c r="C45" s="83"/>
      <c r="D45" s="82">
        <f>-$C$16*3</f>
        <v>-7500000</v>
      </c>
      <c r="E45" s="37"/>
      <c r="F45" s="78" t="s">
        <v>162</v>
      </c>
      <c r="G45" s="79"/>
      <c r="H45" s="91"/>
    </row>
    <row r="46" spans="2:8" ht="16.5" x14ac:dyDescent="0.55000000000000004">
      <c r="B46" s="78" t="s">
        <v>85</v>
      </c>
      <c r="C46" s="83"/>
      <c r="D46" s="99">
        <f>SUM(D43:D45)</f>
        <v>1612500</v>
      </c>
      <c r="E46" s="37"/>
      <c r="F46" s="78"/>
      <c r="G46" s="79"/>
      <c r="H46" s="91"/>
    </row>
    <row r="47" spans="2:8" ht="15" x14ac:dyDescent="0.4">
      <c r="B47" s="81" t="s">
        <v>93</v>
      </c>
      <c r="C47" s="83"/>
      <c r="D47" s="98">
        <f>-D60</f>
        <v>-180000</v>
      </c>
      <c r="E47" s="37"/>
      <c r="F47" s="80" t="s">
        <v>160</v>
      </c>
      <c r="G47" s="79"/>
      <c r="H47" s="91">
        <f>-((Données!C20*Données!C22)-(Données!C13*Données!C15))</f>
        <v>-5537500</v>
      </c>
    </row>
    <row r="48" spans="2:8" ht="16.5" x14ac:dyDescent="0.55000000000000004">
      <c r="B48" s="78" t="s">
        <v>122</v>
      </c>
      <c r="C48" s="83"/>
      <c r="D48" s="99">
        <f>D46+D47</f>
        <v>1432500</v>
      </c>
      <c r="E48" s="37"/>
      <c r="F48" s="80" t="s">
        <v>163</v>
      </c>
      <c r="G48" s="79"/>
      <c r="H48" s="92">
        <f>-(Données!C23-Données!C16)</f>
        <v>-500000</v>
      </c>
    </row>
    <row r="49" spans="2:8" ht="15" x14ac:dyDescent="0.4">
      <c r="B49" s="81" t="s">
        <v>41</v>
      </c>
      <c r="C49" s="83"/>
      <c r="D49" s="98">
        <f>-D48*0.3</f>
        <v>-429750</v>
      </c>
      <c r="E49" s="37"/>
      <c r="F49" s="78" t="s">
        <v>164</v>
      </c>
      <c r="G49" s="79"/>
      <c r="H49" s="93">
        <f>SUM(H44:H48)</f>
        <v>8117500</v>
      </c>
    </row>
    <row r="50" spans="2:8" x14ac:dyDescent="0.3">
      <c r="B50" s="78" t="s">
        <v>86</v>
      </c>
      <c r="C50" s="83"/>
      <c r="D50" s="100">
        <f>SUM(D48:D49)</f>
        <v>1002750</v>
      </c>
      <c r="E50" s="37"/>
      <c r="F50" s="81" t="s">
        <v>41</v>
      </c>
      <c r="G50" s="83"/>
      <c r="H50" s="93">
        <f>-0.3*H49</f>
        <v>-2435250</v>
      </c>
    </row>
    <row r="51" spans="2:8" ht="14.5" thickBot="1" x14ac:dyDescent="0.35">
      <c r="B51" s="78" t="s">
        <v>21</v>
      </c>
      <c r="C51" s="83"/>
      <c r="D51" s="100">
        <f>D50-D44</f>
        <v>1902750</v>
      </c>
      <c r="E51" s="37"/>
      <c r="F51" s="78" t="s">
        <v>101</v>
      </c>
      <c r="G51" s="79"/>
      <c r="H51" s="94">
        <f>SUM(H49:H50)</f>
        <v>5682250</v>
      </c>
    </row>
    <row r="52" spans="2:8" ht="14.5" thickTop="1" x14ac:dyDescent="0.3">
      <c r="B52" s="84"/>
      <c r="C52" s="85"/>
      <c r="D52" s="86"/>
      <c r="E52" s="37"/>
      <c r="F52" s="120"/>
      <c r="G52" s="121"/>
      <c r="H52" s="122"/>
    </row>
    <row r="53" spans="2:8" x14ac:dyDescent="0.3">
      <c r="B53" s="37"/>
      <c r="C53" s="37"/>
      <c r="E53" s="37"/>
      <c r="F53" s="83"/>
      <c r="G53" s="83"/>
      <c r="H53" s="83"/>
    </row>
    <row r="54" spans="2:8" x14ac:dyDescent="0.3">
      <c r="E54" s="37"/>
    </row>
    <row r="55" spans="2:8" x14ac:dyDescent="0.3">
      <c r="B55" s="149" t="s">
        <v>168</v>
      </c>
      <c r="C55" s="45"/>
      <c r="D55" s="45"/>
      <c r="F55" s="45"/>
    </row>
    <row r="56" spans="2:8" x14ac:dyDescent="0.3">
      <c r="C56" s="50"/>
      <c r="D56" s="50"/>
      <c r="E56" s="50"/>
      <c r="F56" s="50"/>
    </row>
    <row r="57" spans="2:8" x14ac:dyDescent="0.3">
      <c r="B57" s="157" t="s">
        <v>111</v>
      </c>
      <c r="C57" s="139" t="s">
        <v>110</v>
      </c>
      <c r="D57" s="136">
        <v>0</v>
      </c>
      <c r="E57" s="136">
        <v>1</v>
      </c>
      <c r="F57" s="136">
        <v>2</v>
      </c>
      <c r="G57" s="137">
        <v>3</v>
      </c>
      <c r="H57" s="104">
        <f>G17</f>
        <v>0.09</v>
      </c>
    </row>
    <row r="58" spans="2:8" x14ac:dyDescent="0.3">
      <c r="B58" s="157" t="s">
        <v>117</v>
      </c>
      <c r="C58" s="138" t="s">
        <v>31</v>
      </c>
      <c r="D58" s="136">
        <v>2000000</v>
      </c>
      <c r="E58" s="136">
        <f>D61</f>
        <v>1500000</v>
      </c>
      <c r="F58" s="136">
        <f>E61</f>
        <v>1000000</v>
      </c>
      <c r="G58" s="136">
        <f>F61</f>
        <v>500000</v>
      </c>
    </row>
    <row r="59" spans="2:8" x14ac:dyDescent="0.3">
      <c r="C59" s="138" t="s">
        <v>38</v>
      </c>
      <c r="D59" s="136">
        <v>500000</v>
      </c>
      <c r="E59" s="136">
        <v>500000</v>
      </c>
      <c r="F59" s="136">
        <v>500000</v>
      </c>
      <c r="G59" s="136">
        <v>500000</v>
      </c>
    </row>
    <row r="60" spans="2:8" x14ac:dyDescent="0.3">
      <c r="C60" s="138" t="s">
        <v>39</v>
      </c>
      <c r="D60" s="150">
        <f>H$57*D58</f>
        <v>180000</v>
      </c>
      <c r="E60" s="150">
        <f>H$57*E58</f>
        <v>135000</v>
      </c>
      <c r="F60" s="150">
        <f>H$57*F58</f>
        <v>90000</v>
      </c>
      <c r="G60" s="150">
        <f>H$57*G58</f>
        <v>45000</v>
      </c>
    </row>
    <row r="61" spans="2:8" x14ac:dyDescent="0.3">
      <c r="C61" s="138" t="s">
        <v>40</v>
      </c>
      <c r="D61" s="136">
        <f>D58-D59</f>
        <v>1500000</v>
      </c>
      <c r="E61" s="136">
        <f>E58-E59</f>
        <v>1000000</v>
      </c>
      <c r="F61" s="136">
        <f>F58-F59</f>
        <v>500000</v>
      </c>
      <c r="G61" s="136">
        <f>G58-G59</f>
        <v>0</v>
      </c>
    </row>
    <row r="63" spans="2:8" ht="14.5" thickBot="1" x14ac:dyDescent="0.35"/>
    <row r="64" spans="2:8" ht="14.5" thickBot="1" x14ac:dyDescent="0.35">
      <c r="B64" s="157" t="s">
        <v>130</v>
      </c>
      <c r="C64" s="55" t="s">
        <v>31</v>
      </c>
      <c r="D64" s="55" t="s">
        <v>38</v>
      </c>
      <c r="E64" s="55" t="s">
        <v>39</v>
      </c>
      <c r="F64" s="56" t="s">
        <v>40</v>
      </c>
    </row>
    <row r="65" spans="3:6" x14ac:dyDescent="0.3">
      <c r="C65" s="46">
        <v>2000000</v>
      </c>
      <c r="D65" s="47">
        <v>500000</v>
      </c>
      <c r="E65" s="47">
        <f>H$57*C65</f>
        <v>180000</v>
      </c>
      <c r="F65" s="48">
        <f>C65-D65</f>
        <v>1500000</v>
      </c>
    </row>
    <row r="66" spans="3:6" x14ac:dyDescent="0.3">
      <c r="C66" s="49">
        <f>F65</f>
        <v>1500000</v>
      </c>
      <c r="D66" s="50">
        <v>500000</v>
      </c>
      <c r="E66" s="50">
        <f>H$57*C66</f>
        <v>135000</v>
      </c>
      <c r="F66" s="51">
        <f>C66-D66</f>
        <v>1000000</v>
      </c>
    </row>
    <row r="67" spans="3:6" x14ac:dyDescent="0.3">
      <c r="C67" s="49">
        <f t="shared" ref="C67:C68" si="0">F66</f>
        <v>1000000</v>
      </c>
      <c r="D67" s="50">
        <v>500000</v>
      </c>
      <c r="E67" s="50">
        <f>H$57*C67</f>
        <v>90000</v>
      </c>
      <c r="F67" s="51">
        <f>C67-D67</f>
        <v>500000</v>
      </c>
    </row>
    <row r="68" spans="3:6" ht="14.5" thickBot="1" x14ac:dyDescent="0.35">
      <c r="C68" s="52">
        <f t="shared" si="0"/>
        <v>500000</v>
      </c>
      <c r="D68" s="53">
        <v>500000</v>
      </c>
      <c r="E68" s="53">
        <f>H$57*C68</f>
        <v>45000</v>
      </c>
      <c r="F68" s="54">
        <f>C68-D68</f>
        <v>0</v>
      </c>
    </row>
  </sheetData>
  <mergeCells count="1">
    <mergeCell ref="B4:D4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6"/>
  <sheetViews>
    <sheetView showGridLines="0" tabSelected="1" workbookViewId="0">
      <selection activeCell="C8" sqref="C8"/>
    </sheetView>
  </sheetViews>
  <sheetFormatPr baseColWidth="10" defaultColWidth="11.6328125" defaultRowHeight="14.5" x14ac:dyDescent="0.35"/>
  <cols>
    <col min="1" max="1" width="11.6328125" style="11"/>
    <col min="2" max="2" width="20.26953125" style="11" customWidth="1"/>
    <col min="3" max="3" width="13.36328125" style="11" bestFit="1" customWidth="1"/>
    <col min="4" max="14" width="13.7265625" style="11" customWidth="1"/>
    <col min="15" max="15" width="12.6328125" style="11" customWidth="1"/>
    <col min="16" max="17" width="12" style="11" customWidth="1"/>
    <col min="18" max="16384" width="11.6328125" style="11"/>
  </cols>
  <sheetData>
    <row r="1" spans="1:15" x14ac:dyDescent="0.35">
      <c r="A1" s="105" t="s">
        <v>89</v>
      </c>
      <c r="B1" s="19"/>
      <c r="C1" s="1"/>
      <c r="D1" s="1"/>
      <c r="E1" s="1"/>
    </row>
    <row r="2" spans="1:15" ht="15" thickBot="1" x14ac:dyDescent="0.4">
      <c r="B2" s="19"/>
      <c r="C2" s="24" t="s">
        <v>15</v>
      </c>
      <c r="D2" s="24" t="s">
        <v>20</v>
      </c>
      <c r="E2" s="25" t="s">
        <v>25</v>
      </c>
      <c r="F2" s="25" t="s">
        <v>26</v>
      </c>
      <c r="G2" s="25" t="s">
        <v>27</v>
      </c>
      <c r="H2" s="25" t="s">
        <v>28</v>
      </c>
      <c r="I2" s="25" t="s">
        <v>29</v>
      </c>
      <c r="J2" s="25" t="s">
        <v>30</v>
      </c>
      <c r="K2" s="25" t="s">
        <v>49</v>
      </c>
      <c r="L2" s="25" t="s">
        <v>50</v>
      </c>
      <c r="M2" s="25" t="s">
        <v>51</v>
      </c>
      <c r="N2" s="25" t="s">
        <v>52</v>
      </c>
      <c r="O2" s="25" t="s">
        <v>52</v>
      </c>
    </row>
    <row r="3" spans="1:15" ht="15" x14ac:dyDescent="0.4">
      <c r="B3" s="19"/>
      <c r="C3" s="29">
        <f>C8</f>
        <v>-36000000</v>
      </c>
      <c r="D3" s="30">
        <f>D8</f>
        <v>3944399.02849261</v>
      </c>
      <c r="E3" s="31">
        <f t="shared" ref="E3:J3" si="0">E7</f>
        <v>5682250</v>
      </c>
      <c r="F3" s="31">
        <f t="shared" si="0"/>
        <v>5682250</v>
      </c>
      <c r="G3" s="31">
        <f t="shared" si="0"/>
        <v>5682250</v>
      </c>
      <c r="H3" s="31">
        <f t="shared" si="0"/>
        <v>5682250</v>
      </c>
      <c r="I3" s="31">
        <f t="shared" si="0"/>
        <v>5682250</v>
      </c>
      <c r="J3" s="31">
        <f t="shared" si="0"/>
        <v>5682250</v>
      </c>
      <c r="K3" s="31">
        <f t="shared" ref="K3:N3" si="1">K7</f>
        <v>5682250</v>
      </c>
      <c r="L3" s="31">
        <f t="shared" si="1"/>
        <v>5682250</v>
      </c>
      <c r="M3" s="31">
        <f t="shared" si="1"/>
        <v>5682250</v>
      </c>
      <c r="N3" s="31">
        <f t="shared" si="1"/>
        <v>5682250</v>
      </c>
      <c r="O3" s="32">
        <f t="shared" ref="O3" si="2">O7</f>
        <v>21000000</v>
      </c>
    </row>
    <row r="4" spans="1:15" ht="15" thickBot="1" x14ac:dyDescent="0.4">
      <c r="B4" s="19"/>
      <c r="C4" s="33"/>
      <c r="D4" s="34"/>
      <c r="E4" s="35" t="s">
        <v>72</v>
      </c>
      <c r="F4" s="35" t="s">
        <v>73</v>
      </c>
      <c r="G4" s="35" t="s">
        <v>74</v>
      </c>
      <c r="H4" s="35" t="s">
        <v>75</v>
      </c>
      <c r="I4" s="35" t="s">
        <v>76</v>
      </c>
      <c r="J4" s="35" t="s">
        <v>77</v>
      </c>
      <c r="K4" s="35" t="s">
        <v>78</v>
      </c>
      <c r="L4" s="35" t="s">
        <v>79</v>
      </c>
      <c r="M4" s="35" t="s">
        <v>80</v>
      </c>
      <c r="N4" s="35" t="s">
        <v>81</v>
      </c>
      <c r="O4" s="36" t="s">
        <v>82</v>
      </c>
    </row>
    <row r="5" spans="1:15" x14ac:dyDescent="0.35">
      <c r="B5" s="19"/>
      <c r="C5" s="1"/>
      <c r="D5" s="1"/>
      <c r="E5" s="1"/>
    </row>
    <row r="6" spans="1:15" x14ac:dyDescent="0.35">
      <c r="B6" s="5"/>
      <c r="C6" s="6">
        <v>0</v>
      </c>
      <c r="D6" s="6">
        <v>0</v>
      </c>
      <c r="E6" s="6">
        <v>1</v>
      </c>
      <c r="F6" s="12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10</v>
      </c>
    </row>
    <row r="7" spans="1:15" x14ac:dyDescent="0.35">
      <c r="B7" s="3" t="s">
        <v>23</v>
      </c>
      <c r="C7" s="14">
        <f>-(Données!C26+Données!C27+Données!C28-Données!C31)</f>
        <v>-36000000</v>
      </c>
      <c r="D7" s="15">
        <f>C19</f>
        <v>3944399.02849261</v>
      </c>
      <c r="E7" s="15">
        <f>Données!$H$51</f>
        <v>5682250</v>
      </c>
      <c r="F7" s="15">
        <f>Données!$H$51</f>
        <v>5682250</v>
      </c>
      <c r="G7" s="15">
        <f>Données!$H$51</f>
        <v>5682250</v>
      </c>
      <c r="H7" s="15">
        <f>Données!$H$51</f>
        <v>5682250</v>
      </c>
      <c r="I7" s="15">
        <f>Données!$H$51</f>
        <v>5682250</v>
      </c>
      <c r="J7" s="15">
        <f>Données!$H$51</f>
        <v>5682250</v>
      </c>
      <c r="K7" s="15">
        <f>Données!$H$51</f>
        <v>5682250</v>
      </c>
      <c r="L7" s="15">
        <f>Données!$H$51</f>
        <v>5682250</v>
      </c>
      <c r="M7" s="15">
        <f>Données!$H$51</f>
        <v>5682250</v>
      </c>
      <c r="N7" s="15">
        <f>Données!$H$51</f>
        <v>5682250</v>
      </c>
      <c r="O7" s="15">
        <f>Données!G20+Données!G21+Données!C26</f>
        <v>21000000</v>
      </c>
    </row>
    <row r="8" spans="1:15" x14ac:dyDescent="0.35">
      <c r="B8" s="3" t="s">
        <v>7</v>
      </c>
      <c r="C8" s="77">
        <f>C7*(1+Données!$G$18)^-C6</f>
        <v>-36000000</v>
      </c>
      <c r="D8" s="174">
        <f>D7*(1+Données!$G$18)^-D6</f>
        <v>3944399.02849261</v>
      </c>
      <c r="E8" s="77">
        <f>E7*(1+Données!$G$18)^-E6</f>
        <v>5119144.1441441439</v>
      </c>
      <c r="F8" s="77">
        <f>F7*(1+Données!$G$18)^-F6</f>
        <v>4611841.57130103</v>
      </c>
      <c r="G8" s="77">
        <f>G7*(1+Données!$G$18)^-G6</f>
        <v>4154812.2263973244</v>
      </c>
      <c r="H8" s="77">
        <f>H7*(1+Données!$G$18)^-H6</f>
        <v>3743074.0778354271</v>
      </c>
      <c r="I8" s="77">
        <f>I7*(1+Données!$G$18)^-I6</f>
        <v>3372138.8088607448</v>
      </c>
      <c r="J8" s="77">
        <f>J7*(1+Données!$G$18)^-J6</f>
        <v>3037962.8908655359</v>
      </c>
      <c r="K8" s="77">
        <f>K7*(1+Données!$G$18)^-K6</f>
        <v>2736903.5052842665</v>
      </c>
      <c r="L8" s="77">
        <f>L7*(1+Données!$G$18)^-L6</f>
        <v>2465678.8335894286</v>
      </c>
      <c r="M8" s="77">
        <f>M7*(1+Données!$G$18)^-M6</f>
        <v>2221332.2825129987</v>
      </c>
      <c r="N8" s="77">
        <f>N7*(1+Données!$G$18)^-N6</f>
        <v>2001200.2545162146</v>
      </c>
      <c r="O8" s="77">
        <f>O7*(1+Données!$G$18)^-O6</f>
        <v>7395874.054263805</v>
      </c>
    </row>
    <row r="9" spans="1:15" ht="15" thickBot="1" x14ac:dyDescent="0.4">
      <c r="B9" s="13" t="s">
        <v>24</v>
      </c>
      <c r="C9" s="20">
        <f>SUM(C8:O8)</f>
        <v>8804361.6780635305</v>
      </c>
      <c r="D9" s="7"/>
      <c r="E9" s="7"/>
      <c r="F9" s="7"/>
      <c r="G9" s="7"/>
      <c r="H9" s="7"/>
      <c r="I9" s="7"/>
      <c r="J9" s="4"/>
      <c r="L9" s="4"/>
      <c r="M9" s="4"/>
      <c r="N9" s="4"/>
      <c r="O9" s="4"/>
    </row>
    <row r="10" spans="1:15" x14ac:dyDescent="0.35">
      <c r="D10" s="8"/>
    </row>
    <row r="11" spans="1:15" x14ac:dyDescent="0.35">
      <c r="C11" s="8"/>
    </row>
    <row r="12" spans="1:15" ht="15" thickBot="1" x14ac:dyDescent="0.4">
      <c r="B12" s="21" t="s">
        <v>20</v>
      </c>
      <c r="C12" s="28" t="s">
        <v>42</v>
      </c>
    </row>
    <row r="13" spans="1:15" x14ac:dyDescent="0.35">
      <c r="B13" s="5" t="s">
        <v>15</v>
      </c>
      <c r="C13" s="15">
        <f>Données!C28-Données!C33</f>
        <v>27000000</v>
      </c>
    </row>
    <row r="14" spans="1:15" x14ac:dyDescent="0.35">
      <c r="B14" s="5" t="s">
        <v>16</v>
      </c>
      <c r="C14" s="17">
        <f>Données!G19</f>
        <v>0.3</v>
      </c>
    </row>
    <row r="15" spans="1:15" x14ac:dyDescent="0.35">
      <c r="B15" s="5" t="s">
        <v>17</v>
      </c>
      <c r="C15" s="17">
        <v>0.2</v>
      </c>
    </row>
    <row r="16" spans="1:15" x14ac:dyDescent="0.35">
      <c r="B16" s="5" t="s">
        <v>5</v>
      </c>
      <c r="C16" s="17">
        <f>Données!G18</f>
        <v>0.11</v>
      </c>
    </row>
    <row r="17" spans="2:14" x14ac:dyDescent="0.35">
      <c r="B17" s="5" t="s">
        <v>18</v>
      </c>
      <c r="C17" s="16">
        <f>Données!G20</f>
        <v>15000000</v>
      </c>
    </row>
    <row r="18" spans="2:14" x14ac:dyDescent="0.35">
      <c r="B18" s="5" t="s">
        <v>19</v>
      </c>
      <c r="C18" s="22">
        <f>Données!G16</f>
        <v>10</v>
      </c>
    </row>
    <row r="19" spans="2:14" ht="15" thickBot="1" x14ac:dyDescent="0.4">
      <c r="B19" s="21" t="s">
        <v>20</v>
      </c>
      <c r="C19" s="172">
        <f>(((C13*C14*C15)/(C15+C16))*((1+(0.5*C16))/(1+C16)))-(((C17*C14*C15)/(C16+C15))*(1/((1+C16)^C18)))</f>
        <v>3944399.02849261</v>
      </c>
    </row>
    <row r="21" spans="2:14" x14ac:dyDescent="0.35">
      <c r="D21" s="11" t="s">
        <v>153</v>
      </c>
      <c r="E21" s="183"/>
      <c r="F21" s="183"/>
      <c r="G21" s="183"/>
      <c r="H21" s="183"/>
      <c r="I21" s="183"/>
      <c r="J21" s="183"/>
      <c r="K21" s="183"/>
      <c r="L21" s="183"/>
      <c r="M21" s="183"/>
      <c r="N21" s="183"/>
    </row>
    <row r="22" spans="2:14" x14ac:dyDescent="0.35">
      <c r="E22" s="183"/>
      <c r="F22" s="183"/>
      <c r="G22" s="183"/>
      <c r="H22" s="183"/>
      <c r="I22" s="183"/>
      <c r="J22" s="183"/>
      <c r="K22" s="183"/>
      <c r="L22" s="183"/>
      <c r="M22" s="183"/>
      <c r="N22" s="183"/>
    </row>
    <row r="23" spans="2:14" x14ac:dyDescent="0.35">
      <c r="C23" s="8"/>
      <c r="D23" s="6">
        <v>1</v>
      </c>
      <c r="E23" s="12">
        <v>2</v>
      </c>
      <c r="F23" s="6">
        <v>3</v>
      </c>
      <c r="G23" s="6">
        <v>4</v>
      </c>
      <c r="H23" s="6">
        <v>5</v>
      </c>
      <c r="I23" s="6">
        <v>6</v>
      </c>
      <c r="J23" s="6">
        <v>7</v>
      </c>
      <c r="K23" s="6">
        <v>8</v>
      </c>
      <c r="L23" s="6">
        <v>9</v>
      </c>
      <c r="M23" s="6">
        <v>10</v>
      </c>
    </row>
    <row r="24" spans="2:14" x14ac:dyDescent="0.35">
      <c r="C24" s="5" t="s">
        <v>151</v>
      </c>
      <c r="D24" s="18">
        <v>0</v>
      </c>
      <c r="E24" s="182">
        <f>D29</f>
        <v>24300000</v>
      </c>
      <c r="F24" s="182">
        <f t="shared" ref="F24:M24" si="3">E29</f>
        <v>19440000</v>
      </c>
      <c r="G24" s="182">
        <f t="shared" si="3"/>
        <v>15552000</v>
      </c>
      <c r="H24" s="182">
        <f t="shared" si="3"/>
        <v>12441600</v>
      </c>
      <c r="I24" s="182">
        <f t="shared" si="3"/>
        <v>9953280</v>
      </c>
      <c r="J24" s="182">
        <f t="shared" si="3"/>
        <v>7962624</v>
      </c>
      <c r="K24" s="182">
        <f t="shared" si="3"/>
        <v>6370099.2000000002</v>
      </c>
      <c r="L24" s="182">
        <f t="shared" si="3"/>
        <v>5096079.3600000003</v>
      </c>
      <c r="M24" s="182">
        <f t="shared" si="3"/>
        <v>4076863.4880000004</v>
      </c>
    </row>
    <row r="25" spans="2:14" x14ac:dyDescent="0.35">
      <c r="C25" s="5" t="s">
        <v>152</v>
      </c>
      <c r="D25" s="123">
        <f>C13</f>
        <v>27000000</v>
      </c>
      <c r="E25" s="180">
        <v>0</v>
      </c>
      <c r="F25" s="180">
        <v>0</v>
      </c>
      <c r="G25" s="180">
        <v>0</v>
      </c>
      <c r="H25" s="180">
        <v>0</v>
      </c>
      <c r="I25" s="180">
        <v>0</v>
      </c>
      <c r="J25" s="180">
        <v>0</v>
      </c>
      <c r="K25" s="180">
        <v>0</v>
      </c>
      <c r="L25" s="180">
        <v>0</v>
      </c>
      <c r="M25" s="180">
        <v>0</v>
      </c>
    </row>
    <row r="26" spans="2:14" x14ac:dyDescent="0.35">
      <c r="C26" s="5" t="s">
        <v>146</v>
      </c>
      <c r="D26" s="180">
        <f>-D25*0.5</f>
        <v>-13500000</v>
      </c>
      <c r="E26" s="180">
        <f t="shared" ref="E26:M26" si="4">-E25*0.5</f>
        <v>0</v>
      </c>
      <c r="F26" s="180">
        <f t="shared" si="4"/>
        <v>0</v>
      </c>
      <c r="G26" s="180">
        <f t="shared" si="4"/>
        <v>0</v>
      </c>
      <c r="H26" s="180">
        <f t="shared" si="4"/>
        <v>0</v>
      </c>
      <c r="I26" s="180">
        <f t="shared" si="4"/>
        <v>0</v>
      </c>
      <c r="J26" s="180">
        <f t="shared" si="4"/>
        <v>0</v>
      </c>
      <c r="K26" s="180">
        <f t="shared" si="4"/>
        <v>0</v>
      </c>
      <c r="L26" s="180">
        <f t="shared" si="4"/>
        <v>0</v>
      </c>
      <c r="M26" s="180">
        <f t="shared" si="4"/>
        <v>0</v>
      </c>
    </row>
    <row r="27" spans="2:14" x14ac:dyDescent="0.35">
      <c r="C27" s="5" t="s">
        <v>147</v>
      </c>
      <c r="D27" s="123">
        <f>SUM(D24:D26)</f>
        <v>13500000</v>
      </c>
      <c r="E27" s="123">
        <f t="shared" ref="E27:M27" si="5">SUM(E24:E26)</f>
        <v>24300000</v>
      </c>
      <c r="F27" s="123">
        <f t="shared" si="5"/>
        <v>19440000</v>
      </c>
      <c r="G27" s="123">
        <f t="shared" si="5"/>
        <v>15552000</v>
      </c>
      <c r="H27" s="123">
        <f t="shared" si="5"/>
        <v>12441600</v>
      </c>
      <c r="I27" s="123">
        <f t="shared" si="5"/>
        <v>9953280</v>
      </c>
      <c r="J27" s="123">
        <f t="shared" si="5"/>
        <v>7962624</v>
      </c>
      <c r="K27" s="123">
        <f t="shared" si="5"/>
        <v>6370099.2000000002</v>
      </c>
      <c r="L27" s="123">
        <f t="shared" si="5"/>
        <v>5096079.3600000003</v>
      </c>
      <c r="M27" s="123">
        <f t="shared" si="5"/>
        <v>4076863.4880000004</v>
      </c>
    </row>
    <row r="28" spans="2:14" x14ac:dyDescent="0.35">
      <c r="C28" s="5" t="s">
        <v>148</v>
      </c>
      <c r="D28" s="180">
        <f t="shared" ref="D28:M28" si="6">D27*$C$15</f>
        <v>2700000</v>
      </c>
      <c r="E28" s="180">
        <f t="shared" si="6"/>
        <v>4860000</v>
      </c>
      <c r="F28" s="180">
        <f t="shared" si="6"/>
        <v>3888000</v>
      </c>
      <c r="G28" s="180">
        <f t="shared" si="6"/>
        <v>3110400</v>
      </c>
      <c r="H28" s="180">
        <f t="shared" si="6"/>
        <v>2488320</v>
      </c>
      <c r="I28" s="180">
        <f t="shared" si="6"/>
        <v>1990656</v>
      </c>
      <c r="J28" s="180">
        <f t="shared" si="6"/>
        <v>1592524.8</v>
      </c>
      <c r="K28" s="180">
        <f t="shared" si="6"/>
        <v>1274019.8400000001</v>
      </c>
      <c r="L28" s="180">
        <f t="shared" si="6"/>
        <v>1019215.8720000001</v>
      </c>
      <c r="M28" s="180">
        <f t="shared" si="6"/>
        <v>815372.69760000007</v>
      </c>
    </row>
    <row r="29" spans="2:14" x14ac:dyDescent="0.35">
      <c r="C29" s="5" t="s">
        <v>149</v>
      </c>
      <c r="D29" s="123">
        <f>D25-D28</f>
        <v>24300000</v>
      </c>
      <c r="E29" s="123">
        <f>E27-E28</f>
        <v>19440000</v>
      </c>
      <c r="F29" s="123">
        <f t="shared" ref="F29:M29" si="7">F27-F28</f>
        <v>15552000</v>
      </c>
      <c r="G29" s="123">
        <f t="shared" si="7"/>
        <v>12441600</v>
      </c>
      <c r="H29" s="123">
        <f t="shared" si="7"/>
        <v>9953280</v>
      </c>
      <c r="I29" s="123">
        <f t="shared" si="7"/>
        <v>7962624</v>
      </c>
      <c r="J29" s="123">
        <f t="shared" si="7"/>
        <v>6370099.2000000002</v>
      </c>
      <c r="K29" s="123">
        <f t="shared" si="7"/>
        <v>5096079.3600000003</v>
      </c>
      <c r="L29" s="123">
        <f t="shared" si="7"/>
        <v>4076863.4880000004</v>
      </c>
      <c r="M29" s="123">
        <f t="shared" si="7"/>
        <v>3261490.7904000003</v>
      </c>
    </row>
    <row r="30" spans="2:14" x14ac:dyDescent="0.35">
      <c r="C30" s="5"/>
    </row>
    <row r="31" spans="2:14" x14ac:dyDescent="0.35">
      <c r="C31" s="5" t="s">
        <v>148</v>
      </c>
      <c r="D31" s="123">
        <f>D28</f>
        <v>2700000</v>
      </c>
      <c r="E31" s="123">
        <f t="shared" ref="E31:M31" si="8">E28</f>
        <v>4860000</v>
      </c>
      <c r="F31" s="123">
        <f t="shared" si="8"/>
        <v>3888000</v>
      </c>
      <c r="G31" s="123">
        <f t="shared" si="8"/>
        <v>3110400</v>
      </c>
      <c r="H31" s="123">
        <f t="shared" si="8"/>
        <v>2488320</v>
      </c>
      <c r="I31" s="123">
        <f t="shared" si="8"/>
        <v>1990656</v>
      </c>
      <c r="J31" s="123">
        <f t="shared" si="8"/>
        <v>1592524.8</v>
      </c>
      <c r="K31" s="123">
        <f t="shared" si="8"/>
        <v>1274019.8400000001</v>
      </c>
      <c r="L31" s="123">
        <f t="shared" si="8"/>
        <v>1019215.8720000001</v>
      </c>
      <c r="M31" s="123">
        <f t="shared" si="8"/>
        <v>815372.69760000007</v>
      </c>
    </row>
    <row r="32" spans="2:14" x14ac:dyDescent="0.35">
      <c r="C32" s="5" t="s">
        <v>150</v>
      </c>
      <c r="D32" s="181">
        <f t="shared" ref="D32:M32" si="9">$C$15</f>
        <v>0.2</v>
      </c>
      <c r="E32" s="181">
        <f t="shared" si="9"/>
        <v>0.2</v>
      </c>
      <c r="F32" s="181">
        <f t="shared" si="9"/>
        <v>0.2</v>
      </c>
      <c r="G32" s="181">
        <f t="shared" si="9"/>
        <v>0.2</v>
      </c>
      <c r="H32" s="181">
        <f t="shared" si="9"/>
        <v>0.2</v>
      </c>
      <c r="I32" s="181">
        <f t="shared" si="9"/>
        <v>0.2</v>
      </c>
      <c r="J32" s="181">
        <f t="shared" si="9"/>
        <v>0.2</v>
      </c>
      <c r="K32" s="181">
        <f t="shared" si="9"/>
        <v>0.2</v>
      </c>
      <c r="L32" s="181">
        <f t="shared" si="9"/>
        <v>0.2</v>
      </c>
      <c r="M32" s="181">
        <f t="shared" si="9"/>
        <v>0.2</v>
      </c>
    </row>
    <row r="33" spans="1:13" ht="33.75" customHeight="1" x14ac:dyDescent="0.35">
      <c r="C33" s="184" t="s">
        <v>165</v>
      </c>
      <c r="D33" s="185">
        <f t="shared" ref="D33:M33" si="10">D31*D32</f>
        <v>540000</v>
      </c>
      <c r="E33" s="185">
        <f t="shared" si="10"/>
        <v>972000</v>
      </c>
      <c r="F33" s="185">
        <f t="shared" si="10"/>
        <v>777600</v>
      </c>
      <c r="G33" s="185">
        <f t="shared" si="10"/>
        <v>622080</v>
      </c>
      <c r="H33" s="185">
        <f t="shared" si="10"/>
        <v>497664</v>
      </c>
      <c r="I33" s="185">
        <f t="shared" si="10"/>
        <v>398131.20000000001</v>
      </c>
      <c r="J33" s="185">
        <f t="shared" si="10"/>
        <v>318504.96000000002</v>
      </c>
      <c r="K33" s="185">
        <f t="shared" si="10"/>
        <v>254803.96800000002</v>
      </c>
      <c r="L33" s="185">
        <f t="shared" si="10"/>
        <v>203843.17440000002</v>
      </c>
      <c r="M33" s="185">
        <f t="shared" si="10"/>
        <v>163074.53952000002</v>
      </c>
    </row>
    <row r="34" spans="1:13" x14ac:dyDescent="0.35">
      <c r="A34" s="105" t="s">
        <v>112</v>
      </c>
      <c r="D34" s="23"/>
    </row>
    <row r="35" spans="1:13" x14ac:dyDescent="0.35">
      <c r="D35" s="27"/>
      <c r="E35" s="26"/>
    </row>
    <row r="37" spans="1:13" x14ac:dyDescent="0.35">
      <c r="C37" s="14">
        <f>C7+D7</f>
        <v>-32055600.971507389</v>
      </c>
      <c r="D37" s="14">
        <f t="shared" ref="D37:L37" si="11">E7</f>
        <v>5682250</v>
      </c>
      <c r="E37" s="14">
        <f t="shared" si="11"/>
        <v>5682250</v>
      </c>
      <c r="F37" s="14">
        <f t="shared" si="11"/>
        <v>5682250</v>
      </c>
      <c r="G37" s="14">
        <f t="shared" si="11"/>
        <v>5682250</v>
      </c>
      <c r="H37" s="14">
        <f t="shared" si="11"/>
        <v>5682250</v>
      </c>
      <c r="I37" s="14">
        <f t="shared" si="11"/>
        <v>5682250</v>
      </c>
      <c r="J37" s="14">
        <f t="shared" si="11"/>
        <v>5682250</v>
      </c>
      <c r="K37" s="14">
        <f t="shared" si="11"/>
        <v>5682250</v>
      </c>
      <c r="L37" s="14">
        <f t="shared" si="11"/>
        <v>5682250</v>
      </c>
      <c r="M37" s="59">
        <f>N7+O7</f>
        <v>26682250</v>
      </c>
    </row>
    <row r="38" spans="1:13" ht="15" thickBot="1" x14ac:dyDescent="0.4">
      <c r="B38" s="13" t="s">
        <v>53</v>
      </c>
      <c r="C38" s="173">
        <f>IRR(C37:M37)</f>
        <v>0.16117990035297103</v>
      </c>
    </row>
    <row r="41" spans="1:13" ht="15" thickBot="1" x14ac:dyDescent="0.4">
      <c r="B41" s="13" t="s">
        <v>54</v>
      </c>
      <c r="C41" s="59" t="s">
        <v>55</v>
      </c>
    </row>
    <row r="42" spans="1:13" x14ac:dyDescent="0.35">
      <c r="C42" s="175">
        <f>C37</f>
        <v>-32055600.971507389</v>
      </c>
      <c r="D42" s="175">
        <f>C42+D37</f>
        <v>-26373350.971507389</v>
      </c>
      <c r="E42" s="176">
        <f t="shared" ref="E42:M42" si="12">D42+E37</f>
        <v>-20691100.971507389</v>
      </c>
      <c r="F42" s="176">
        <f t="shared" si="12"/>
        <v>-15008850.971507389</v>
      </c>
      <c r="G42" s="176">
        <f t="shared" si="12"/>
        <v>-9326600.9715073891</v>
      </c>
      <c r="H42" s="176">
        <f t="shared" si="12"/>
        <v>-3644350.9715073891</v>
      </c>
      <c r="I42" s="176">
        <f t="shared" si="12"/>
        <v>2037899.0284926109</v>
      </c>
      <c r="J42" s="176">
        <f t="shared" si="12"/>
        <v>7720149.0284926109</v>
      </c>
      <c r="K42" s="176">
        <f t="shared" si="12"/>
        <v>13402399.028492611</v>
      </c>
      <c r="L42" s="176">
        <f t="shared" si="12"/>
        <v>19084649.028492611</v>
      </c>
      <c r="M42" s="176">
        <f t="shared" si="12"/>
        <v>45766899.028492615</v>
      </c>
    </row>
    <row r="44" spans="1:13" ht="15" thickBot="1" x14ac:dyDescent="0.4">
      <c r="B44" s="13" t="s">
        <v>56</v>
      </c>
    </row>
    <row r="45" spans="1:13" x14ac:dyDescent="0.35">
      <c r="B45" s="37" t="s">
        <v>104</v>
      </c>
      <c r="C45" s="57">
        <f>AVERAGE(E7:N7)</f>
        <v>5682250</v>
      </c>
    </row>
    <row r="46" spans="1:13" ht="15" x14ac:dyDescent="0.4">
      <c r="B46" s="60" t="s">
        <v>105</v>
      </c>
      <c r="C46" s="58">
        <f>-(-Données!C33+Données!C28-Données!G20)/10</f>
        <v>-1200000</v>
      </c>
      <c r="D46" s="61" t="s">
        <v>83</v>
      </c>
    </row>
    <row r="47" spans="1:13" x14ac:dyDescent="0.35">
      <c r="B47" s="60" t="s">
        <v>58</v>
      </c>
      <c r="C47" s="57">
        <f>SUM(C45:C46)</f>
        <v>4482250</v>
      </c>
    </row>
    <row r="48" spans="1:13" x14ac:dyDescent="0.35">
      <c r="B48" s="60" t="s">
        <v>59</v>
      </c>
      <c r="C48" s="57">
        <f>-C7</f>
        <v>36000000</v>
      </c>
    </row>
    <row r="49" spans="1:7" x14ac:dyDescent="0.35">
      <c r="B49" s="70" t="s">
        <v>56</v>
      </c>
      <c r="C49" s="71">
        <f>C47/C48</f>
        <v>0.12450694444444445</v>
      </c>
    </row>
    <row r="52" spans="1:7" ht="15" thickBot="1" x14ac:dyDescent="0.4">
      <c r="B52" s="13" t="s">
        <v>61</v>
      </c>
      <c r="C52" s="135" t="s">
        <v>32</v>
      </c>
    </row>
    <row r="53" spans="1:7" x14ac:dyDescent="0.35">
      <c r="B53" s="60" t="s">
        <v>58</v>
      </c>
      <c r="C53" s="57">
        <f>Données!H51</f>
        <v>5682250</v>
      </c>
      <c r="G53" s="123" t="s">
        <v>102</v>
      </c>
    </row>
    <row r="54" spans="1:7" ht="15" x14ac:dyDescent="0.4">
      <c r="B54" s="37" t="s">
        <v>62</v>
      </c>
      <c r="C54" s="58">
        <f>C48*Données!G18</f>
        <v>3960000</v>
      </c>
      <c r="D54" s="61" t="s">
        <v>83</v>
      </c>
    </row>
    <row r="55" spans="1:7" x14ac:dyDescent="0.35">
      <c r="B55" s="72" t="s">
        <v>61</v>
      </c>
      <c r="C55" s="73">
        <f>C53-C54</f>
        <v>1722250</v>
      </c>
    </row>
    <row r="59" spans="1:7" x14ac:dyDescent="0.35">
      <c r="A59" s="105" t="s">
        <v>143</v>
      </c>
    </row>
    <row r="61" spans="1:7" x14ac:dyDescent="0.35">
      <c r="A61" s="11">
        <v>1</v>
      </c>
      <c r="B61" s="11" t="s">
        <v>144</v>
      </c>
    </row>
    <row r="62" spans="1:7" x14ac:dyDescent="0.35">
      <c r="A62" s="11">
        <v>2</v>
      </c>
      <c r="B62" s="11" t="s">
        <v>145</v>
      </c>
    </row>
    <row r="66" spans="1:1" x14ac:dyDescent="0.35">
      <c r="A66" s="105" t="s">
        <v>113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4"/>
  <sheetViews>
    <sheetView showGridLines="0" topLeftCell="A25" workbookViewId="0">
      <selection activeCell="C50" sqref="C50:I50"/>
    </sheetView>
  </sheetViews>
  <sheetFormatPr baseColWidth="10" defaultColWidth="11.6328125" defaultRowHeight="11.5" x14ac:dyDescent="0.25"/>
  <cols>
    <col min="1" max="1" width="35" style="37" customWidth="1"/>
    <col min="2" max="3" width="13.7265625" style="37" customWidth="1"/>
    <col min="4" max="4" width="14.6328125" style="37" customWidth="1"/>
    <col min="5" max="5" width="13.7265625" style="37" customWidth="1"/>
    <col min="6" max="6" width="16.08984375" style="37" customWidth="1"/>
    <col min="7" max="12" width="13.7265625" style="37" customWidth="1"/>
    <col min="13" max="16384" width="11.6328125" style="37"/>
  </cols>
  <sheetData>
    <row r="1" spans="1:12" ht="29.25" customHeight="1" x14ac:dyDescent="0.3">
      <c r="A1" s="105" t="s">
        <v>114</v>
      </c>
    </row>
    <row r="3" spans="1:12" ht="15" customHeight="1" x14ac:dyDescent="0.25">
      <c r="A3" s="67"/>
      <c r="B3" s="38">
        <v>0</v>
      </c>
      <c r="C3" s="38">
        <v>1</v>
      </c>
      <c r="D3" s="38">
        <v>2</v>
      </c>
      <c r="E3" s="38">
        <v>3</v>
      </c>
      <c r="F3" s="38">
        <v>4</v>
      </c>
      <c r="G3" s="38">
        <v>5</v>
      </c>
      <c r="H3" s="38">
        <v>6</v>
      </c>
      <c r="I3" s="38">
        <v>7</v>
      </c>
      <c r="J3" s="38">
        <v>8</v>
      </c>
      <c r="K3" s="38">
        <v>9</v>
      </c>
      <c r="L3" s="38">
        <v>10</v>
      </c>
    </row>
    <row r="4" spans="1:12" s="65" customFormat="1" ht="15" customHeight="1" x14ac:dyDescent="0.25">
      <c r="A4" s="74" t="s">
        <v>67</v>
      </c>
      <c r="B4" s="66">
        <v>0</v>
      </c>
      <c r="C4" s="66">
        <f>B20</f>
        <v>302750</v>
      </c>
      <c r="D4" s="66">
        <f t="shared" ref="D4:L4" si="0">C20</f>
        <v>907750</v>
      </c>
      <c r="E4" s="66">
        <f t="shared" si="0"/>
        <v>2304750</v>
      </c>
      <c r="F4" s="66">
        <f t="shared" si="0"/>
        <v>3867350</v>
      </c>
      <c r="G4" s="66">
        <f t="shared" si="0"/>
        <v>6134430</v>
      </c>
      <c r="H4" s="66">
        <f t="shared" si="0"/>
        <v>8592094</v>
      </c>
      <c r="I4" s="66">
        <f t="shared" si="0"/>
        <v>11265225.199999999</v>
      </c>
      <c r="J4" s="66">
        <f t="shared" si="0"/>
        <v>14173730.16</v>
      </c>
      <c r="K4" s="66">
        <f t="shared" si="0"/>
        <v>17333534.127999999</v>
      </c>
      <c r="L4" s="66">
        <f t="shared" si="0"/>
        <v>20757377.3024</v>
      </c>
    </row>
    <row r="5" spans="1:12" ht="15" customHeight="1" x14ac:dyDescent="0.25">
      <c r="A5" s="37" t="s">
        <v>109</v>
      </c>
      <c r="B5" s="167">
        <f>VAN!C7</f>
        <v>-36000000</v>
      </c>
      <c r="D5" s="39"/>
      <c r="E5" s="39"/>
      <c r="F5" s="39"/>
      <c r="G5" s="39"/>
      <c r="H5" s="39"/>
      <c r="I5" s="39"/>
      <c r="J5" s="39"/>
      <c r="K5" s="39"/>
      <c r="L5" s="39"/>
    </row>
    <row r="6" spans="1:12" s="65" customFormat="1" ht="15" customHeight="1" x14ac:dyDescent="0.25">
      <c r="A6" s="65" t="s">
        <v>169</v>
      </c>
      <c r="B6" s="167">
        <f>(Données!$D$50-Données!$D$47-Données!$D$44)</f>
        <v>2082750</v>
      </c>
      <c r="C6" s="167">
        <f>(Données!$D$50-Données!$D$47-Données!$D$44)</f>
        <v>2082750</v>
      </c>
      <c r="D6" s="167">
        <f>(Données!$D$50-Données!$D$47-Données!$D$44)</f>
        <v>2082750</v>
      </c>
      <c r="E6" s="167">
        <f>(Données!$D$50-Données!$D$47-Données!$D$44)</f>
        <v>2082750</v>
      </c>
      <c r="F6" s="167">
        <f>(Données!$D$50-Données!$D$47-Données!$D$44)</f>
        <v>2082750</v>
      </c>
      <c r="G6" s="167">
        <f>(Données!$D$50-Données!$D$47-Données!$D$44)</f>
        <v>2082750</v>
      </c>
      <c r="H6" s="167">
        <f>(Données!$D$50-Données!$D$47-Données!$D$44)</f>
        <v>2082750</v>
      </c>
      <c r="I6" s="167">
        <f>(Données!$D$50-Données!$D$47-Données!$D$44)</f>
        <v>2082750</v>
      </c>
      <c r="J6" s="167">
        <f>(Données!$D$50-Données!$D$47-Données!$D$44)</f>
        <v>2082750</v>
      </c>
      <c r="K6" s="167">
        <f>(Données!$D$50-Données!$D$47-Données!$D$44)</f>
        <v>2082750</v>
      </c>
      <c r="L6" s="167">
        <f>(Données!$D$50-Données!$D$47-Données!$D$44)</f>
        <v>2082750</v>
      </c>
    </row>
    <row r="7" spans="1:12" s="65" customFormat="1" ht="15" customHeight="1" x14ac:dyDescent="0.25">
      <c r="A7" s="65" t="s">
        <v>106</v>
      </c>
      <c r="B7" s="167">
        <v>0</v>
      </c>
      <c r="C7" s="167">
        <f>Données!$H$51</f>
        <v>5682250</v>
      </c>
      <c r="D7" s="76">
        <f>Données!$H$51</f>
        <v>5682250</v>
      </c>
      <c r="E7" s="76">
        <f>Données!$H$51</f>
        <v>5682250</v>
      </c>
      <c r="F7" s="76">
        <f>Données!$H$51</f>
        <v>5682250</v>
      </c>
      <c r="G7" s="76">
        <f>Données!$H$51</f>
        <v>5682250</v>
      </c>
      <c r="H7" s="76">
        <f>Données!$H$51</f>
        <v>5682250</v>
      </c>
      <c r="I7" s="76">
        <f>Données!$H$51</f>
        <v>5682250</v>
      </c>
      <c r="J7" s="76">
        <f>Données!$H$51</f>
        <v>5682250</v>
      </c>
      <c r="K7" s="76">
        <f>Données!$H$51</f>
        <v>5682250</v>
      </c>
      <c r="L7" s="76">
        <f>Données!$H$51</f>
        <v>5682250</v>
      </c>
    </row>
    <row r="8" spans="1:12" s="65" customFormat="1" ht="15" customHeight="1" x14ac:dyDescent="0.25">
      <c r="A8" s="65" t="s">
        <v>166</v>
      </c>
      <c r="B8" s="167"/>
      <c r="C8" s="167">
        <f>VAN!D33</f>
        <v>540000</v>
      </c>
      <c r="D8" s="167">
        <f>VAN!E33</f>
        <v>972000</v>
      </c>
      <c r="E8" s="167">
        <f>VAN!F33</f>
        <v>777600</v>
      </c>
      <c r="F8" s="167">
        <f>VAN!G33</f>
        <v>622080</v>
      </c>
      <c r="G8" s="167">
        <f>VAN!H33</f>
        <v>497664</v>
      </c>
      <c r="H8" s="167">
        <f>VAN!I33</f>
        <v>398131.20000000001</v>
      </c>
      <c r="I8" s="167">
        <f>VAN!J33</f>
        <v>318504.96000000002</v>
      </c>
      <c r="J8" s="167">
        <f>VAN!K33</f>
        <v>254803.96800000002</v>
      </c>
      <c r="K8" s="167">
        <f>VAN!L33</f>
        <v>203843.17440000002</v>
      </c>
      <c r="L8" s="167">
        <f>VAN!M33</f>
        <v>163074.53952000002</v>
      </c>
    </row>
    <row r="9" spans="1:12" s="65" customFormat="1" ht="15" customHeight="1" x14ac:dyDescent="0.25">
      <c r="A9" s="65" t="s">
        <v>63</v>
      </c>
      <c r="B9" s="167">
        <f>-Données!$G$15</f>
        <v>-100000</v>
      </c>
      <c r="C9" s="76">
        <f>-Données!$G$15</f>
        <v>-100000</v>
      </c>
      <c r="D9" s="76">
        <f>-Données!$G$15</f>
        <v>-100000</v>
      </c>
      <c r="E9" s="76">
        <f>-Données!$G$15</f>
        <v>-100000</v>
      </c>
      <c r="F9" s="76">
        <f>-Données!$G$15</f>
        <v>-100000</v>
      </c>
      <c r="G9" s="76">
        <f>-Données!$G$15</f>
        <v>-100000</v>
      </c>
      <c r="H9" s="76">
        <f>-Données!$G$15</f>
        <v>-100000</v>
      </c>
      <c r="I9" s="76">
        <f>-Données!$G$15</f>
        <v>-100000</v>
      </c>
      <c r="J9" s="76">
        <f>-Données!$G$15</f>
        <v>-100000</v>
      </c>
      <c r="K9" s="76">
        <f>-Données!$G$15</f>
        <v>-100000</v>
      </c>
      <c r="L9" s="76">
        <f>-Données!$G$15</f>
        <v>-100000</v>
      </c>
    </row>
    <row r="10" spans="1:12" ht="15" customHeight="1" x14ac:dyDescent="0.25">
      <c r="A10" s="37" t="s">
        <v>70</v>
      </c>
      <c r="B10" s="167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</row>
    <row r="11" spans="1:12" ht="15" customHeight="1" x14ac:dyDescent="0.25">
      <c r="A11" s="37" t="s">
        <v>108</v>
      </c>
      <c r="B11" s="167">
        <f>-Données!D60</f>
        <v>-180000</v>
      </c>
      <c r="C11" s="167">
        <f>-Données!E60</f>
        <v>-135000</v>
      </c>
      <c r="D11" s="167">
        <f>-Données!F60</f>
        <v>-90000</v>
      </c>
      <c r="E11" s="167">
        <f>-Données!G60</f>
        <v>-45000</v>
      </c>
      <c r="F11" s="39"/>
      <c r="G11" s="39"/>
      <c r="H11" s="39"/>
      <c r="I11" s="39"/>
      <c r="J11" s="39"/>
      <c r="K11" s="39"/>
      <c r="L11" s="39"/>
    </row>
    <row r="12" spans="1:12" ht="15" customHeight="1" x14ac:dyDescent="0.4">
      <c r="A12" s="37" t="s">
        <v>107</v>
      </c>
      <c r="B12" s="168">
        <f>-Données!D59</f>
        <v>-500000</v>
      </c>
      <c r="C12" s="177">
        <f>-Données!E59</f>
        <v>-500000</v>
      </c>
      <c r="D12" s="177">
        <f>-Données!F59</f>
        <v>-500000</v>
      </c>
      <c r="E12" s="177">
        <f>-Données!G59</f>
        <v>-500000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</row>
    <row r="13" spans="1:12" ht="15" customHeight="1" x14ac:dyDescent="0.25">
      <c r="A13" s="69" t="s">
        <v>68</v>
      </c>
      <c r="B13" s="64">
        <f t="shared" ref="B13:L13" si="1">SUM(B4:B12)</f>
        <v>-34697250</v>
      </c>
      <c r="C13" s="64">
        <f t="shared" si="1"/>
        <v>7872750</v>
      </c>
      <c r="D13" s="64">
        <f t="shared" si="1"/>
        <v>8954750</v>
      </c>
      <c r="E13" s="64">
        <f t="shared" si="1"/>
        <v>10202350</v>
      </c>
      <c r="F13" s="64">
        <f t="shared" si="1"/>
        <v>12154430</v>
      </c>
      <c r="G13" s="64">
        <f t="shared" si="1"/>
        <v>14297094</v>
      </c>
      <c r="H13" s="64">
        <f t="shared" si="1"/>
        <v>16655225.199999999</v>
      </c>
      <c r="I13" s="64">
        <f t="shared" si="1"/>
        <v>19248730.16</v>
      </c>
      <c r="J13" s="64">
        <f t="shared" si="1"/>
        <v>22093534.127999999</v>
      </c>
      <c r="K13" s="64">
        <f t="shared" si="1"/>
        <v>25202377.3024</v>
      </c>
      <c r="L13" s="64">
        <f t="shared" si="1"/>
        <v>28585451.84192</v>
      </c>
    </row>
    <row r="14" spans="1:12" ht="15" customHeight="1" x14ac:dyDescent="0.2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2" ht="15" customHeight="1" x14ac:dyDescent="0.25">
      <c r="A15" s="37" t="s">
        <v>64</v>
      </c>
      <c r="B15" s="39"/>
      <c r="C15" s="39"/>
      <c r="D15" s="39"/>
      <c r="E15" s="39"/>
      <c r="F15" s="39"/>
      <c r="G15" s="39"/>
      <c r="I15" s="39"/>
      <c r="K15" s="39"/>
    </row>
    <row r="16" spans="1:12" ht="15" customHeight="1" x14ac:dyDescent="0.25">
      <c r="A16" s="41" t="s">
        <v>65</v>
      </c>
      <c r="B16" s="39">
        <v>0</v>
      </c>
      <c r="C16" s="39">
        <f>C32</f>
        <v>-3500000</v>
      </c>
      <c r="D16" s="39">
        <f t="shared" ref="D16:L16" si="2">D32</f>
        <v>-3500000</v>
      </c>
      <c r="E16" s="39">
        <f t="shared" si="2"/>
        <v>-3500000</v>
      </c>
      <c r="F16" s="39">
        <f t="shared" si="2"/>
        <v>-3500000</v>
      </c>
      <c r="G16" s="39">
        <f t="shared" si="2"/>
        <v>-3500000</v>
      </c>
      <c r="H16" s="39">
        <f t="shared" si="2"/>
        <v>-3500000</v>
      </c>
      <c r="I16" s="39">
        <f t="shared" si="2"/>
        <v>-3500000</v>
      </c>
      <c r="J16" s="39">
        <f t="shared" si="2"/>
        <v>-3500000</v>
      </c>
      <c r="K16" s="39">
        <f t="shared" si="2"/>
        <v>-3500000</v>
      </c>
      <c r="L16" s="39">
        <f t="shared" si="2"/>
        <v>-3500000</v>
      </c>
    </row>
    <row r="17" spans="1:12" ht="15" customHeight="1" x14ac:dyDescent="0.4">
      <c r="A17" s="41" t="s">
        <v>39</v>
      </c>
      <c r="B17" s="40">
        <v>0</v>
      </c>
      <c r="C17" s="40">
        <f>C33</f>
        <v>-3465000</v>
      </c>
      <c r="D17" s="40">
        <f t="shared" ref="D17:L17" si="3">D33</f>
        <v>-3150000</v>
      </c>
      <c r="E17" s="40">
        <f t="shared" si="3"/>
        <v>-2835000</v>
      </c>
      <c r="F17" s="40">
        <f t="shared" si="3"/>
        <v>-2520000</v>
      </c>
      <c r="G17" s="40">
        <f t="shared" si="3"/>
        <v>-2205000</v>
      </c>
      <c r="H17" s="40">
        <f t="shared" si="3"/>
        <v>-1890000</v>
      </c>
      <c r="I17" s="40">
        <f t="shared" si="3"/>
        <v>-1575000</v>
      </c>
      <c r="J17" s="40">
        <f t="shared" si="3"/>
        <v>-1260000</v>
      </c>
      <c r="K17" s="40">
        <f t="shared" si="3"/>
        <v>-945000</v>
      </c>
      <c r="L17" s="40">
        <f t="shared" si="3"/>
        <v>-630000</v>
      </c>
    </row>
    <row r="18" spans="1:12" ht="15" customHeight="1" x14ac:dyDescent="0.25">
      <c r="A18" s="63" t="s">
        <v>69</v>
      </c>
      <c r="B18" s="39">
        <f>SUM(B13:B17)</f>
        <v>-34697250</v>
      </c>
      <c r="C18" s="39">
        <f>SUM(C13:C17)</f>
        <v>907750</v>
      </c>
      <c r="D18" s="39">
        <f>SUM(D13:D17)</f>
        <v>2304750</v>
      </c>
      <c r="E18" s="39">
        <f t="shared" ref="E18:H18" si="4">SUM(E13:E17)</f>
        <v>3867350</v>
      </c>
      <c r="F18" s="39">
        <f t="shared" si="4"/>
        <v>6134430</v>
      </c>
      <c r="G18" s="39">
        <f t="shared" si="4"/>
        <v>8592094</v>
      </c>
      <c r="H18" s="39">
        <f t="shared" si="4"/>
        <v>11265225.199999999</v>
      </c>
      <c r="I18" s="39">
        <f t="shared" ref="I18:L18" si="5">SUM(I13:I17)</f>
        <v>14173730.16</v>
      </c>
      <c r="J18" s="39">
        <f t="shared" si="5"/>
        <v>17333534.127999999</v>
      </c>
      <c r="K18" s="39">
        <f t="shared" si="5"/>
        <v>20757377.3024</v>
      </c>
      <c r="L18" s="39">
        <f t="shared" si="5"/>
        <v>24455451.84192</v>
      </c>
    </row>
    <row r="19" spans="1:12" ht="15" customHeight="1" x14ac:dyDescent="0.4">
      <c r="A19" s="37" t="s">
        <v>136</v>
      </c>
      <c r="B19" s="148">
        <f>F26</f>
        <v>35000000</v>
      </c>
      <c r="C19" s="6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</row>
    <row r="20" spans="1:12" ht="15" customHeight="1" x14ac:dyDescent="0.25">
      <c r="A20" s="75" t="s">
        <v>71</v>
      </c>
      <c r="B20" s="44">
        <f>SUM(B18:B19)</f>
        <v>302750</v>
      </c>
      <c r="C20" s="44">
        <f t="shared" ref="C20:L20" si="6">SUM(C18:C19)</f>
        <v>907750</v>
      </c>
      <c r="D20" s="44">
        <f t="shared" si="6"/>
        <v>2304750</v>
      </c>
      <c r="E20" s="44">
        <f t="shared" si="6"/>
        <v>3867350</v>
      </c>
      <c r="F20" s="44">
        <f t="shared" si="6"/>
        <v>6134430</v>
      </c>
      <c r="G20" s="44">
        <f t="shared" si="6"/>
        <v>8592094</v>
      </c>
      <c r="H20" s="44">
        <f t="shared" si="6"/>
        <v>11265225.199999999</v>
      </c>
      <c r="I20" s="44">
        <f t="shared" si="6"/>
        <v>14173730.16</v>
      </c>
      <c r="J20" s="44">
        <f t="shared" si="6"/>
        <v>17333534.127999999</v>
      </c>
      <c r="K20" s="44">
        <f t="shared" si="6"/>
        <v>20757377.3024</v>
      </c>
      <c r="L20" s="44">
        <f t="shared" si="6"/>
        <v>24455451.84192</v>
      </c>
    </row>
    <row r="21" spans="1:12" ht="13.9" customHeight="1" x14ac:dyDescent="0.25">
      <c r="D21" s="39"/>
      <c r="E21" s="39"/>
      <c r="F21" s="39"/>
      <c r="G21" s="39"/>
      <c r="H21" s="39"/>
      <c r="I21" s="39"/>
    </row>
    <row r="22" spans="1:12" ht="13.9" customHeight="1" x14ac:dyDescent="0.25">
      <c r="D22" s="39"/>
      <c r="E22" s="39"/>
      <c r="F22" s="39"/>
      <c r="G22" s="39"/>
      <c r="H22" s="39"/>
      <c r="I22" s="39"/>
    </row>
    <row r="23" spans="1:12" ht="13.9" customHeight="1" x14ac:dyDescent="0.25"/>
    <row r="24" spans="1:12" ht="13.9" customHeight="1" x14ac:dyDescent="0.25"/>
    <row r="25" spans="1:12" ht="13.9" customHeight="1" x14ac:dyDescent="0.25">
      <c r="D25" s="39"/>
      <c r="E25" s="39"/>
      <c r="F25" s="39"/>
      <c r="G25" s="39"/>
      <c r="H25" s="39"/>
      <c r="I25" s="39"/>
    </row>
    <row r="26" spans="1:12" ht="13.5" customHeight="1" x14ac:dyDescent="0.4">
      <c r="A26" s="105" t="s">
        <v>115</v>
      </c>
      <c r="D26" s="39"/>
      <c r="E26" s="39"/>
      <c r="F26" s="68">
        <v>35000000</v>
      </c>
      <c r="G26" s="39"/>
      <c r="H26" s="39"/>
      <c r="I26" s="39"/>
    </row>
    <row r="27" spans="1:12" ht="13.5" customHeight="1" x14ac:dyDescent="0.25"/>
    <row r="28" spans="1:12" ht="13.5" customHeight="1" x14ac:dyDescent="0.3">
      <c r="A28" s="105" t="s">
        <v>116</v>
      </c>
    </row>
    <row r="30" spans="1:12" x14ac:dyDescent="0.25">
      <c r="B30" s="141" t="s">
        <v>110</v>
      </c>
      <c r="C30" s="146">
        <v>1</v>
      </c>
      <c r="D30" s="146">
        <v>2</v>
      </c>
      <c r="E30" s="146">
        <v>3</v>
      </c>
      <c r="F30" s="146">
        <v>4</v>
      </c>
      <c r="G30" s="146">
        <v>5</v>
      </c>
      <c r="H30" s="146">
        <v>6</v>
      </c>
      <c r="I30" s="146">
        <v>7</v>
      </c>
      <c r="J30" s="146">
        <v>8</v>
      </c>
      <c r="K30" s="146">
        <v>9</v>
      </c>
      <c r="L30" s="147">
        <v>10</v>
      </c>
    </row>
    <row r="31" spans="1:12" x14ac:dyDescent="0.25">
      <c r="B31" s="142" t="s">
        <v>31</v>
      </c>
      <c r="C31" s="50">
        <f>B19</f>
        <v>35000000</v>
      </c>
      <c r="D31" s="50">
        <f t="shared" ref="D31:L31" si="7">C34</f>
        <v>31500000</v>
      </c>
      <c r="E31" s="50">
        <f t="shared" si="7"/>
        <v>28000000</v>
      </c>
      <c r="F31" s="50">
        <f t="shared" si="7"/>
        <v>24500000</v>
      </c>
      <c r="G31" s="50">
        <f t="shared" si="7"/>
        <v>21000000</v>
      </c>
      <c r="H31" s="50">
        <f t="shared" si="7"/>
        <v>17500000</v>
      </c>
      <c r="I31" s="50">
        <f t="shared" si="7"/>
        <v>14000000</v>
      </c>
      <c r="J31" s="50">
        <f t="shared" si="7"/>
        <v>10500000</v>
      </c>
      <c r="K31" s="50">
        <f t="shared" si="7"/>
        <v>7000000</v>
      </c>
      <c r="L31" s="179">
        <f t="shared" si="7"/>
        <v>3500000</v>
      </c>
    </row>
    <row r="32" spans="1:12" x14ac:dyDescent="0.25">
      <c r="B32" s="142" t="s">
        <v>38</v>
      </c>
      <c r="C32" s="167">
        <f>-C31/10</f>
        <v>-3500000</v>
      </c>
      <c r="D32" s="50">
        <f>C32</f>
        <v>-3500000</v>
      </c>
      <c r="E32" s="50">
        <f t="shared" ref="E32:L32" si="8">D32</f>
        <v>-3500000</v>
      </c>
      <c r="F32" s="50">
        <f t="shared" si="8"/>
        <v>-3500000</v>
      </c>
      <c r="G32" s="50">
        <f t="shared" si="8"/>
        <v>-3500000</v>
      </c>
      <c r="H32" s="50">
        <f t="shared" si="8"/>
        <v>-3500000</v>
      </c>
      <c r="I32" s="50">
        <f t="shared" si="8"/>
        <v>-3500000</v>
      </c>
      <c r="J32" s="50">
        <f t="shared" si="8"/>
        <v>-3500000</v>
      </c>
      <c r="K32" s="50">
        <f t="shared" si="8"/>
        <v>-3500000</v>
      </c>
      <c r="L32" s="143">
        <f t="shared" si="8"/>
        <v>-3500000</v>
      </c>
    </row>
    <row r="33" spans="1:12" x14ac:dyDescent="0.25">
      <c r="B33" s="142" t="s">
        <v>39</v>
      </c>
      <c r="C33" s="167">
        <f>-$B$36*(C31-C32)</f>
        <v>-3465000</v>
      </c>
      <c r="D33" s="167">
        <f t="shared" ref="D33:L33" si="9">-$B$36*(D31-D32)</f>
        <v>-3150000</v>
      </c>
      <c r="E33" s="167">
        <f t="shared" si="9"/>
        <v>-2835000</v>
      </c>
      <c r="F33" s="167">
        <f t="shared" si="9"/>
        <v>-2520000</v>
      </c>
      <c r="G33" s="167">
        <f t="shared" si="9"/>
        <v>-2205000</v>
      </c>
      <c r="H33" s="167">
        <f t="shared" si="9"/>
        <v>-1890000</v>
      </c>
      <c r="I33" s="167">
        <f t="shared" si="9"/>
        <v>-1575000</v>
      </c>
      <c r="J33" s="167">
        <f t="shared" si="9"/>
        <v>-1260000</v>
      </c>
      <c r="K33" s="167">
        <f t="shared" si="9"/>
        <v>-945000</v>
      </c>
      <c r="L33" s="167">
        <f t="shared" si="9"/>
        <v>-630000</v>
      </c>
    </row>
    <row r="34" spans="1:12" x14ac:dyDescent="0.25">
      <c r="B34" s="144" t="s">
        <v>66</v>
      </c>
      <c r="C34" s="145">
        <f>IF(C31+C32&lt;0,0,C31+C32)</f>
        <v>31500000</v>
      </c>
      <c r="D34" s="145">
        <f t="shared" ref="D34:L34" si="10">IF(D31+D32&lt;0,0,D31+D32)</f>
        <v>28000000</v>
      </c>
      <c r="E34" s="145">
        <f t="shared" si="10"/>
        <v>24500000</v>
      </c>
      <c r="F34" s="145">
        <f t="shared" si="10"/>
        <v>21000000</v>
      </c>
      <c r="G34" s="145">
        <f t="shared" si="10"/>
        <v>17500000</v>
      </c>
      <c r="H34" s="145">
        <f t="shared" si="10"/>
        <v>14000000</v>
      </c>
      <c r="I34" s="145">
        <f t="shared" si="10"/>
        <v>10500000</v>
      </c>
      <c r="J34" s="145">
        <f t="shared" si="10"/>
        <v>7000000</v>
      </c>
      <c r="K34" s="145">
        <f t="shared" si="10"/>
        <v>3500000</v>
      </c>
      <c r="L34" s="178">
        <f t="shared" si="10"/>
        <v>0</v>
      </c>
    </row>
    <row r="36" spans="1:12" x14ac:dyDescent="0.25">
      <c r="B36" s="140">
        <f>Données!G17</f>
        <v>0.09</v>
      </c>
    </row>
    <row r="38" spans="1:12" ht="14" x14ac:dyDescent="0.3">
      <c r="A38" s="105" t="s">
        <v>135</v>
      </c>
    </row>
    <row r="40" spans="1:12" ht="14" x14ac:dyDescent="0.3">
      <c r="A40" s="105" t="s">
        <v>140</v>
      </c>
    </row>
    <row r="41" spans="1:12" ht="14" x14ac:dyDescent="0.3">
      <c r="A41" s="105"/>
      <c r="B41" s="155">
        <v>0</v>
      </c>
      <c r="C41" s="155">
        <v>1</v>
      </c>
      <c r="D41" s="155">
        <v>2</v>
      </c>
      <c r="E41" s="155">
        <v>3</v>
      </c>
      <c r="F41" s="155">
        <v>4</v>
      </c>
      <c r="G41" s="155">
        <v>5</v>
      </c>
      <c r="H41" s="155">
        <v>6</v>
      </c>
      <c r="I41" s="155">
        <v>7</v>
      </c>
      <c r="J41" s="155">
        <v>8</v>
      </c>
      <c r="K41" s="155">
        <v>9</v>
      </c>
      <c r="L41" s="155">
        <v>10</v>
      </c>
    </row>
    <row r="42" spans="1:12" ht="13.9" customHeight="1" x14ac:dyDescent="0.25">
      <c r="A42" s="37" t="s">
        <v>138</v>
      </c>
      <c r="B42" s="44" t="s">
        <v>102</v>
      </c>
      <c r="C42" s="44">
        <f>C18-C4</f>
        <v>605000</v>
      </c>
      <c r="D42" s="44">
        <f t="shared" ref="D42:L42" si="11">D18-D4</f>
        <v>1397000</v>
      </c>
      <c r="E42" s="44">
        <f t="shared" si="11"/>
        <v>1562600</v>
      </c>
      <c r="F42" s="44">
        <f t="shared" si="11"/>
        <v>2267080</v>
      </c>
      <c r="G42" s="44">
        <f t="shared" si="11"/>
        <v>2457664</v>
      </c>
      <c r="H42" s="44">
        <f t="shared" si="11"/>
        <v>2673131.1999999993</v>
      </c>
      <c r="I42" s="44">
        <f t="shared" si="11"/>
        <v>2908504.9600000009</v>
      </c>
      <c r="J42" s="44">
        <f t="shared" si="11"/>
        <v>3159803.9679999985</v>
      </c>
      <c r="K42" s="44">
        <f t="shared" si="11"/>
        <v>3423843.1744000018</v>
      </c>
      <c r="L42" s="44">
        <f t="shared" si="11"/>
        <v>3698074.5395199992</v>
      </c>
    </row>
    <row r="43" spans="1:12" ht="13.9" customHeight="1" x14ac:dyDescent="0.25">
      <c r="A43" s="37" t="s">
        <v>128</v>
      </c>
      <c r="B43" s="44"/>
      <c r="D43" s="39">
        <f>C42+D42</f>
        <v>2002000</v>
      </c>
      <c r="E43" s="39">
        <f>D43+E42</f>
        <v>3564600</v>
      </c>
      <c r="F43" s="39">
        <f t="shared" ref="F43:L43" si="12">E43+F42</f>
        <v>5831680</v>
      </c>
      <c r="G43" s="39">
        <f t="shared" si="12"/>
        <v>8289344</v>
      </c>
      <c r="H43" s="39">
        <f t="shared" si="12"/>
        <v>10962475.199999999</v>
      </c>
      <c r="I43" s="39">
        <f t="shared" si="12"/>
        <v>13870980.16</v>
      </c>
      <c r="J43" s="39">
        <f t="shared" si="12"/>
        <v>17030784.127999999</v>
      </c>
      <c r="K43" s="39">
        <f t="shared" si="12"/>
        <v>20454627.3024</v>
      </c>
      <c r="L43" s="39">
        <f t="shared" si="12"/>
        <v>24152701.84192</v>
      </c>
    </row>
    <row r="44" spans="1:12" ht="13.9" customHeight="1" x14ac:dyDescent="0.25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1:12" ht="13.9" customHeight="1" x14ac:dyDescent="0.3">
      <c r="A45" s="105" t="s">
        <v>141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</row>
    <row r="46" spans="1:12" ht="13.9" customHeight="1" x14ac:dyDescent="0.25">
      <c r="A46" s="37" t="s">
        <v>137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</row>
    <row r="47" spans="1:12" x14ac:dyDescent="0.25">
      <c r="B47" s="141" t="s">
        <v>110</v>
      </c>
      <c r="C47" s="146">
        <v>1</v>
      </c>
      <c r="D47" s="146">
        <v>2</v>
      </c>
      <c r="E47" s="146">
        <v>3</v>
      </c>
      <c r="F47" s="146">
        <v>4</v>
      </c>
      <c r="G47" s="146">
        <v>5</v>
      </c>
      <c r="H47" s="146">
        <v>6</v>
      </c>
      <c r="I47" s="146">
        <v>7</v>
      </c>
      <c r="J47" s="146"/>
      <c r="K47" s="146"/>
      <c r="L47" s="147"/>
    </row>
    <row r="48" spans="1:12" x14ac:dyDescent="0.25">
      <c r="B48" s="142" t="s">
        <v>31</v>
      </c>
      <c r="C48" s="50">
        <f>B19</f>
        <v>35000000</v>
      </c>
      <c r="D48" s="50">
        <f t="shared" ref="D48" si="13">C51</f>
        <v>30000000</v>
      </c>
      <c r="E48" s="50">
        <f t="shared" ref="E48" si="14">D51</f>
        <v>25000000</v>
      </c>
      <c r="F48" s="50">
        <f t="shared" ref="F48" si="15">E51</f>
        <v>20000000</v>
      </c>
      <c r="G48" s="50">
        <f t="shared" ref="G48" si="16">F51</f>
        <v>15000000</v>
      </c>
      <c r="H48" s="50">
        <f t="shared" ref="H48" si="17">G51</f>
        <v>10000000</v>
      </c>
      <c r="I48" s="50">
        <f t="shared" ref="I48" si="18">H51</f>
        <v>5000000</v>
      </c>
      <c r="J48" s="50"/>
      <c r="K48" s="50"/>
      <c r="L48" s="143"/>
    </row>
    <row r="49" spans="1:12" x14ac:dyDescent="0.25">
      <c r="B49" s="142" t="s">
        <v>38</v>
      </c>
      <c r="C49" s="167">
        <f>-C48/7</f>
        <v>-5000000</v>
      </c>
      <c r="D49" s="50">
        <f>C49</f>
        <v>-5000000</v>
      </c>
      <c r="E49" s="50">
        <f t="shared" ref="E49" si="19">D49</f>
        <v>-5000000</v>
      </c>
      <c r="F49" s="50">
        <f t="shared" ref="F49" si="20">E49</f>
        <v>-5000000</v>
      </c>
      <c r="G49" s="50">
        <f t="shared" ref="G49" si="21">F49</f>
        <v>-5000000</v>
      </c>
      <c r="H49" s="50">
        <f t="shared" ref="H49" si="22">G49</f>
        <v>-5000000</v>
      </c>
      <c r="I49" s="50">
        <f t="shared" ref="I49" si="23">H49</f>
        <v>-5000000</v>
      </c>
      <c r="J49" s="50"/>
      <c r="K49" s="50"/>
      <c r="L49" s="143"/>
    </row>
    <row r="50" spans="1:12" x14ac:dyDescent="0.25">
      <c r="B50" s="142" t="s">
        <v>39</v>
      </c>
      <c r="C50" s="167">
        <f>-$B$36*(C48-C49)</f>
        <v>-3600000</v>
      </c>
      <c r="D50" s="167">
        <f t="shared" ref="D50:I50" si="24">-$B$36*(D48-D49)</f>
        <v>-3150000</v>
      </c>
      <c r="E50" s="167">
        <f t="shared" si="24"/>
        <v>-2700000</v>
      </c>
      <c r="F50" s="167">
        <f t="shared" si="24"/>
        <v>-2250000</v>
      </c>
      <c r="G50" s="167">
        <f t="shared" si="24"/>
        <v>-1800000</v>
      </c>
      <c r="H50" s="167">
        <f t="shared" si="24"/>
        <v>-1350000</v>
      </c>
      <c r="I50" s="167">
        <f t="shared" si="24"/>
        <v>-900000</v>
      </c>
      <c r="J50" s="50"/>
      <c r="K50" s="50"/>
      <c r="L50" s="143"/>
    </row>
    <row r="51" spans="1:12" x14ac:dyDescent="0.25">
      <c r="B51" s="144" t="s">
        <v>66</v>
      </c>
      <c r="C51" s="145">
        <f>IF(C48+C49&lt;0,0,C48+C49)</f>
        <v>30000000</v>
      </c>
      <c r="D51" s="145">
        <f t="shared" ref="D51:G51" si="25">IF(D48+D49&lt;0,0,D48+D49)</f>
        <v>25000000</v>
      </c>
      <c r="E51" s="145">
        <f t="shared" si="25"/>
        <v>20000000</v>
      </c>
      <c r="F51" s="145">
        <f t="shared" si="25"/>
        <v>15000000</v>
      </c>
      <c r="G51" s="145">
        <f t="shared" si="25"/>
        <v>10000000</v>
      </c>
      <c r="H51" s="145">
        <f t="shared" ref="H51:I51" si="26">IF(H48+H49&lt;0,0,H48+H49)</f>
        <v>5000000</v>
      </c>
      <c r="I51" s="145">
        <f t="shared" si="26"/>
        <v>0</v>
      </c>
      <c r="J51" s="145"/>
      <c r="K51" s="145"/>
      <c r="L51" s="178"/>
    </row>
    <row r="53" spans="1:12" x14ac:dyDescent="0.25">
      <c r="B53" s="140">
        <f>B36</f>
        <v>0.09</v>
      </c>
    </row>
    <row r="54" spans="1:12" x14ac:dyDescent="0.25">
      <c r="B54" s="140"/>
    </row>
    <row r="56" spans="1:12" ht="14" x14ac:dyDescent="0.3">
      <c r="A56" s="105" t="s">
        <v>139</v>
      </c>
    </row>
    <row r="58" spans="1:12" x14ac:dyDescent="0.25">
      <c r="B58" s="155">
        <v>0</v>
      </c>
      <c r="C58" s="155">
        <v>1</v>
      </c>
      <c r="D58" s="155">
        <v>2</v>
      </c>
      <c r="E58" s="155">
        <v>3</v>
      </c>
      <c r="F58" s="155">
        <v>4</v>
      </c>
      <c r="G58" s="155">
        <v>5</v>
      </c>
      <c r="H58" s="155">
        <v>6</v>
      </c>
      <c r="I58" s="155">
        <v>7</v>
      </c>
      <c r="J58" s="155">
        <v>8</v>
      </c>
      <c r="K58" s="155">
        <v>9</v>
      </c>
      <c r="L58" s="155">
        <v>10</v>
      </c>
    </row>
    <row r="59" spans="1:12" ht="14.5" x14ac:dyDescent="0.35">
      <c r="A59" s="153" t="s">
        <v>126</v>
      </c>
      <c r="B59" s="155" t="s">
        <v>127</v>
      </c>
      <c r="C59" s="158"/>
      <c r="D59" s="158"/>
      <c r="E59" s="158"/>
      <c r="F59" s="158"/>
      <c r="G59" s="158"/>
      <c r="H59" s="158"/>
      <c r="I59" s="158"/>
      <c r="J59" s="158"/>
      <c r="K59" s="158"/>
      <c r="L59" s="158"/>
    </row>
    <row r="60" spans="1:12" ht="18.75" customHeight="1" x14ac:dyDescent="0.35">
      <c r="A60" s="153" t="s">
        <v>121</v>
      </c>
      <c r="B60" s="159">
        <f>-B5/B19</f>
        <v>1.0285714285714285</v>
      </c>
      <c r="C60" s="169">
        <f t="shared" ref="C60:L60" si="27">(-$B$5-($B$5/10*C58))/($B$19-(C16*C58))</f>
        <v>1.0285714285714285</v>
      </c>
      <c r="D60" s="159">
        <f t="shared" si="27"/>
        <v>1.0285714285714285</v>
      </c>
      <c r="E60" s="159">
        <f t="shared" si="27"/>
        <v>1.0285714285714285</v>
      </c>
      <c r="F60" s="159">
        <f t="shared" si="27"/>
        <v>1.0285714285714285</v>
      </c>
      <c r="G60" s="159">
        <f t="shared" si="27"/>
        <v>1.0285714285714285</v>
      </c>
      <c r="H60" s="159">
        <f t="shared" si="27"/>
        <v>1.0285714285714285</v>
      </c>
      <c r="I60" s="159">
        <f t="shared" si="27"/>
        <v>1.0285714285714285</v>
      </c>
      <c r="J60" s="159">
        <f t="shared" si="27"/>
        <v>1.0285714285714285</v>
      </c>
      <c r="K60" s="159">
        <f t="shared" si="27"/>
        <v>1.0285714285714285</v>
      </c>
      <c r="L60" s="159">
        <f t="shared" si="27"/>
        <v>1.0285714285714285</v>
      </c>
    </row>
    <row r="61" spans="1:12" ht="14.5" x14ac:dyDescent="0.35">
      <c r="A61" s="153" t="s">
        <v>125</v>
      </c>
      <c r="B61" s="155" t="s">
        <v>127</v>
      </c>
      <c r="C61" s="159"/>
      <c r="D61" s="155"/>
      <c r="E61" s="155"/>
      <c r="F61" s="155"/>
      <c r="G61" s="155"/>
      <c r="H61" s="155"/>
      <c r="I61" s="155"/>
      <c r="J61" s="155"/>
      <c r="K61" s="155"/>
      <c r="L61" s="155"/>
    </row>
    <row r="62" spans="1:12" ht="29" x14ac:dyDescent="0.35">
      <c r="A62" s="154" t="s">
        <v>124</v>
      </c>
      <c r="B62" s="160">
        <f>1-($B$19/-$B$5)</f>
        <v>2.777777777777779E-2</v>
      </c>
      <c r="C62" s="170">
        <f t="shared" ref="C62:L62" si="28">1-(($B$19-(C16*C58))/(-$B$5-($B$5/10*C30)))</f>
        <v>2.777777777777779E-2</v>
      </c>
      <c r="D62" s="160">
        <f t="shared" si="28"/>
        <v>2.777777777777779E-2</v>
      </c>
      <c r="E62" s="160">
        <f t="shared" si="28"/>
        <v>2.777777777777779E-2</v>
      </c>
      <c r="F62" s="160">
        <f t="shared" si="28"/>
        <v>2.777777777777779E-2</v>
      </c>
      <c r="G62" s="160">
        <f t="shared" si="28"/>
        <v>2.777777777777779E-2</v>
      </c>
      <c r="H62" s="160">
        <f t="shared" si="28"/>
        <v>2.777777777777779E-2</v>
      </c>
      <c r="I62" s="160">
        <f t="shared" si="28"/>
        <v>2.777777777777779E-2</v>
      </c>
      <c r="J62" s="160">
        <f t="shared" si="28"/>
        <v>2.777777777777779E-2</v>
      </c>
      <c r="K62" s="160">
        <f t="shared" si="28"/>
        <v>2.777777777777779E-2</v>
      </c>
      <c r="L62" s="160">
        <f t="shared" si="28"/>
        <v>2.777777777777779E-2</v>
      </c>
    </row>
    <row r="63" spans="1:12" ht="43.5" x14ac:dyDescent="0.35">
      <c r="A63" s="154" t="s">
        <v>123</v>
      </c>
      <c r="B63" s="155"/>
      <c r="C63" s="171">
        <f>(Données!$D$46+Données!$H$49-Données!$C$28/10)/(-(C11+C12+C16+C17)/(1-Données!$G$19))</f>
        <v>0.61986842105263151</v>
      </c>
      <c r="D63" s="161">
        <f>(Données!$D$46+Données!$H$49-Données!$C$28/10)/(-(D11+D12+D16+D17)/(1-Données!$G$19))</f>
        <v>0.65069060773480658</v>
      </c>
      <c r="E63" s="161">
        <f>(Données!$D$46+Données!$H$49-Données!$C$28/10)/(-(E11+E12+E16+E17)/(1-Données!$G$19))</f>
        <v>0.68473837209302324</v>
      </c>
      <c r="F63" s="161">
        <f>(Données!$D$46+Données!$H$49-Données!$C$28/10)/(-(F11+F12+F16+F17)/(1-Données!$G$19))</f>
        <v>0.78255813953488373</v>
      </c>
      <c r="G63" s="161">
        <f>(Données!$D$46+Données!$H$49-Données!$C$28/10)/(-(G11+G12+G16+G17)/(1-Données!$G$19))</f>
        <v>0.82576687116564407</v>
      </c>
      <c r="H63" s="161">
        <f>(Données!$D$46+Données!$H$49-Données!$C$28/10)/(-(H11+H12+H16+H17)/(1-Données!$G$19))</f>
        <v>0.87402597402597393</v>
      </c>
      <c r="I63" s="161">
        <f>(Données!$D$46+Données!$H$49-Données!$C$28/10)/(-(I11+I12+I16+I17)/(1-Données!$G$19))</f>
        <v>0.92827586206896551</v>
      </c>
      <c r="J63" s="161">
        <f>(Données!$D$46+Données!$H$49-Données!$C$28/10)/(-(J11+J12+J16+J17)/(1-Données!$G$19))</f>
        <v>0.98970588235294121</v>
      </c>
      <c r="K63" s="161">
        <f>(Données!$D$46+Données!$H$49-Données!$C$28/10)/(-(K11+K12+K16+K17)/(1-Données!$G$19))</f>
        <v>1.0598425196850394</v>
      </c>
      <c r="L63" s="161">
        <f>(Données!$D$46+Données!$H$49-Données!$C$28/10)/(-(L11+L12+L16+L17)/(1-Données!$G$19))</f>
        <v>1.1406779661016948</v>
      </c>
    </row>
    <row r="64" spans="1:12" x14ac:dyDescent="0.25">
      <c r="A64" s="79"/>
    </row>
  </sheetData>
  <conditionalFormatting sqref="B44:L46 B42:B43">
    <cfRule type="expression" dxfId="1" priority="2">
      <formula>B42&gt;$B$19</formula>
    </cfRule>
  </conditionalFormatting>
  <conditionalFormatting sqref="C44:L46">
    <cfRule type="expression" dxfId="0" priority="1">
      <formula>$B$42&gt;$B$19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Données</vt:lpstr>
      <vt:lpstr>VAN</vt:lpstr>
      <vt:lpstr>Financement</vt:lpstr>
      <vt:lpstr>Financement_10_ans</vt:lpstr>
      <vt:lpstr>Financement_5_ans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smeas</dc:creator>
  <cp:lastModifiedBy>Marie-Eve Quenneville</cp:lastModifiedBy>
  <dcterms:created xsi:type="dcterms:W3CDTF">2012-01-29T07:57:10Z</dcterms:created>
  <dcterms:modified xsi:type="dcterms:W3CDTF">2023-02-07T22:49:14Z</dcterms:modified>
</cp:coreProperties>
</file>