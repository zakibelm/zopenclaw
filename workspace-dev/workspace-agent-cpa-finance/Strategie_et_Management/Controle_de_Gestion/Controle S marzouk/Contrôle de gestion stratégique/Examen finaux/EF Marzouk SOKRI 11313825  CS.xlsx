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DESS\Contrôle de gestion stratégique\Examen finaux\"/>
    </mc:Choice>
  </mc:AlternateContent>
  <xr:revisionPtr revIDLastSave="0" documentId="13_ncr:1_{165FA2C8-C490-47BB-BA85-0F14F1295C0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ule abonnoment " sheetId="1" r:id="rId1"/>
    <sheet name="Projet installation sieges" sheetId="2" r:id="rId2"/>
    <sheet name="Analyse des écarts " sheetId="3" r:id="rId3"/>
    <sheet name="Plan de production " sheetId="4" r:id="rId4"/>
    <sheet name="Commande spécial" sheetId="5" r:id="rId5"/>
    <sheet name="Sous traitance de fixation 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4" l="1"/>
  <c r="H16" i="4"/>
  <c r="C11" i="2"/>
  <c r="E11" i="1"/>
  <c r="E14" i="6"/>
  <c r="C17" i="6" s="1"/>
  <c r="B14" i="6"/>
  <c r="B12" i="6"/>
  <c r="E18" i="4"/>
  <c r="B10" i="6"/>
  <c r="E7" i="6"/>
  <c r="H6" i="6"/>
  <c r="B9" i="5"/>
  <c r="B10" i="5" s="1"/>
  <c r="B14" i="5" s="1"/>
  <c r="B8" i="5"/>
  <c r="H17" i="4"/>
  <c r="C16" i="4"/>
  <c r="E16" i="4"/>
  <c r="C18" i="4"/>
  <c r="C19" i="4"/>
  <c r="D19" i="4"/>
  <c r="B19" i="4"/>
  <c r="H3" i="4"/>
  <c r="B16" i="4"/>
  <c r="D10" i="4"/>
  <c r="C10" i="4"/>
  <c r="B10" i="4"/>
  <c r="C9" i="4"/>
  <c r="D9" i="4"/>
  <c r="B9" i="4"/>
  <c r="D19" i="3"/>
  <c r="B19" i="3"/>
  <c r="D17" i="3"/>
  <c r="B17" i="3"/>
  <c r="D15" i="3"/>
  <c r="B15" i="3"/>
  <c r="D14" i="3"/>
  <c r="B14" i="3"/>
  <c r="D12" i="3"/>
  <c r="B12" i="3"/>
  <c r="D10" i="3"/>
  <c r="B10" i="3"/>
  <c r="D6" i="3"/>
  <c r="B6" i="3"/>
  <c r="D9" i="3"/>
  <c r="B9" i="3"/>
  <c r="D5" i="3"/>
  <c r="D8" i="3"/>
  <c r="B5" i="3"/>
  <c r="C6" i="1"/>
  <c r="B6" i="1"/>
  <c r="D10" i="2"/>
  <c r="D11" i="2" s="1"/>
  <c r="D12" i="2" s="1"/>
  <c r="E10" i="2"/>
  <c r="F10" i="2"/>
  <c r="C10" i="2"/>
  <c r="C5" i="2"/>
  <c r="D5" i="2" s="1"/>
  <c r="E5" i="2" s="1"/>
  <c r="F5" i="2" s="1"/>
  <c r="D4" i="2"/>
  <c r="E4" i="2" s="1"/>
  <c r="F4" i="2" s="1"/>
  <c r="C4" i="2"/>
  <c r="C12" i="2"/>
  <c r="C9" i="1"/>
  <c r="B9" i="1"/>
  <c r="F11" i="2" l="1"/>
  <c r="F12" i="2" s="1"/>
  <c r="E11" i="2"/>
  <c r="E12" i="2" s="1"/>
  <c r="C14" i="2" s="1"/>
</calcChain>
</file>

<file path=xl/sharedStrings.xml><?xml version="1.0" encoding="utf-8"?>
<sst xmlns="http://schemas.openxmlformats.org/spreadsheetml/2006/main" count="134" uniqueCount="119">
  <si>
    <t>9H33</t>
  </si>
  <si>
    <t xml:space="preserve">Prix de vente </t>
  </si>
  <si>
    <t>Prix laisser passer de SKI</t>
  </si>
  <si>
    <t>Club de golf</t>
  </si>
  <si>
    <t>MCV</t>
  </si>
  <si>
    <t>Économie cout de personnel</t>
  </si>
  <si>
    <t>le seuil d'indifference</t>
  </si>
  <si>
    <t>unité</t>
  </si>
  <si>
    <t>Augmentation</t>
  </si>
  <si>
    <t>Cout MOD</t>
  </si>
  <si>
    <t>T</t>
  </si>
  <si>
    <t>Année 1</t>
  </si>
  <si>
    <t>Année 2</t>
  </si>
  <si>
    <t>Année 3</t>
  </si>
  <si>
    <t>Année 4</t>
  </si>
  <si>
    <t>Nombre Heure</t>
  </si>
  <si>
    <t>Contrôle qualité</t>
  </si>
  <si>
    <t>Vente et marketing</t>
  </si>
  <si>
    <t>Formation</t>
  </si>
  <si>
    <t>Frais de deplacment</t>
  </si>
  <si>
    <t>FM avant impot</t>
  </si>
  <si>
    <t>impot</t>
  </si>
  <si>
    <t>FM net impot</t>
  </si>
  <si>
    <t>VAN</t>
  </si>
  <si>
    <t>i</t>
  </si>
  <si>
    <t xml:space="preserve">Hypothese le taux de rendement attendus pour ce gendre de projet </t>
  </si>
  <si>
    <t xml:space="preserve">Prix de déatail </t>
  </si>
  <si>
    <t>Cout de composante</t>
  </si>
  <si>
    <t>Cout abonnement</t>
  </si>
  <si>
    <t xml:space="preserve">Hypothese </t>
  </si>
  <si>
    <t xml:space="preserve">Écart </t>
  </si>
  <si>
    <t>Cinéma 1</t>
  </si>
  <si>
    <t>Cinéma 2</t>
  </si>
  <si>
    <t>Prix Billet</t>
  </si>
  <si>
    <t>Quantité billet</t>
  </si>
  <si>
    <t>pas d'écart</t>
  </si>
  <si>
    <t>Car le prix budjeté est égale au prix réél</t>
  </si>
  <si>
    <t>F</t>
  </si>
  <si>
    <t>Prix boisson et nuriture</t>
  </si>
  <si>
    <t>Qauntité Boisson et nourriture</t>
  </si>
  <si>
    <t>PE</t>
  </si>
  <si>
    <t>D</t>
  </si>
  <si>
    <t>Total</t>
  </si>
  <si>
    <t>Écart cout boisson</t>
  </si>
  <si>
    <t xml:space="preserve">Salaire et formation </t>
  </si>
  <si>
    <t>Loyer et publicité et autre cout</t>
  </si>
  <si>
    <t>Variation de Bénéfice d'exploitation</t>
  </si>
  <si>
    <t>HMO</t>
  </si>
  <si>
    <t>Boréal</t>
  </si>
  <si>
    <t>Fuego</t>
  </si>
  <si>
    <t>Adventure</t>
  </si>
  <si>
    <t>Capacité totale</t>
  </si>
  <si>
    <t xml:space="preserve">heures </t>
  </si>
  <si>
    <t>Prix de vente</t>
  </si>
  <si>
    <t>Mp</t>
  </si>
  <si>
    <t>MOD</t>
  </si>
  <si>
    <t>FGF v</t>
  </si>
  <si>
    <t xml:space="preserve">MCV </t>
  </si>
  <si>
    <t>MCV sur HMD</t>
  </si>
  <si>
    <t xml:space="preserve">Priorisation de production </t>
  </si>
  <si>
    <t xml:space="preserve">Commande spécaile </t>
  </si>
  <si>
    <t>Heures nécaissire</t>
  </si>
  <si>
    <t>Plan de production idéal pour la commande sera</t>
  </si>
  <si>
    <t>Heures manquante</t>
  </si>
  <si>
    <t>Unité a manquer de la commande</t>
  </si>
  <si>
    <t>Engagment</t>
  </si>
  <si>
    <t>Cout artiste</t>
  </si>
  <si>
    <t xml:space="preserve">FGF fixes </t>
  </si>
  <si>
    <t>MP</t>
  </si>
  <si>
    <t xml:space="preserve">Lot </t>
  </si>
  <si>
    <t>unités</t>
  </si>
  <si>
    <t>FGF variable</t>
  </si>
  <si>
    <t xml:space="preserve">Finition </t>
  </si>
  <si>
    <t>MCV total</t>
  </si>
  <si>
    <t>revenu excedentaire</t>
  </si>
  <si>
    <t>Quantitaif:</t>
  </si>
  <si>
    <t xml:space="preserve">Selon nos caclul on aura revenu excedentaire de 99 075 et une MCV de 117 ,63 qui est acceptable de point de vue quantitaitf </t>
  </si>
  <si>
    <t>Qualitatifs:</t>
  </si>
  <si>
    <t>Avantages</t>
  </si>
  <si>
    <t xml:space="preserve">le client St heuteur est un client important qui représante 15 % de chiffre d'affaire si on refuse la commande om risque de perdere 15 % de notre chiffre D'affaire </t>
  </si>
  <si>
    <t xml:space="preserve">l'artisant s'agnage a verser 20% de son cachet a un organisme de bienfesance qui represte les valeur de Rabbit </t>
  </si>
  <si>
    <t xml:space="preserve">le prix de l'Essence est moins cher que les MP ordinaire et les prorietaires ne demande que une fraction de prix </t>
  </si>
  <si>
    <t>Inconvients:</t>
  </si>
  <si>
    <t xml:space="preserve">Comliqaution de travail de employés qui peut causer des retards et des défaut de qualité qui nuit a la réputaion de rabbit </t>
  </si>
  <si>
    <t xml:space="preserve">Rabbait n'a pas d'experice avec cette matiere ni de l'expertise cela va jouer négativement sur la qualité </t>
  </si>
  <si>
    <t xml:space="preserve">le modèle est comprable que boréal va faciliter la tache de evoriers </t>
  </si>
  <si>
    <t xml:space="preserve">Comptabilité avec la vision mission et valeiur:la commande est compatible avec les valeurs de rabbit avec le versment de la part de l'Artisant au OSBL </t>
  </si>
  <si>
    <t xml:space="preserve">Recommandartion:de pint de vue quantitiatf et qualitatif on recommande d'aller de l'Avant avec la commande </t>
  </si>
  <si>
    <t xml:space="preserve">Cout differentiel </t>
  </si>
  <si>
    <t>la premiere optioin</t>
  </si>
  <si>
    <t xml:space="preserve">Prix de la machine </t>
  </si>
  <si>
    <t>la deuxieme option Fixi</t>
  </si>
  <si>
    <t>Prix par paire</t>
  </si>
  <si>
    <t xml:space="preserve">par lot </t>
  </si>
  <si>
    <t>frais de livraison</t>
  </si>
  <si>
    <t>paire</t>
  </si>
  <si>
    <t>Cout ineterne par paire</t>
  </si>
  <si>
    <t xml:space="preserve">lot </t>
  </si>
  <si>
    <t xml:space="preserve">50 paires </t>
  </si>
  <si>
    <t xml:space="preserve">Cout fixes </t>
  </si>
  <si>
    <t>Salaire superviseur supp</t>
  </si>
  <si>
    <t>unité selon le plan de production</t>
  </si>
  <si>
    <t>Cout total intern</t>
  </si>
  <si>
    <t xml:space="preserve">Cout total de l'option </t>
  </si>
  <si>
    <t xml:space="preserve">Éconmomie de produire en interne </t>
  </si>
  <si>
    <t xml:space="preserve">Quantit:selon le plan qanititaif l'option 1 est plus avantageuse car elle pemettre d'économisee </t>
  </si>
  <si>
    <t xml:space="preserve">au lieu de partir de produir en externe </t>
  </si>
  <si>
    <t>Avantages:</t>
  </si>
  <si>
    <t xml:space="preserve">La maitrise des cout de livraison en iterne </t>
  </si>
  <si>
    <t>Incovinent:</t>
  </si>
  <si>
    <t xml:space="preserve">Fixi periorise les clients ayant des déalsi de recouvrement cout cela peut engendrer des délais pour rabbait </t>
  </si>
  <si>
    <t xml:space="preserve">maitrise de qualité de fixation en interne avec la main d'ouvre experemnté </t>
  </si>
  <si>
    <t xml:space="preserve">Cette option va permettre a rabbit de devlopper une expertise qui est meilleurs pour ne pas etre dependant d'un tiers </t>
  </si>
  <si>
    <t xml:space="preserve">Fix opere avec d'autre compagnie pour la production de produits d'entree de gamme cela peut empecher rabbit a etre prioriser </t>
  </si>
  <si>
    <t xml:space="preserve">pour un déalis de 10 jours on doit payer un supplement cela va poser des probleme dans nos provision parceque on pas les montnat excate </t>
  </si>
  <si>
    <t xml:space="preserve">Recommandation:de point de vu quantitatif et qualtitatif on recommande l'option 1 de produire en interne </t>
  </si>
  <si>
    <t>30,70X</t>
  </si>
  <si>
    <t>970,70X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</si>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</sst>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)_ ;_ * \(#,##0.00\)_ ;_ * &quot;-&quot;??_)_ ;_ @_ "/>
    <numFmt numFmtId="164" formatCode="_ * #,##0.00_)\ _$_ ;_ * \(#,##0.00\)\ _$_ ;_ * &quot;-&quot;??_)\ _$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43" fontId="0" fillId="0" borderId="0" xfId="1" applyFont="1"/>
    <xf numFmtId="9" fontId="0" fillId="0" borderId="0" xfId="1" applyNumberFormat="1" applyFont="1"/>
    <xf numFmtId="164" fontId="0" fillId="0" borderId="0" xfId="0" applyNumberFormat="1"/>
    <xf numFmtId="164" fontId="0" fillId="2" borderId="0" xfId="0" applyNumberFormat="1" applyFill="1"/>
    <xf numFmtId="43" fontId="0" fillId="2" borderId="0" xfId="1" applyFont="1" applyFill="1"/>
    <xf numFmtId="9" fontId="0" fillId="0" borderId="0" xfId="2" applyFont="1"/>
    <xf numFmtId="0" fontId="0" fillId="0" borderId="0" xfId="0" applyAlignment="1">
      <alignment wrapText="1"/>
    </xf>
    <xf numFmtId="0" fontId="0" fillId="2" borderId="0" xfId="0" applyFill="1"/>
    <xf numFmtId="43" fontId="0" fillId="0" borderId="0" xfId="0" applyNumberFormat="1"/>
    <xf numFmtId="3" fontId="0" fillId="0" borderId="0" xfId="0" applyNumberFormat="1"/>
    <xf numFmtId="43" fontId="0" fillId="0" borderId="0" xfId="1" applyFont="1" applyAlignment="1">
      <alignment horizontal="center" vertic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workbookViewId="0">
      <selection activeCell="F18" sqref="F18"/>
    </sheetView>
  </sheetViews>
  <sheetFormatPr baseColWidth="10" defaultColWidth="8.88671875" defaultRowHeight="14.4" x14ac:dyDescent="0.3"/>
  <cols>
    <col min="1" max="1" width="24.33203125" bestFit="1" customWidth="1"/>
    <col min="2" max="2" width="20.6640625" style="1" bestFit="1" customWidth="1"/>
    <col min="3" max="3" width="10.5546875" style="1" bestFit="1" customWidth="1"/>
  </cols>
  <sheetData>
    <row r="1" spans="1:19" x14ac:dyDescent="0.3">
      <c r="S1" t="s">
        <v>0</v>
      </c>
    </row>
    <row r="2" spans="1:19" x14ac:dyDescent="0.3">
      <c r="B2" s="1" t="s">
        <v>2</v>
      </c>
      <c r="C2" s="1" t="s">
        <v>3</v>
      </c>
    </row>
    <row r="3" spans="1:19" x14ac:dyDescent="0.3">
      <c r="A3" t="s">
        <v>1</v>
      </c>
      <c r="B3" s="1">
        <v>810</v>
      </c>
      <c r="C3" s="1">
        <v>1750</v>
      </c>
    </row>
    <row r="4" spans="1:19" x14ac:dyDescent="0.3">
      <c r="A4" t="s">
        <v>28</v>
      </c>
      <c r="B4" s="1">
        <v>780</v>
      </c>
      <c r="C4" s="1">
        <v>780</v>
      </c>
    </row>
    <row r="5" spans="1:19" x14ac:dyDescent="0.3">
      <c r="A5" t="s">
        <v>5</v>
      </c>
      <c r="B5" s="1">
        <v>0.7</v>
      </c>
      <c r="C5" s="1">
        <v>0.7</v>
      </c>
    </row>
    <row r="6" spans="1:19" x14ac:dyDescent="0.3">
      <c r="A6" t="s">
        <v>4</v>
      </c>
      <c r="B6" s="1">
        <f>+B3-B4+B5</f>
        <v>30.7</v>
      </c>
      <c r="C6" s="1">
        <f>+C3-C4+C5</f>
        <v>970.7</v>
      </c>
    </row>
    <row r="9" spans="1:19" x14ac:dyDescent="0.3">
      <c r="A9" t="s">
        <v>4</v>
      </c>
      <c r="B9" s="1">
        <f>+B3-B4+B5</f>
        <v>30.7</v>
      </c>
      <c r="C9" s="1">
        <f>+C3-C4+C5</f>
        <v>970.7</v>
      </c>
    </row>
    <row r="11" spans="1:19" x14ac:dyDescent="0.3">
      <c r="A11" t="s">
        <v>6</v>
      </c>
      <c r="B11" s="1" t="s">
        <v>116</v>
      </c>
      <c r="C11" s="1" t="s">
        <v>117</v>
      </c>
      <c r="D11" t="s">
        <v>118</v>
      </c>
      <c r="E11" s="3">
        <f>+C9/B9</f>
        <v>31.618892508143325</v>
      </c>
    </row>
    <row r="13" spans="1:19" x14ac:dyDescent="0.3">
      <c r="A1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CACE-FB9C-4D11-907C-E54407047734}">
  <dimension ref="A3:F22"/>
  <sheetViews>
    <sheetView workbookViewId="0">
      <selection activeCell="C12" sqref="C12"/>
    </sheetView>
  </sheetViews>
  <sheetFormatPr baseColWidth="10" defaultRowHeight="14.4" x14ac:dyDescent="0.3"/>
  <cols>
    <col min="1" max="1" width="18" bestFit="1" customWidth="1"/>
    <col min="2" max="2" width="11.5546875" style="1"/>
    <col min="3" max="3" width="16.33203125" bestFit="1" customWidth="1"/>
    <col min="4" max="4" width="15.5546875" customWidth="1"/>
    <col min="5" max="5" width="16.21875" customWidth="1"/>
    <col min="6" max="6" width="16.33203125" bestFit="1" customWidth="1"/>
  </cols>
  <sheetData>
    <row r="3" spans="1:6" x14ac:dyDescent="0.3">
      <c r="C3" t="s">
        <v>11</v>
      </c>
      <c r="D3" t="s">
        <v>12</v>
      </c>
      <c r="E3" t="s">
        <v>13</v>
      </c>
      <c r="F3" t="s">
        <v>14</v>
      </c>
    </row>
    <row r="4" spans="1:6" x14ac:dyDescent="0.3">
      <c r="A4" t="s">
        <v>26</v>
      </c>
      <c r="C4" s="1">
        <f>23100*$B17</f>
        <v>415800000</v>
      </c>
      <c r="D4" s="1">
        <f>23100*$B17*1.15</f>
        <v>478169999.99999994</v>
      </c>
      <c r="E4" s="1">
        <f>+D4*1.15</f>
        <v>549895499.99999988</v>
      </c>
      <c r="F4" s="1">
        <f>+E4*1.15</f>
        <v>632379824.99999976</v>
      </c>
    </row>
    <row r="5" spans="1:6" x14ac:dyDescent="0.3">
      <c r="A5" t="s">
        <v>27</v>
      </c>
      <c r="C5" s="1">
        <f>18280*B17</f>
        <v>329040000</v>
      </c>
      <c r="D5" s="1">
        <f>+C5*1.15</f>
        <v>378396000</v>
      </c>
      <c r="E5" s="1">
        <f>+D5*1.15</f>
        <v>435155399.99999994</v>
      </c>
      <c r="F5" s="1">
        <f>+E5*1.15</f>
        <v>500428709.99999988</v>
      </c>
    </row>
    <row r="6" spans="1:6" x14ac:dyDescent="0.3">
      <c r="A6" t="s">
        <v>16</v>
      </c>
      <c r="C6" s="1">
        <v>240000</v>
      </c>
      <c r="D6" s="1">
        <v>240000</v>
      </c>
      <c r="E6" s="1">
        <v>240000</v>
      </c>
      <c r="F6" s="1">
        <v>240000</v>
      </c>
    </row>
    <row r="7" spans="1:6" x14ac:dyDescent="0.3">
      <c r="A7" t="s">
        <v>17</v>
      </c>
      <c r="C7" s="1">
        <v>492800</v>
      </c>
      <c r="D7" s="1">
        <v>492800</v>
      </c>
      <c r="E7" s="1">
        <v>492800</v>
      </c>
      <c r="F7" s="1">
        <v>492800</v>
      </c>
    </row>
    <row r="8" spans="1:6" x14ac:dyDescent="0.3">
      <c r="A8" t="s">
        <v>18</v>
      </c>
      <c r="C8" s="1">
        <v>232000</v>
      </c>
      <c r="D8" s="1">
        <v>232000</v>
      </c>
      <c r="E8" s="1">
        <v>232000</v>
      </c>
      <c r="F8" s="1">
        <v>232000</v>
      </c>
    </row>
    <row r="9" spans="1:6" x14ac:dyDescent="0.3">
      <c r="A9" t="s">
        <v>19</v>
      </c>
      <c r="C9" s="1">
        <v>128400</v>
      </c>
      <c r="D9" s="1">
        <v>128400</v>
      </c>
      <c r="E9" s="1">
        <v>128400</v>
      </c>
      <c r="F9" s="1">
        <v>128400</v>
      </c>
    </row>
    <row r="10" spans="1:6" x14ac:dyDescent="0.3">
      <c r="A10" t="s">
        <v>20</v>
      </c>
      <c r="C10" s="3">
        <f>+C4-SUM(C5:C9)</f>
        <v>85666800</v>
      </c>
      <c r="D10" s="3">
        <f t="shared" ref="D10:F10" si="0">+D4-SUM(D5:D9)</f>
        <v>98680799.99999994</v>
      </c>
      <c r="E10" s="3">
        <f t="shared" si="0"/>
        <v>113646899.99999994</v>
      </c>
      <c r="F10" s="3">
        <f t="shared" si="0"/>
        <v>130857914.99999988</v>
      </c>
    </row>
    <row r="11" spans="1:6" x14ac:dyDescent="0.3">
      <c r="A11" t="s">
        <v>21</v>
      </c>
      <c r="C11" s="3">
        <f>-C10*$B20</f>
        <v>-21416700</v>
      </c>
      <c r="D11" s="3">
        <f t="shared" ref="D11:F11" si="1">-D10*$B20</f>
        <v>-24670199.999999985</v>
      </c>
      <c r="E11" s="3">
        <f t="shared" si="1"/>
        <v>-28411724.999999985</v>
      </c>
      <c r="F11" s="3">
        <f t="shared" si="1"/>
        <v>-32714478.74999997</v>
      </c>
    </row>
    <row r="12" spans="1:6" x14ac:dyDescent="0.3">
      <c r="A12" t="s">
        <v>22</v>
      </c>
      <c r="C12" s="3">
        <f>+C10+C11</f>
        <v>64250100</v>
      </c>
      <c r="D12" s="3">
        <f t="shared" ref="D12:F12" si="2">+D10+D11</f>
        <v>74010599.999999955</v>
      </c>
      <c r="E12" s="3">
        <f t="shared" si="2"/>
        <v>85235174.999999955</v>
      </c>
      <c r="F12" s="3">
        <f t="shared" si="2"/>
        <v>98143436.249999911</v>
      </c>
    </row>
    <row r="13" spans="1:6" x14ac:dyDescent="0.3">
      <c r="C13" s="3"/>
      <c r="D13" s="3"/>
      <c r="E13" s="3"/>
      <c r="F13" s="3"/>
    </row>
    <row r="14" spans="1:6" x14ac:dyDescent="0.3">
      <c r="A14" t="s">
        <v>23</v>
      </c>
      <c r="C14" s="3">
        <f>+NPV(B22,C12:F12)</f>
        <v>275786362.87477261</v>
      </c>
      <c r="D14" s="3"/>
      <c r="E14" s="3"/>
      <c r="F14" s="3"/>
    </row>
    <row r="17" spans="1:3" x14ac:dyDescent="0.3">
      <c r="A17" t="s">
        <v>7</v>
      </c>
      <c r="B17" s="1">
        <v>18000</v>
      </c>
    </row>
    <row r="18" spans="1:3" x14ac:dyDescent="0.3">
      <c r="A18" t="s">
        <v>8</v>
      </c>
      <c r="B18" s="2">
        <v>0.15</v>
      </c>
    </row>
    <row r="19" spans="1:3" x14ac:dyDescent="0.3">
      <c r="A19" t="s">
        <v>9</v>
      </c>
      <c r="B19" s="1">
        <v>165</v>
      </c>
    </row>
    <row r="20" spans="1:3" x14ac:dyDescent="0.3">
      <c r="A20" t="s">
        <v>10</v>
      </c>
      <c r="B20" s="2">
        <v>0.25</v>
      </c>
    </row>
    <row r="21" spans="1:3" x14ac:dyDescent="0.3">
      <c r="A21" t="s">
        <v>15</v>
      </c>
      <c r="B21" s="1">
        <v>20</v>
      </c>
    </row>
    <row r="22" spans="1:3" x14ac:dyDescent="0.3">
      <c r="A22" t="s">
        <v>24</v>
      </c>
      <c r="B22" s="2">
        <v>0.06</v>
      </c>
      <c r="C22" t="s">
        <v>25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714FF-10C0-41DB-9C0A-6DCEE68CB6F8}">
  <dimension ref="A2:E19"/>
  <sheetViews>
    <sheetView workbookViewId="0">
      <selection activeCell="K24" sqref="K24"/>
    </sheetView>
  </sheetViews>
  <sheetFormatPr baseColWidth="10" defaultRowHeight="14.4" x14ac:dyDescent="0.3"/>
  <cols>
    <col min="1" max="1" width="30.44140625" bestFit="1" customWidth="1"/>
    <col min="2" max="2" width="11.88671875" style="1" bestFit="1" customWidth="1"/>
    <col min="3" max="3" width="8.5546875" customWidth="1"/>
    <col min="4" max="4" width="12.77734375" bestFit="1" customWidth="1"/>
  </cols>
  <sheetData>
    <row r="2" spans="1:5" x14ac:dyDescent="0.3">
      <c r="A2" t="s">
        <v>30</v>
      </c>
      <c r="B2" s="1" t="s">
        <v>31</v>
      </c>
      <c r="D2" t="s">
        <v>32</v>
      </c>
    </row>
    <row r="4" spans="1:5" x14ac:dyDescent="0.3">
      <c r="A4" t="s">
        <v>33</v>
      </c>
      <c r="B4" s="11" t="s">
        <v>35</v>
      </c>
      <c r="C4" s="11"/>
      <c r="D4" s="11"/>
      <c r="E4" t="s">
        <v>36</v>
      </c>
    </row>
    <row r="5" spans="1:5" x14ac:dyDescent="0.3">
      <c r="A5" t="s">
        <v>34</v>
      </c>
      <c r="B5" s="1">
        <f>+(275000-250000)*11.74</f>
        <v>293500</v>
      </c>
      <c r="C5" t="s">
        <v>37</v>
      </c>
      <c r="D5" s="1">
        <f>(440000-450000)*11.74</f>
        <v>-117400</v>
      </c>
      <c r="E5" t="s">
        <v>41</v>
      </c>
    </row>
    <row r="6" spans="1:5" x14ac:dyDescent="0.3">
      <c r="A6" t="s">
        <v>42</v>
      </c>
      <c r="B6" s="5">
        <f>SUM(B4:B5)</f>
        <v>293500</v>
      </c>
      <c r="D6" s="5">
        <f>+D5</f>
        <v>-117400</v>
      </c>
    </row>
    <row r="8" spans="1:5" x14ac:dyDescent="0.3">
      <c r="A8" t="s">
        <v>38</v>
      </c>
      <c r="B8" s="1">
        <v>0</v>
      </c>
      <c r="C8" t="s">
        <v>40</v>
      </c>
      <c r="D8" s="1">
        <f>+(7.5-8.5)*330000</f>
        <v>-330000</v>
      </c>
      <c r="E8" t="s">
        <v>41</v>
      </c>
    </row>
    <row r="9" spans="1:5" x14ac:dyDescent="0.3">
      <c r="A9" t="s">
        <v>39</v>
      </c>
      <c r="B9" s="1">
        <f>+(275000-250000)*8.5</f>
        <v>212500</v>
      </c>
      <c r="C9" t="s">
        <v>37</v>
      </c>
      <c r="D9" s="1">
        <f>+(330000-225000)*7.5</f>
        <v>787500</v>
      </c>
      <c r="E9" t="s">
        <v>37</v>
      </c>
    </row>
    <row r="10" spans="1:5" x14ac:dyDescent="0.3">
      <c r="A10" t="s">
        <v>42</v>
      </c>
      <c r="B10" s="5">
        <f>+B9</f>
        <v>212500</v>
      </c>
      <c r="D10" s="4">
        <f>+D9+D8</f>
        <v>457500</v>
      </c>
    </row>
    <row r="12" spans="1:5" x14ac:dyDescent="0.3">
      <c r="A12" t="s">
        <v>43</v>
      </c>
      <c r="B12" s="1">
        <f>632500-625000</f>
        <v>7500</v>
      </c>
      <c r="C12" t="s">
        <v>41</v>
      </c>
      <c r="D12" s="1">
        <f>660000-562500</f>
        <v>97500</v>
      </c>
      <c r="E12" t="s">
        <v>41</v>
      </c>
    </row>
    <row r="14" spans="1:5" x14ac:dyDescent="0.3">
      <c r="A14" t="s">
        <v>44</v>
      </c>
      <c r="B14" s="1">
        <f>2299275-1666250</f>
        <v>633025</v>
      </c>
      <c r="C14" t="s">
        <v>41</v>
      </c>
      <c r="D14" s="1">
        <f>2275000-2280000</f>
        <v>-5000</v>
      </c>
      <c r="E14" t="s">
        <v>41</v>
      </c>
    </row>
    <row r="15" spans="1:5" x14ac:dyDescent="0.3">
      <c r="A15" t="s">
        <v>45</v>
      </c>
      <c r="B15" s="1">
        <f>6495225-6328750</f>
        <v>166475</v>
      </c>
      <c r="C15" t="s">
        <v>41</v>
      </c>
      <c r="D15" s="1">
        <f>3234030-3230775</f>
        <v>3255</v>
      </c>
      <c r="E15" t="s">
        <v>37</v>
      </c>
    </row>
    <row r="17" spans="1:5" x14ac:dyDescent="0.3">
      <c r="B17" s="1">
        <f>+B6+B10-B14-B15</f>
        <v>-293500</v>
      </c>
      <c r="C17" s="1"/>
      <c r="D17" s="1">
        <f t="shared" ref="D17" si="0">+D6+D10-D14-D15</f>
        <v>341845</v>
      </c>
      <c r="E17" s="1"/>
    </row>
    <row r="19" spans="1:5" x14ac:dyDescent="0.3">
      <c r="A19" t="s">
        <v>46</v>
      </c>
      <c r="B19" s="6">
        <f>(2299275-1666250)/1666250</f>
        <v>0.37990997749437361</v>
      </c>
      <c r="D19" s="6">
        <f>+(1471570-1222225)/1222225</f>
        <v>0.20400908179754138</v>
      </c>
    </row>
  </sheetData>
  <mergeCells count="1">
    <mergeCell ref="B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9D8D7-115E-41F9-A451-006188530210}">
  <dimension ref="A2:I19"/>
  <sheetViews>
    <sheetView workbookViewId="0">
      <selection activeCell="G25" sqref="G25"/>
    </sheetView>
  </sheetViews>
  <sheetFormatPr baseColWidth="10" defaultRowHeight="14.4" x14ac:dyDescent="0.3"/>
  <cols>
    <col min="1" max="1" width="22.77734375" bestFit="1" customWidth="1"/>
    <col min="7" max="7" width="28.77734375" bestFit="1" customWidth="1"/>
    <col min="8" max="8" width="11.5546875" style="1"/>
  </cols>
  <sheetData>
    <row r="2" spans="1:9" x14ac:dyDescent="0.3">
      <c r="B2" t="s">
        <v>48</v>
      </c>
      <c r="C2" t="s">
        <v>49</v>
      </c>
      <c r="D2" t="s">
        <v>50</v>
      </c>
    </row>
    <row r="3" spans="1:9" x14ac:dyDescent="0.3">
      <c r="A3" t="s">
        <v>47</v>
      </c>
      <c r="B3" s="1">
        <v>1.75</v>
      </c>
      <c r="C3">
        <v>2.5</v>
      </c>
      <c r="D3">
        <v>2</v>
      </c>
      <c r="G3" t="s">
        <v>51</v>
      </c>
      <c r="H3" s="1">
        <f>9000</f>
        <v>9000</v>
      </c>
      <c r="I3" t="s">
        <v>52</v>
      </c>
    </row>
    <row r="5" spans="1:9" x14ac:dyDescent="0.3">
      <c r="A5" t="s">
        <v>53</v>
      </c>
      <c r="B5">
        <v>875</v>
      </c>
      <c r="C5">
        <v>950</v>
      </c>
      <c r="D5">
        <v>1100</v>
      </c>
    </row>
    <row r="6" spans="1:9" x14ac:dyDescent="0.3">
      <c r="A6" t="s">
        <v>54</v>
      </c>
      <c r="B6">
        <v>325</v>
      </c>
      <c r="C6">
        <v>375</v>
      </c>
      <c r="D6">
        <v>430</v>
      </c>
    </row>
    <row r="7" spans="1:9" x14ac:dyDescent="0.3">
      <c r="A7" t="s">
        <v>55</v>
      </c>
      <c r="B7">
        <v>93.75</v>
      </c>
      <c r="C7">
        <v>112.5</v>
      </c>
      <c r="D7">
        <v>106.25</v>
      </c>
    </row>
    <row r="8" spans="1:9" x14ac:dyDescent="0.3">
      <c r="A8" t="s">
        <v>56</v>
      </c>
      <c r="B8">
        <v>55</v>
      </c>
      <c r="C8">
        <v>65</v>
      </c>
      <c r="D8">
        <v>60</v>
      </c>
    </row>
    <row r="9" spans="1:9" x14ac:dyDescent="0.3">
      <c r="A9" t="s">
        <v>57</v>
      </c>
      <c r="B9">
        <f>+B5-B6-B7-B8</f>
        <v>401.25</v>
      </c>
      <c r="C9">
        <f t="shared" ref="C9:D9" si="0">+C5-C6-C7-C8</f>
        <v>397.5</v>
      </c>
      <c r="D9">
        <f t="shared" si="0"/>
        <v>503.75</v>
      </c>
    </row>
    <row r="10" spans="1:9" x14ac:dyDescent="0.3">
      <c r="A10" t="s">
        <v>58</v>
      </c>
      <c r="B10" s="3">
        <f>+B9/B3</f>
        <v>229.28571428571428</v>
      </c>
      <c r="C10" s="1">
        <f>+C9/C3</f>
        <v>159</v>
      </c>
      <c r="D10">
        <f>+D9/D3</f>
        <v>251.875</v>
      </c>
    </row>
    <row r="12" spans="1:9" x14ac:dyDescent="0.3">
      <c r="A12" t="s">
        <v>59</v>
      </c>
      <c r="B12">
        <v>2</v>
      </c>
      <c r="C12" s="8">
        <v>3</v>
      </c>
      <c r="D12">
        <v>1</v>
      </c>
    </row>
    <row r="15" spans="1:9" x14ac:dyDescent="0.3">
      <c r="A15" t="s">
        <v>60</v>
      </c>
      <c r="B15">
        <v>2000</v>
      </c>
      <c r="C15">
        <v>1500</v>
      </c>
      <c r="D15">
        <v>1300</v>
      </c>
    </row>
    <row r="16" spans="1:9" x14ac:dyDescent="0.3">
      <c r="A16" t="s">
        <v>61</v>
      </c>
      <c r="B16" s="3">
        <f>+B15*B3</f>
        <v>3500</v>
      </c>
      <c r="C16" s="3">
        <f>+C18*C3</f>
        <v>3000</v>
      </c>
      <c r="D16" s="3">
        <f>+D15*D3</f>
        <v>2600</v>
      </c>
      <c r="E16" s="3">
        <f>+SUM(B16:D16)</f>
        <v>9100</v>
      </c>
      <c r="G16" t="s">
        <v>63</v>
      </c>
      <c r="H16" s="1">
        <f>+E16-H3</f>
        <v>100</v>
      </c>
    </row>
    <row r="17" spans="1:8" x14ac:dyDescent="0.3">
      <c r="G17" t="s">
        <v>64</v>
      </c>
      <c r="H17" s="1">
        <f>+H16/D3</f>
        <v>50</v>
      </c>
    </row>
    <row r="18" spans="1:8" ht="28.8" x14ac:dyDescent="0.3">
      <c r="A18" s="7" t="s">
        <v>62</v>
      </c>
      <c r="B18" s="1">
        <v>2000</v>
      </c>
      <c r="C18" s="1">
        <f>+C15*0.8</f>
        <v>1200</v>
      </c>
      <c r="D18" s="1">
        <v>1250</v>
      </c>
      <c r="E18" s="9">
        <f>+SUM(B18:D18)</f>
        <v>4450</v>
      </c>
    </row>
    <row r="19" spans="1:8" x14ac:dyDescent="0.3">
      <c r="A19" s="7" t="s">
        <v>65</v>
      </c>
      <c r="B19" s="6">
        <f>+B18/B15</f>
        <v>1</v>
      </c>
      <c r="C19" s="6">
        <f>+C18/C15</f>
        <v>0.8</v>
      </c>
      <c r="D19" s="6">
        <f t="shared" ref="D19" si="1">+D18/D15</f>
        <v>0.96153846153846156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CC56E-63D3-455F-A351-DB17EB9725FC}">
  <dimension ref="A2:I30"/>
  <sheetViews>
    <sheetView workbookViewId="0">
      <selection activeCell="L29" sqref="L29"/>
    </sheetView>
  </sheetViews>
  <sheetFormatPr baseColWidth="10" defaultRowHeight="14.4" x14ac:dyDescent="0.3"/>
  <cols>
    <col min="1" max="1" width="17.6640625" bestFit="1" customWidth="1"/>
    <col min="2" max="2" width="11.5546875" style="1"/>
  </cols>
  <sheetData>
    <row r="2" spans="1:9" x14ac:dyDescent="0.3">
      <c r="F2" t="s">
        <v>69</v>
      </c>
      <c r="G2">
        <v>600</v>
      </c>
      <c r="H2" t="s">
        <v>70</v>
      </c>
    </row>
    <row r="4" spans="1:9" x14ac:dyDescent="0.3">
      <c r="A4" t="s">
        <v>1</v>
      </c>
      <c r="B4" s="1">
        <v>875</v>
      </c>
      <c r="H4" s="1"/>
    </row>
    <row r="5" spans="1:9" x14ac:dyDescent="0.3">
      <c r="A5" t="s">
        <v>68</v>
      </c>
      <c r="B5" s="1">
        <v>275</v>
      </c>
    </row>
    <row r="6" spans="1:9" x14ac:dyDescent="0.3">
      <c r="A6" t="s">
        <v>55</v>
      </c>
      <c r="B6" s="1">
        <v>55.5</v>
      </c>
    </row>
    <row r="7" spans="1:9" x14ac:dyDescent="0.3">
      <c r="A7" t="s">
        <v>71</v>
      </c>
      <c r="B7" s="1">
        <v>57.5</v>
      </c>
    </row>
    <row r="8" spans="1:9" x14ac:dyDescent="0.3">
      <c r="A8" t="s">
        <v>72</v>
      </c>
      <c r="B8" s="1">
        <f>112.5*2.75</f>
        <v>309.375</v>
      </c>
      <c r="I8" s="3"/>
    </row>
    <row r="9" spans="1:9" x14ac:dyDescent="0.3">
      <c r="A9" t="s">
        <v>57</v>
      </c>
      <c r="B9" s="1">
        <f>+B4-B5-B6-B7-B8</f>
        <v>177.625</v>
      </c>
    </row>
    <row r="10" spans="1:9" x14ac:dyDescent="0.3">
      <c r="A10" t="s">
        <v>73</v>
      </c>
      <c r="B10" s="1">
        <f>+B9*G2</f>
        <v>106575</v>
      </c>
    </row>
    <row r="11" spans="1:9" x14ac:dyDescent="0.3">
      <c r="A11" t="s">
        <v>66</v>
      </c>
      <c r="B11" s="1">
        <v>2500</v>
      </c>
      <c r="H11" s="3"/>
    </row>
    <row r="12" spans="1:9" x14ac:dyDescent="0.3">
      <c r="A12" t="s">
        <v>67</v>
      </c>
      <c r="B12" s="1">
        <v>5000</v>
      </c>
    </row>
    <row r="14" spans="1:9" x14ac:dyDescent="0.3">
      <c r="A14" s="8" t="s">
        <v>74</v>
      </c>
      <c r="B14" s="5">
        <f>+B10-B11-B12</f>
        <v>99075</v>
      </c>
    </row>
    <row r="17" spans="1:2" x14ac:dyDescent="0.3">
      <c r="A17" t="s">
        <v>75</v>
      </c>
      <c r="B17" s="1" t="s">
        <v>76</v>
      </c>
    </row>
    <row r="19" spans="1:2" x14ac:dyDescent="0.3">
      <c r="A19" t="s">
        <v>77</v>
      </c>
    </row>
    <row r="20" spans="1:2" x14ac:dyDescent="0.3">
      <c r="A20" t="s">
        <v>78</v>
      </c>
    </row>
    <row r="21" spans="1:2" x14ac:dyDescent="0.3">
      <c r="A21" t="s">
        <v>79</v>
      </c>
    </row>
    <row r="22" spans="1:2" x14ac:dyDescent="0.3">
      <c r="A22" t="s">
        <v>80</v>
      </c>
    </row>
    <row r="23" spans="1:2" x14ac:dyDescent="0.3">
      <c r="A23" t="s">
        <v>81</v>
      </c>
    </row>
    <row r="24" spans="1:2" x14ac:dyDescent="0.3">
      <c r="A24" t="s">
        <v>85</v>
      </c>
    </row>
    <row r="25" spans="1:2" x14ac:dyDescent="0.3">
      <c r="A25" t="s">
        <v>82</v>
      </c>
    </row>
    <row r="26" spans="1:2" x14ac:dyDescent="0.3">
      <c r="A26" t="s">
        <v>83</v>
      </c>
    </row>
    <row r="27" spans="1:2" x14ac:dyDescent="0.3">
      <c r="A27" t="s">
        <v>84</v>
      </c>
    </row>
    <row r="29" spans="1:2" x14ac:dyDescent="0.3">
      <c r="A29" t="s">
        <v>86</v>
      </c>
    </row>
    <row r="30" spans="1:2" x14ac:dyDescent="0.3">
      <c r="A30" t="s">
        <v>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53AF1-07CC-4552-9E17-828EBEAC908E}">
  <dimension ref="A2:I33"/>
  <sheetViews>
    <sheetView topLeftCell="A2" workbookViewId="0">
      <selection activeCell="J29" sqref="J29"/>
    </sheetView>
  </sheetViews>
  <sheetFormatPr baseColWidth="10" defaultRowHeight="14.4" x14ac:dyDescent="0.3"/>
  <cols>
    <col min="1" max="1" width="28.109375" bestFit="1" customWidth="1"/>
    <col min="2" max="2" width="11.5546875" style="1"/>
    <col min="3" max="3" width="11.77734375" bestFit="1" customWidth="1"/>
    <col min="4" max="4" width="18.88671875" bestFit="1" customWidth="1"/>
    <col min="5" max="5" width="16.6640625" bestFit="1" customWidth="1"/>
    <col min="8" max="8" width="28.6640625" style="1" bestFit="1" customWidth="1"/>
  </cols>
  <sheetData>
    <row r="2" spans="1:9" x14ac:dyDescent="0.3">
      <c r="A2" t="s">
        <v>88</v>
      </c>
    </row>
    <row r="3" spans="1:9" x14ac:dyDescent="0.3">
      <c r="H3" s="1" t="s">
        <v>97</v>
      </c>
      <c r="I3" t="s">
        <v>98</v>
      </c>
    </row>
    <row r="4" spans="1:9" x14ac:dyDescent="0.3">
      <c r="A4" t="s">
        <v>89</v>
      </c>
      <c r="E4" t="s">
        <v>91</v>
      </c>
    </row>
    <row r="5" spans="1:9" x14ac:dyDescent="0.3">
      <c r="E5" t="s">
        <v>95</v>
      </c>
    </row>
    <row r="6" spans="1:9" x14ac:dyDescent="0.3">
      <c r="A6" t="s">
        <v>90</v>
      </c>
      <c r="B6" s="1">
        <v>40000</v>
      </c>
      <c r="D6" t="s">
        <v>92</v>
      </c>
      <c r="E6">
        <v>30</v>
      </c>
      <c r="G6" t="s">
        <v>93</v>
      </c>
      <c r="H6" s="1">
        <f>30*50</f>
        <v>1500</v>
      </c>
    </row>
    <row r="7" spans="1:9" x14ac:dyDescent="0.3">
      <c r="D7" t="s">
        <v>94</v>
      </c>
      <c r="E7">
        <f>+H7/50</f>
        <v>3</v>
      </c>
      <c r="H7" s="1">
        <v>150</v>
      </c>
    </row>
    <row r="8" spans="1:9" x14ac:dyDescent="0.3">
      <c r="A8" t="s">
        <v>96</v>
      </c>
      <c r="B8" s="1">
        <v>22.5</v>
      </c>
    </row>
    <row r="9" spans="1:9" x14ac:dyDescent="0.3">
      <c r="A9" t="s">
        <v>99</v>
      </c>
      <c r="B9" s="1">
        <v>18000</v>
      </c>
    </row>
    <row r="10" spans="1:9" x14ac:dyDescent="0.3">
      <c r="A10" t="s">
        <v>100</v>
      </c>
      <c r="B10" s="1">
        <f>55000*0.1</f>
        <v>5500</v>
      </c>
      <c r="H10" s="1" t="s">
        <v>101</v>
      </c>
      <c r="I10" s="9">
        <v>4450</v>
      </c>
    </row>
    <row r="12" spans="1:9" x14ac:dyDescent="0.3">
      <c r="A12" t="s">
        <v>102</v>
      </c>
      <c r="B12" s="1">
        <f>+(B8/2)*I10</f>
        <v>50062.5</v>
      </c>
    </row>
    <row r="14" spans="1:9" x14ac:dyDescent="0.3">
      <c r="A14" t="s">
        <v>103</v>
      </c>
      <c r="B14" s="1">
        <f>+B6+B9+B10+B12</f>
        <v>113562.5</v>
      </c>
      <c r="D14" t="s">
        <v>103</v>
      </c>
      <c r="E14" s="3">
        <f>+(E6*E7/2)*I10</f>
        <v>200250</v>
      </c>
    </row>
    <row r="17" spans="1:6" x14ac:dyDescent="0.3">
      <c r="A17" t="s">
        <v>104</v>
      </c>
      <c r="C17" s="3">
        <f>+E14-B14</f>
        <v>86687.5</v>
      </c>
    </row>
    <row r="20" spans="1:6" x14ac:dyDescent="0.3">
      <c r="A20" t="s">
        <v>105</v>
      </c>
      <c r="F20" s="10">
        <v>86687</v>
      </c>
    </row>
    <row r="21" spans="1:6" x14ac:dyDescent="0.3">
      <c r="A21" t="s">
        <v>106</v>
      </c>
    </row>
    <row r="23" spans="1:6" x14ac:dyDescent="0.3">
      <c r="A23" t="s">
        <v>107</v>
      </c>
    </row>
    <row r="24" spans="1:6" x14ac:dyDescent="0.3">
      <c r="A24" t="s">
        <v>108</v>
      </c>
    </row>
    <row r="25" spans="1:6" x14ac:dyDescent="0.3">
      <c r="A25" t="s">
        <v>111</v>
      </c>
    </row>
    <row r="26" spans="1:6" x14ac:dyDescent="0.3">
      <c r="A26" t="s">
        <v>112</v>
      </c>
    </row>
    <row r="28" spans="1:6" x14ac:dyDescent="0.3">
      <c r="A28" t="s">
        <v>109</v>
      </c>
    </row>
    <row r="29" spans="1:6" x14ac:dyDescent="0.3">
      <c r="A29" t="s">
        <v>110</v>
      </c>
    </row>
    <row r="30" spans="1:6" x14ac:dyDescent="0.3">
      <c r="A30" t="s">
        <v>113</v>
      </c>
    </row>
    <row r="31" spans="1:6" x14ac:dyDescent="0.3">
      <c r="A31" t="s">
        <v>114</v>
      </c>
    </row>
    <row r="33" spans="1:1" x14ac:dyDescent="0.3">
      <c r="A3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Formule abonnoment </vt:lpstr>
      <vt:lpstr>Projet installation sieges</vt:lpstr>
      <vt:lpstr>Analyse des écarts </vt:lpstr>
      <vt:lpstr>Plan de production </vt:lpstr>
      <vt:lpstr>Commande spécial</vt:lpstr>
      <vt:lpstr>Sous traitance de fixation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SOKRI Marzouk</dc:creator>
  <cp:lastModifiedBy>SOKRI Marzouk</cp:lastModifiedBy>
  <dcterms:created xsi:type="dcterms:W3CDTF">2015-06-05T18:19:34Z</dcterms:created>
  <dcterms:modified xsi:type="dcterms:W3CDTF">2025-04-16T18:42:12Z</dcterms:modified>
</cp:coreProperties>
</file>