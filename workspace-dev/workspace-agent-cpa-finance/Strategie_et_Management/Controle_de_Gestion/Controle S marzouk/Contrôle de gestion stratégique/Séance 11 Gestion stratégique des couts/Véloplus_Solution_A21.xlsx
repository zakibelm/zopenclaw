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30"/>
  <workbookPr defaultThemeVersion="124226"/>
  <mc:AlternateContent xmlns:mc="http://schemas.openxmlformats.org/markup-compatibility/2006">
    <mc:Choice Requires="x15">
      <x15ac:absPath xmlns:x15ac="http://schemas.microsoft.com/office/spreadsheetml/2010/11/ac" url="https://hecmtl-my.sharepoint.com/personal/marie-eve_quenneville_hec_ca/Documents/40937_Automne 2020/Séance 11/"/>
    </mc:Choice>
  </mc:AlternateContent>
  <xr:revisionPtr revIDLastSave="43" documentId="8_{E7D9D8FB-F999-4A49-8E53-3A22E93EB0AD}" xr6:coauthVersionLast="47" xr6:coauthVersionMax="47" xr10:uidLastSave="{8A5BF16F-71A1-42CA-B96C-36C838878179}"/>
  <bookViews>
    <workbookView xWindow="-110" yWindow="-110" windowWidth="19420" windowHeight="10420" firstSheet="3" activeTab="7" xr2:uid="{00000000-000D-0000-FFFF-FFFF00000000}"/>
  </bookViews>
  <sheets>
    <sheet name="Décisions" sheetId="8" r:id="rId1"/>
    <sheet name="Questions" sheetId="7" r:id="rId2"/>
    <sheet name="Données cas" sheetId="1" r:id="rId3"/>
    <sheet name="Rent produits" sheetId="3" r:id="rId4"/>
    <sheet name="PV comp" sheetId="2" r:id="rId5"/>
    <sheet name="Majoration 15%" sheetId="4" r:id="rId6"/>
    <sheet name="Cout_commande" sheetId="5" r:id="rId7"/>
    <sheet name="Proposition finale" sheetId="6" r:id="rId8"/>
  </sheets>
  <externalReferences>
    <externalReference r:id="rId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1" i="6" l="1"/>
  <c r="C32" i="6" s="1"/>
  <c r="D32" i="6" s="1"/>
  <c r="C30" i="6"/>
  <c r="E16" i="6"/>
  <c r="D14" i="6"/>
  <c r="E14" i="6" s="1"/>
  <c r="C14" i="6"/>
  <c r="B14" i="6"/>
  <c r="D13" i="6"/>
  <c r="C13" i="6"/>
  <c r="B13" i="6"/>
  <c r="E13" i="6" s="1"/>
  <c r="D11" i="6"/>
  <c r="C11" i="6"/>
  <c r="B11" i="6"/>
  <c r="E11" i="6" s="1"/>
  <c r="D10" i="6"/>
  <c r="D12" i="6" s="1"/>
  <c r="D15" i="6" s="1"/>
  <c r="D18" i="6" s="1"/>
  <c r="C8" i="6"/>
  <c r="C10" i="6" s="1"/>
  <c r="C12" i="6" s="1"/>
  <c r="C15" i="6" s="1"/>
  <c r="C18" i="6" s="1"/>
  <c r="B8" i="6"/>
  <c r="B10" i="6" s="1"/>
  <c r="J54" i="5"/>
  <c r="D53" i="5"/>
  <c r="C53" i="5" s="1"/>
  <c r="I50" i="5"/>
  <c r="I47" i="5"/>
  <c r="I44" i="5"/>
  <c r="F15" i="5"/>
  <c r="E15" i="5"/>
  <c r="D15" i="5"/>
  <c r="G13" i="5"/>
  <c r="E8" i="5"/>
  <c r="G60" i="5" s="1"/>
  <c r="F7" i="5"/>
  <c r="G7" i="5" s="1"/>
  <c r="F6" i="5"/>
  <c r="G6" i="5" s="1"/>
  <c r="F5" i="5"/>
  <c r="G5" i="5" s="1"/>
  <c r="D63" i="4"/>
  <c r="C63" i="4"/>
  <c r="B63" i="4"/>
  <c r="D62" i="4"/>
  <c r="C62" i="4"/>
  <c r="B62" i="4"/>
  <c r="A57" i="4"/>
  <c r="E55" i="4"/>
  <c r="D55" i="4"/>
  <c r="A55" i="4"/>
  <c r="E54" i="4"/>
  <c r="A53" i="4"/>
  <c r="C30" i="4"/>
  <c r="A26" i="4"/>
  <c r="A63" i="4" s="1"/>
  <c r="E25" i="4"/>
  <c r="E62" i="4" s="1"/>
  <c r="A25" i="4"/>
  <c r="A62" i="4" s="1"/>
  <c r="A24" i="4"/>
  <c r="A61" i="4" s="1"/>
  <c r="D23" i="4"/>
  <c r="D60" i="4" s="1"/>
  <c r="C23" i="4"/>
  <c r="C60" i="4" s="1"/>
  <c r="A23" i="4"/>
  <c r="A60" i="4" s="1"/>
  <c r="C22" i="4"/>
  <c r="C59" i="4" s="1"/>
  <c r="B22" i="4"/>
  <c r="A22" i="4"/>
  <c r="A59" i="4" s="1"/>
  <c r="A21" i="4"/>
  <c r="A58" i="4" s="1"/>
  <c r="D20" i="4"/>
  <c r="D57" i="4" s="1"/>
  <c r="C20" i="4"/>
  <c r="C57" i="4" s="1"/>
  <c r="A20" i="4"/>
  <c r="A19" i="4"/>
  <c r="A56" i="4" s="1"/>
  <c r="D18" i="4"/>
  <c r="A18" i="4"/>
  <c r="D17" i="4"/>
  <c r="D54" i="4" s="1"/>
  <c r="C17" i="4"/>
  <c r="C54" i="4" s="1"/>
  <c r="B17" i="4"/>
  <c r="B54" i="4" s="1"/>
  <c r="A17" i="4"/>
  <c r="A54" i="4" s="1"/>
  <c r="E16" i="4"/>
  <c r="E53" i="4" s="1"/>
  <c r="D16" i="4"/>
  <c r="D53" i="4" s="1"/>
  <c r="C16" i="4"/>
  <c r="C53" i="4" s="1"/>
  <c r="B16" i="4"/>
  <c r="B53" i="4" s="1"/>
  <c r="E11" i="4"/>
  <c r="D9" i="4"/>
  <c r="C9" i="4"/>
  <c r="B9" i="4"/>
  <c r="B23" i="4" s="1"/>
  <c r="D8" i="4"/>
  <c r="E8" i="4" s="1"/>
  <c r="C8" i="4"/>
  <c r="B8" i="4"/>
  <c r="D6" i="4"/>
  <c r="C6" i="4"/>
  <c r="D5" i="4"/>
  <c r="D7" i="4" s="1"/>
  <c r="D10" i="4" s="1"/>
  <c r="C5" i="4"/>
  <c r="C7" i="4" s="1"/>
  <c r="C10" i="4" s="1"/>
  <c r="B5" i="4"/>
  <c r="B7" i="4" s="1"/>
  <c r="B10" i="4" s="1"/>
  <c r="D4" i="4"/>
  <c r="C4" i="4"/>
  <c r="B4" i="4"/>
  <c r="D3" i="4"/>
  <c r="C3" i="4"/>
  <c r="B3" i="4"/>
  <c r="B6" i="4" s="1"/>
  <c r="B43" i="2"/>
  <c r="B42" i="2"/>
  <c r="B36" i="2"/>
  <c r="B35" i="2"/>
  <c r="E28" i="2"/>
  <c r="E26" i="2"/>
  <c r="D26" i="2"/>
  <c r="B37" i="2" s="1"/>
  <c r="C26" i="2"/>
  <c r="B26" i="2"/>
  <c r="E25" i="2"/>
  <c r="D25" i="2"/>
  <c r="C25" i="2"/>
  <c r="B25" i="2"/>
  <c r="B23" i="2"/>
  <c r="C21" i="2"/>
  <c r="B21" i="2"/>
  <c r="B22" i="2" s="1"/>
  <c r="D20" i="2"/>
  <c r="D22" i="2" s="1"/>
  <c r="C20" i="2"/>
  <c r="C22" i="2" s="1"/>
  <c r="B20" i="2"/>
  <c r="C16" i="2"/>
  <c r="C15" i="2"/>
  <c r="H14" i="2"/>
  <c r="H15" i="2" s="1"/>
  <c r="H16" i="2" s="1"/>
  <c r="E14" i="2"/>
  <c r="F14" i="2" s="1"/>
  <c r="D14" i="2"/>
  <c r="D15" i="2" s="1"/>
  <c r="C14" i="2"/>
  <c r="I13" i="2"/>
  <c r="J13" i="2" s="1"/>
  <c r="F13" i="2"/>
  <c r="G13" i="2" s="1"/>
  <c r="E13" i="2"/>
  <c r="C13" i="2"/>
  <c r="C8" i="2"/>
  <c r="C7" i="2"/>
  <c r="E6" i="2"/>
  <c r="F6" i="2" s="1"/>
  <c r="D6" i="2"/>
  <c r="D7" i="2" s="1"/>
  <c r="C6" i="2"/>
  <c r="H5" i="2"/>
  <c r="H6" i="2" s="1"/>
  <c r="H7" i="2" s="1"/>
  <c r="H8" i="2" s="1"/>
  <c r="E5" i="2"/>
  <c r="F5" i="2" s="1"/>
  <c r="C5" i="2"/>
  <c r="E32" i="3"/>
  <c r="D31" i="3"/>
  <c r="E22" i="3"/>
  <c r="E21" i="3"/>
  <c r="D18" i="3"/>
  <c r="C18" i="3"/>
  <c r="B18" i="3"/>
  <c r="D17" i="3"/>
  <c r="C17" i="3"/>
  <c r="B17" i="3"/>
  <c r="I12" i="3"/>
  <c r="I13" i="3" s="1"/>
  <c r="B12" i="3"/>
  <c r="B20" i="3" s="1"/>
  <c r="J11" i="3"/>
  <c r="I11" i="3"/>
  <c r="H11" i="3"/>
  <c r="E11" i="3"/>
  <c r="J10" i="3"/>
  <c r="I10" i="3"/>
  <c r="H10" i="3"/>
  <c r="E10" i="3"/>
  <c r="J9" i="3"/>
  <c r="I9" i="3"/>
  <c r="H9" i="3"/>
  <c r="E9" i="3"/>
  <c r="J8" i="3"/>
  <c r="J12" i="3" s="1"/>
  <c r="J13" i="3" s="1"/>
  <c r="I8" i="3"/>
  <c r="H8" i="3"/>
  <c r="H12" i="3" s="1"/>
  <c r="H13" i="3" s="1"/>
  <c r="E8" i="3"/>
  <c r="D7" i="3"/>
  <c r="D12" i="3" s="1"/>
  <c r="C7" i="3"/>
  <c r="C12" i="3" s="1"/>
  <c r="B7" i="3"/>
  <c r="E7" i="3" s="1"/>
  <c r="E19" i="3" s="1"/>
  <c r="B12" i="6" l="1"/>
  <c r="B15" i="6" s="1"/>
  <c r="B18" i="6" s="1"/>
  <c r="E10" i="6"/>
  <c r="E12" i="6" s="1"/>
  <c r="E15" i="6" s="1"/>
  <c r="E17" i="6" s="1"/>
  <c r="D16" i="5"/>
  <c r="I5" i="5"/>
  <c r="E41" i="5" s="1"/>
  <c r="I6" i="5"/>
  <c r="E45" i="5" s="1"/>
  <c r="E16" i="5"/>
  <c r="F16" i="5"/>
  <c r="I7" i="5"/>
  <c r="E49" i="5" s="1"/>
  <c r="G56" i="5"/>
  <c r="D23" i="5"/>
  <c r="C65" i="4"/>
  <c r="B30" i="4"/>
  <c r="B20" i="4"/>
  <c r="E6" i="4"/>
  <c r="E23" i="4"/>
  <c r="E60" i="4" s="1"/>
  <c r="B60" i="4"/>
  <c r="E22" i="4"/>
  <c r="E59" i="4" s="1"/>
  <c r="E5" i="4"/>
  <c r="E7" i="4" s="1"/>
  <c r="D19" i="4"/>
  <c r="C31" i="4"/>
  <c r="C34" i="4" s="1"/>
  <c r="B59" i="4"/>
  <c r="D22" i="4"/>
  <c r="D59" i="4" s="1"/>
  <c r="D65" i="4" s="1"/>
  <c r="D31" i="4"/>
  <c r="E9" i="4"/>
  <c r="D30" i="4"/>
  <c r="E7" i="2"/>
  <c r="F7" i="2" s="1"/>
  <c r="D8" i="2"/>
  <c r="E8" i="2" s="1"/>
  <c r="F8" i="2" s="1"/>
  <c r="E15" i="2"/>
  <c r="F15" i="2" s="1"/>
  <c r="D16" i="2"/>
  <c r="E16" i="2" s="1"/>
  <c r="F16" i="2" s="1"/>
  <c r="B24" i="2"/>
  <c r="B27" i="2" s="1"/>
  <c r="E22" i="2"/>
  <c r="G6" i="2"/>
  <c r="I6" i="2"/>
  <c r="J6" i="2" s="1"/>
  <c r="I14" i="2"/>
  <c r="J14" i="2" s="1"/>
  <c r="G14" i="2"/>
  <c r="D42" i="2"/>
  <c r="C42" i="2" s="1"/>
  <c r="D43" i="2"/>
  <c r="C43" i="2" s="1"/>
  <c r="D41" i="2"/>
  <c r="C41" i="2" s="1"/>
  <c r="B46" i="2"/>
  <c r="C46" i="2" s="1"/>
  <c r="G5" i="2"/>
  <c r="I5" i="2"/>
  <c r="J5" i="2" s="1"/>
  <c r="B47" i="2"/>
  <c r="D23" i="2"/>
  <c r="D24" i="2" s="1"/>
  <c r="D27" i="2" s="1"/>
  <c r="C23" i="2"/>
  <c r="E23" i="2" s="1"/>
  <c r="C20" i="3"/>
  <c r="C23" i="3" s="1"/>
  <c r="C13" i="3"/>
  <c r="D20" i="3"/>
  <c r="D23" i="3" s="1"/>
  <c r="D26" i="3" s="1"/>
  <c r="D13" i="3"/>
  <c r="B23" i="3"/>
  <c r="E20" i="3"/>
  <c r="E23" i="3" s="1"/>
  <c r="E25" i="3" s="1"/>
  <c r="E12" i="3"/>
  <c r="E13" i="3" s="1"/>
  <c r="B19" i="3"/>
  <c r="C19" i="3"/>
  <c r="D19" i="3"/>
  <c r="B31" i="3"/>
  <c r="B13" i="3"/>
  <c r="C31" i="3"/>
  <c r="E50" i="5" l="1"/>
  <c r="F49" i="5"/>
  <c r="G49" i="5" s="1"/>
  <c r="E18" i="5"/>
  <c r="E21" i="5" s="1"/>
  <c r="E46" i="5"/>
  <c r="F45" i="5"/>
  <c r="G45" i="5" s="1"/>
  <c r="F41" i="5"/>
  <c r="G41" i="5" s="1"/>
  <c r="E42" i="5"/>
  <c r="F17" i="5"/>
  <c r="F18" i="5" s="1"/>
  <c r="F21" i="5" s="1"/>
  <c r="E17" i="5"/>
  <c r="D17" i="5"/>
  <c r="D18" i="5" s="1"/>
  <c r="D21" i="5" s="1"/>
  <c r="C40" i="4"/>
  <c r="C18" i="4"/>
  <c r="D56" i="4"/>
  <c r="D21" i="4"/>
  <c r="D24" i="4" s="1"/>
  <c r="E10" i="4"/>
  <c r="B34" i="4"/>
  <c r="B57" i="4"/>
  <c r="B65" i="4" s="1"/>
  <c r="E20" i="4"/>
  <c r="E57" i="4" s="1"/>
  <c r="D34" i="4"/>
  <c r="D40" i="4" s="1"/>
  <c r="B31" i="4"/>
  <c r="D47" i="2"/>
  <c r="C47" i="2"/>
  <c r="G8" i="2"/>
  <c r="I8" i="2"/>
  <c r="J8" i="2" s="1"/>
  <c r="C24" i="2"/>
  <c r="C27" i="2" s="1"/>
  <c r="I16" i="2"/>
  <c r="J16" i="2" s="1"/>
  <c r="G16" i="2"/>
  <c r="I15" i="2"/>
  <c r="J15" i="2" s="1"/>
  <c r="G15" i="2"/>
  <c r="E24" i="2"/>
  <c r="E27" i="2" s="1"/>
  <c r="E29" i="2" s="1"/>
  <c r="G7" i="2"/>
  <c r="I7" i="2"/>
  <c r="J7" i="2" s="1"/>
  <c r="B26" i="3"/>
  <c r="E31" i="3"/>
  <c r="C26" i="3"/>
  <c r="F46" i="5" l="1"/>
  <c r="G46" i="5" s="1"/>
  <c r="E47" i="5"/>
  <c r="E51" i="5"/>
  <c r="F50" i="5"/>
  <c r="G50" i="5" s="1"/>
  <c r="E43" i="5"/>
  <c r="F42" i="5"/>
  <c r="G42" i="5" s="1"/>
  <c r="E13" i="4"/>
  <c r="D66" i="4"/>
  <c r="D58" i="4"/>
  <c r="D61" i="4" s="1"/>
  <c r="B40" i="4"/>
  <c r="B18" i="4"/>
  <c r="C55" i="4"/>
  <c r="C19" i="4"/>
  <c r="E44" i="5" l="1"/>
  <c r="F43" i="5"/>
  <c r="G43" i="5" s="1"/>
  <c r="E48" i="5"/>
  <c r="F48" i="5" s="1"/>
  <c r="G48" i="5" s="1"/>
  <c r="F47" i="5"/>
  <c r="G47" i="5" s="1"/>
  <c r="F51" i="5"/>
  <c r="G51" i="5" s="1"/>
  <c r="E52" i="5"/>
  <c r="F52" i="5" s="1"/>
  <c r="G52" i="5" s="1"/>
  <c r="B19" i="4"/>
  <c r="B55" i="4"/>
  <c r="C21" i="4"/>
  <c r="C24" i="4" s="1"/>
  <c r="C56" i="4"/>
  <c r="E53" i="5" l="1"/>
  <c r="F44" i="5"/>
  <c r="C66" i="4"/>
  <c r="C58" i="4"/>
  <c r="C61" i="4" s="1"/>
  <c r="B21" i="4"/>
  <c r="E19" i="4"/>
  <c r="B56" i="4"/>
  <c r="G44" i="5" l="1"/>
  <c r="F53" i="5"/>
  <c r="B66" i="4"/>
  <c r="B58" i="4"/>
  <c r="E56" i="4"/>
  <c r="F56" i="4" s="1"/>
  <c r="E21" i="4"/>
  <c r="B24" i="4"/>
  <c r="E24" i="4" s="1"/>
  <c r="G53" i="5" l="1"/>
  <c r="G55" i="5"/>
  <c r="E26" i="4"/>
  <c r="E58" i="4"/>
  <c r="B61" i="4"/>
  <c r="E61" i="4" s="1"/>
  <c r="G59" i="5" l="1"/>
  <c r="G61" i="5" s="1"/>
  <c r="G57" i="5"/>
  <c r="F61" i="4"/>
  <c r="E63" i="4"/>
  <c r="F6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Michel Vézina</author>
  </authors>
  <commentList>
    <comment ref="A63" authorId="0" shapeId="0" xr:uid="{00000000-0006-0000-0100-000001000000}">
      <text>
        <r>
          <rPr>
            <b/>
            <sz val="8"/>
            <color indexed="81"/>
            <rFont val="Tahoma"/>
            <family val="2"/>
          </rPr>
          <t>Michel Vézina:</t>
        </r>
        <r>
          <rPr>
            <sz val="8"/>
            <color indexed="81"/>
            <rFont val="Tahoma"/>
            <family val="2"/>
          </rPr>
          <t xml:space="preserve">
Question 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Michel Vézina</author>
  </authors>
  <commentList>
    <comment ref="A1" authorId="0" shapeId="0" xr:uid="{354DB613-95E7-40E9-9FED-7C108E85B996}">
      <text>
        <r>
          <rPr>
            <b/>
            <sz val="8"/>
            <color indexed="81"/>
            <rFont val="Tahoma"/>
            <family val="2"/>
          </rPr>
          <t>Michel Vézina:</t>
        </r>
        <r>
          <rPr>
            <sz val="8"/>
            <color indexed="81"/>
            <rFont val="Tahoma"/>
            <family val="2"/>
          </rPr>
          <t xml:space="preserve">
Question 1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Michel Vézina</author>
  </authors>
  <commentList>
    <comment ref="A2" authorId="0" shapeId="0" xr:uid="{F626A5CA-4014-4594-BF94-5AD8A5498F69}">
      <text>
        <r>
          <rPr>
            <b/>
            <sz val="9"/>
            <color indexed="81"/>
            <rFont val="Tahoma"/>
            <family val="2"/>
          </rPr>
          <t>Michel Vézina:</t>
        </r>
        <r>
          <rPr>
            <sz val="9"/>
            <color indexed="81"/>
            <rFont val="Tahoma"/>
            <family val="2"/>
          </rPr>
          <t xml:space="preserve">
Question 2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Michel Vézina</author>
  </authors>
  <commentList>
    <comment ref="A1" authorId="0" shapeId="0" xr:uid="{ABBB7821-6CBB-4F66-ACDD-002AF2CC97D6}">
      <text>
        <r>
          <rPr>
            <b/>
            <sz val="9"/>
            <color indexed="81"/>
            <rFont val="Tahoma"/>
            <family val="2"/>
          </rPr>
          <t>Michel Vézina:</t>
        </r>
        <r>
          <rPr>
            <sz val="9"/>
            <color indexed="81"/>
            <rFont val="Tahoma"/>
            <family val="2"/>
          </rPr>
          <t xml:space="preserve">
Question 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marie-eve quenneville</author>
    <author>Michel Vézina</author>
  </authors>
  <commentList>
    <comment ref="E3" authorId="0" shapeId="0" xr:uid="{9DD35671-5536-41FB-9C4B-396370311F1A}">
      <text>
        <r>
          <rPr>
            <b/>
            <sz val="9"/>
            <color indexed="81"/>
            <rFont val="Tahoma"/>
            <family val="2"/>
          </rPr>
          <t>marie-eve quenneville:</t>
        </r>
        <r>
          <rPr>
            <sz val="9"/>
            <color indexed="81"/>
            <rFont val="Tahoma"/>
            <family val="2"/>
          </rPr>
          <t xml:space="preserve">
tableau page 4 
</t>
        </r>
      </text>
    </comment>
    <comment ref="D23" authorId="1" shapeId="0" xr:uid="{7DE0915A-A0FD-4EF8-9176-53B71F5F3780}">
      <text>
        <r>
          <rPr>
            <b/>
            <sz val="9"/>
            <color indexed="81"/>
            <rFont val="Tahoma"/>
            <family val="2"/>
          </rPr>
          <t>Michel Vézina:</t>
        </r>
        <r>
          <rPr>
            <sz val="9"/>
            <color indexed="81"/>
            <rFont val="Tahoma"/>
            <family val="2"/>
          </rPr>
          <t xml:space="preserve">
FGF fixes + Publicité et commandites.</t>
        </r>
      </text>
    </comment>
  </commentList>
</comments>
</file>

<file path=xl/sharedStrings.xml><?xml version="1.0" encoding="utf-8"?>
<sst xmlns="http://schemas.openxmlformats.org/spreadsheetml/2006/main" count="489" uniqueCount="309">
  <si>
    <t>Prix</t>
  </si>
  <si>
    <t>Volume</t>
  </si>
  <si>
    <t>(unités)</t>
  </si>
  <si>
    <t>Probabilité</t>
  </si>
  <si>
    <t>estimé</t>
  </si>
  <si>
    <t>Chiffre</t>
  </si>
  <si>
    <t>d'affaires</t>
  </si>
  <si>
    <t>prévu</t>
  </si>
  <si>
    <t>45 %</t>
  </si>
  <si>
    <t>65 360 $</t>
  </si>
  <si>
    <t>128 440 $</t>
  </si>
  <si>
    <t xml:space="preserve">  92 720 $</t>
  </si>
  <si>
    <t>35 %</t>
  </si>
  <si>
    <t>123 225 $</t>
  </si>
  <si>
    <t>104 145 $</t>
  </si>
  <si>
    <t xml:space="preserve">  64 395 $</t>
  </si>
  <si>
    <t xml:space="preserve">291 765 $ </t>
  </si>
  <si>
    <t>91 850 $</t>
  </si>
  <si>
    <t>129 425 $</t>
  </si>
  <si>
    <t xml:space="preserve">  62 625 $</t>
  </si>
  <si>
    <t xml:space="preserve">283 900 $ </t>
  </si>
  <si>
    <t>40 %</t>
  </si>
  <si>
    <t>77 875 $</t>
  </si>
  <si>
    <t>99 750 $</t>
  </si>
  <si>
    <t xml:space="preserve">  69 125 $</t>
  </si>
  <si>
    <t xml:space="preserve">246 750 $ </t>
  </si>
  <si>
    <t>Résultats de l'étude de marché</t>
  </si>
  <si>
    <t>relative aux vélos de compétition</t>
  </si>
  <si>
    <t>Taille de commande</t>
  </si>
  <si>
    <t>Prix possibles selon étude de marché</t>
  </si>
  <si>
    <t>1 à 5 unités</t>
  </si>
  <si>
    <t>6 à 20 unités</t>
  </si>
  <si>
    <t>21 unités et +</t>
  </si>
  <si>
    <t>Total</t>
  </si>
  <si>
    <t>Variation de prix et effets sur le nombre de vélo de compétition par taille de commande</t>
  </si>
  <si>
    <t>Taille des</t>
  </si>
  <si>
    <t>commandes</t>
  </si>
  <si>
    <t>Nombre de</t>
  </si>
  <si>
    <t>Quantité moyenne</t>
  </si>
  <si>
    <t>commandée</t>
  </si>
  <si>
    <t>Coût des</t>
  </si>
  <si>
    <t>Total :</t>
  </si>
  <si>
    <t>Coût d'exécution des commandes de vélos de compétition</t>
  </si>
  <si>
    <t>en fonction du nombre d'unités commandées</t>
  </si>
  <si>
    <t>Produits</t>
  </si>
  <si>
    <t>Prix moyen sur le marché</t>
  </si>
  <si>
    <t>Randonnée</t>
  </si>
  <si>
    <t>Montagne</t>
  </si>
  <si>
    <t>Compétition</t>
  </si>
  <si>
    <t>Prix de vente unitaire :</t>
  </si>
  <si>
    <r>
      <t>Coûts unitaires variables</t>
    </r>
    <r>
      <rPr>
        <sz val="11"/>
        <color theme="1"/>
        <rFont val="Times New Roman"/>
        <family val="1"/>
      </rPr>
      <t> :</t>
    </r>
  </si>
  <si>
    <t>Matières premières</t>
  </si>
  <si>
    <t>Main-d'œuvre directe</t>
  </si>
  <si>
    <t>Frais généraux de fabrication var.</t>
  </si>
  <si>
    <t>Frais de vente et d'administration var.</t>
  </si>
  <si>
    <t>Marge sur coûts variables unitaires (MCV)</t>
  </si>
  <si>
    <t>MCV en % du prix de vente</t>
  </si>
  <si>
    <t>24,6 %</t>
  </si>
  <si>
    <t>30,8 %</t>
  </si>
  <si>
    <t>40,3 %</t>
  </si>
  <si>
    <t>Calcul de la marge sur coûts variables par produit</t>
  </si>
  <si>
    <t>Ventes</t>
  </si>
  <si>
    <t>320 625 $</t>
  </si>
  <si>
    <t>516 750 $</t>
  </si>
  <si>
    <t>290 175 $</t>
  </si>
  <si>
    <t>1 127 550 $</t>
  </si>
  <si>
    <t>Ventes (unités)</t>
  </si>
  <si>
    <t xml:space="preserve">1 125 </t>
  </si>
  <si>
    <t xml:space="preserve">1 325 </t>
  </si>
  <si>
    <t>Coûts de fabrication :</t>
  </si>
  <si>
    <t>. Matières premières</t>
  </si>
  <si>
    <t>. Main-d'œuvre directe</t>
  </si>
  <si>
    <t>. Frais généraux de fabri-cation (note 1)</t>
  </si>
  <si>
    <t>118 125 $</t>
  </si>
  <si>
    <t>73 125 $</t>
  </si>
  <si>
    <t xml:space="preserve">  89 750 $</t>
  </si>
  <si>
    <t>281 000 $</t>
  </si>
  <si>
    <t>178 875 $</t>
  </si>
  <si>
    <t>99 375 $</t>
  </si>
  <si>
    <t xml:space="preserve">109 000 $ </t>
  </si>
  <si>
    <t>387 250 $</t>
  </si>
  <si>
    <t>109 500 $</t>
  </si>
  <si>
    <t>31 025 $</t>
  </si>
  <si>
    <t xml:space="preserve">  74 250 $ </t>
  </si>
  <si>
    <t>214 775 $</t>
  </si>
  <si>
    <t>406 500 $</t>
  </si>
  <si>
    <t>203 525 $</t>
  </si>
  <si>
    <t xml:space="preserve">273 000 $ </t>
  </si>
  <si>
    <t>883 025 $</t>
  </si>
  <si>
    <t>Frais généraux de vente et d'administration (note 2)</t>
  </si>
  <si>
    <t>70 875 $</t>
  </si>
  <si>
    <t>80 500 $</t>
  </si>
  <si>
    <t>68 600 $</t>
  </si>
  <si>
    <t>219 975 $</t>
  </si>
  <si>
    <t>Bénéfice d'exploitation</t>
  </si>
  <si>
    <t>en % des ventes</t>
  </si>
  <si>
    <t>- 31 250 $</t>
  </si>
  <si>
    <t>- 9,7 %</t>
  </si>
  <si>
    <t>49 000 $</t>
  </si>
  <si>
    <t>9,5 %</t>
  </si>
  <si>
    <t>6 800 $</t>
  </si>
  <si>
    <t>2,3 %</t>
  </si>
  <si>
    <t>24 550 $</t>
  </si>
  <si>
    <t>2,2 %</t>
  </si>
  <si>
    <t>Calcul de la rentabilité par produit</t>
  </si>
  <si>
    <t>Données du cas</t>
  </si>
  <si>
    <t>Prix moyens sur le marché par catégorie de vélo</t>
  </si>
  <si>
    <t>Quantités actuelles</t>
  </si>
  <si>
    <t>1 125 u</t>
  </si>
  <si>
    <t>1 325 u</t>
  </si>
  <si>
    <t>365 u</t>
  </si>
  <si>
    <t>Coût de fabrication</t>
  </si>
  <si>
    <t>Frais généraux de vente et d'administration</t>
  </si>
  <si>
    <t xml:space="preserve">  70 875 $</t>
  </si>
  <si>
    <t xml:space="preserve">  80 500 $ </t>
  </si>
  <si>
    <t xml:space="preserve">  68 600 $</t>
  </si>
  <si>
    <t>Coût total</t>
  </si>
  <si>
    <t xml:space="preserve">351 875 $ </t>
  </si>
  <si>
    <t xml:space="preserve">467 750 $ </t>
  </si>
  <si>
    <t>283 375 $</t>
  </si>
  <si>
    <t>Majoration du coût total de 15 %</t>
  </si>
  <si>
    <t xml:space="preserve">52 781 $ </t>
  </si>
  <si>
    <t xml:space="preserve">70 163 $ </t>
  </si>
  <si>
    <t>42 506 $</t>
  </si>
  <si>
    <t>Chiffre d'affaires espéré</t>
  </si>
  <si>
    <t xml:space="preserve">404 656 $ </t>
  </si>
  <si>
    <t xml:space="preserve">537 913 $ </t>
  </si>
  <si>
    <t>325 881 $</t>
  </si>
  <si>
    <t>Quantité actuelle</t>
  </si>
  <si>
    <t>Prix de vente unitaire que l'on devrait fixer</t>
  </si>
  <si>
    <t>360 $</t>
  </si>
  <si>
    <t>406 $</t>
  </si>
  <si>
    <t>893 $</t>
  </si>
  <si>
    <t>Prix de vente unitaire avec une majoration des coûts de 15 %</t>
  </si>
  <si>
    <t>Volume estimé</t>
  </si>
  <si>
    <t>CV</t>
  </si>
  <si>
    <t>MCV</t>
  </si>
  <si>
    <t>unitaire</t>
  </si>
  <si>
    <t>MCV totale</t>
  </si>
  <si>
    <t>Frais fixes spécifiques</t>
  </si>
  <si>
    <t>Marge nette</t>
  </si>
  <si>
    <t>Le prix de vente actuel des vélos de compétition</t>
  </si>
  <si>
    <t>Frais généraux de</t>
  </si>
  <si>
    <t>fabrication fixes</t>
  </si>
  <si>
    <t>Main-d'œuvre indirecte</t>
  </si>
  <si>
    <t>7 500 $</t>
  </si>
  <si>
    <t>25 500 $</t>
  </si>
  <si>
    <t>35 000 $</t>
  </si>
  <si>
    <t>Recherche et développement</t>
  </si>
  <si>
    <t>5 000 $</t>
  </si>
  <si>
    <t>12 500 $</t>
  </si>
  <si>
    <t>25 000 $</t>
  </si>
  <si>
    <t>Contrôle de la qualité</t>
  </si>
  <si>
    <t xml:space="preserve"> 2 500 $</t>
  </si>
  <si>
    <r>
      <t xml:space="preserve">  7 000 $</t>
    </r>
    <r>
      <rPr>
        <sz val="11"/>
        <color theme="1"/>
        <rFont val="Times New Roman"/>
        <family val="1"/>
      </rPr>
      <t xml:space="preserve"> </t>
    </r>
  </si>
  <si>
    <t>10 000 $</t>
  </si>
  <si>
    <t>Total des frais généraux de fabrication spécifiques</t>
  </si>
  <si>
    <t>15 000 $</t>
  </si>
  <si>
    <t>45 000 $</t>
  </si>
  <si>
    <t>70 000 $</t>
  </si>
  <si>
    <t>130 000 $</t>
  </si>
  <si>
    <t>Entretien et réparation</t>
  </si>
  <si>
    <t>5 500 $</t>
  </si>
  <si>
    <t>Amortissement</t>
  </si>
  <si>
    <t>17 500 $</t>
  </si>
  <si>
    <t>Électricité et chauffage</t>
  </si>
  <si>
    <t>13 500 $</t>
  </si>
  <si>
    <t>Divers</t>
  </si>
  <si>
    <t xml:space="preserve">  1 500 $</t>
  </si>
  <si>
    <t>Total des frais généraux de fabrication</t>
  </si>
  <si>
    <t>168 000 $</t>
  </si>
  <si>
    <t>Détail des frais fixes par produit</t>
  </si>
  <si>
    <t>Frais de vente et</t>
  </si>
  <si>
    <t>d'administration fixes</t>
  </si>
  <si>
    <t>Coût des commandes</t>
  </si>
  <si>
    <t>30 750 $</t>
  </si>
  <si>
    <t>27 395 $</t>
  </si>
  <si>
    <t>Publicité et commandites</t>
  </si>
  <si>
    <r>
      <t xml:space="preserve"> 1 750 $</t>
    </r>
    <r>
      <rPr>
        <sz val="11"/>
        <color theme="1"/>
        <rFont val="Times New Roman"/>
        <family val="1"/>
      </rPr>
      <t xml:space="preserve"> </t>
    </r>
  </si>
  <si>
    <t>19 605 $</t>
  </si>
  <si>
    <t>Total des frais de vente et d'administration spécifiques</t>
  </si>
  <si>
    <t>32 500 $</t>
  </si>
  <si>
    <t>37 500 $</t>
  </si>
  <si>
    <t>47 000 $</t>
  </si>
  <si>
    <t>117 000 $</t>
  </si>
  <si>
    <t>Salaires</t>
  </si>
  <si>
    <t>43 500 $</t>
  </si>
  <si>
    <t xml:space="preserve"> 1 500 $</t>
  </si>
  <si>
    <t>Total des frais de vente et d'administration</t>
  </si>
  <si>
    <t>162 000 $</t>
  </si>
  <si>
    <t>% ventes</t>
  </si>
  <si>
    <t xml:space="preserve">Randonnée </t>
  </si>
  <si>
    <t xml:space="preserve">Montagne </t>
  </si>
  <si>
    <t xml:space="preserve">Compétition </t>
  </si>
  <si>
    <t xml:space="preserve">Total </t>
  </si>
  <si>
    <t xml:space="preserve">Volume </t>
  </si>
  <si>
    <t xml:space="preserve">Prix </t>
  </si>
  <si>
    <t xml:space="preserve">Ventes </t>
  </si>
  <si>
    <t xml:space="preserve">MP </t>
  </si>
  <si>
    <t xml:space="preserve">MOD </t>
  </si>
  <si>
    <t xml:space="preserve">FGF variables </t>
  </si>
  <si>
    <t xml:space="preserve">V &amp; A variables </t>
  </si>
  <si>
    <t xml:space="preserve">MCV </t>
  </si>
  <si>
    <t xml:space="preserve">(en % ventes) </t>
  </si>
  <si>
    <t xml:space="preserve">FGF F spécifiques </t>
  </si>
  <si>
    <t xml:space="preserve">V&amp;A F spécifiques </t>
  </si>
  <si>
    <t xml:space="preserve">Marge nette </t>
  </si>
  <si>
    <t xml:space="preserve">Frais communs </t>
  </si>
  <si>
    <t xml:space="preserve">Résultat net </t>
  </si>
  <si>
    <t>Marge supérieures mais rentabilité moindre?</t>
  </si>
  <si>
    <t>Majoration</t>
  </si>
  <si>
    <t>P.V. majoré</t>
  </si>
  <si>
    <t>Bornes marché</t>
  </si>
  <si>
    <t>Min</t>
  </si>
  <si>
    <t>Max</t>
  </si>
  <si>
    <t>Coûts spécifiques unitaires</t>
  </si>
  <si>
    <t>Type</t>
  </si>
  <si>
    <t>Quantité</t>
  </si>
  <si>
    <t>moyenne</t>
  </si>
  <si>
    <t>Coût de</t>
  </si>
  <si>
    <t>commande</t>
  </si>
  <si>
    <t>Coût par</t>
  </si>
  <si>
    <t>Coût</t>
  </si>
  <si>
    <t>Coûts variables</t>
  </si>
  <si>
    <t>du produit</t>
  </si>
  <si>
    <t>Coût variable unitaire par type de commande</t>
  </si>
  <si>
    <t>1 @ 5 unités</t>
  </si>
  <si>
    <t>MCV unitaire</t>
  </si>
  <si>
    <t>6 @ 20 unités</t>
  </si>
  <si>
    <t>21 @ 50 unités</t>
  </si>
  <si>
    <t>Analyse des résultats de l'étude de marché</t>
  </si>
  <si>
    <t>Nombre d'unités</t>
  </si>
  <si>
    <t>Coût variable</t>
  </si>
  <si>
    <t>Coût variable total</t>
  </si>
  <si>
    <t>Prix optimal</t>
  </si>
  <si>
    <t>√</t>
  </si>
  <si>
    <t>Différence</t>
  </si>
  <si>
    <t>Initial (795$)</t>
  </si>
  <si>
    <t>Révisé (835$)</t>
  </si>
  <si>
    <t>Cvu</t>
  </si>
  <si>
    <t>Pvu</t>
  </si>
  <si>
    <t>FF. Spéc.</t>
  </si>
  <si>
    <t>Pvu*Vol</t>
  </si>
  <si>
    <t>Cvu*Vol</t>
  </si>
  <si>
    <t>FF.Spéc.</t>
  </si>
  <si>
    <t>Unités</t>
  </si>
  <si>
    <t>S.R.</t>
  </si>
  <si>
    <t>M.S.</t>
  </si>
  <si>
    <t>1@5</t>
  </si>
  <si>
    <t>6@20</t>
  </si>
  <si>
    <t>20@</t>
  </si>
  <si>
    <t>PV</t>
  </si>
  <si>
    <t>FF spécifiques</t>
  </si>
  <si>
    <t>F.F. spécifiques</t>
  </si>
  <si>
    <t>Différence:</t>
  </si>
  <si>
    <t xml:space="preserve">Promotion </t>
  </si>
  <si>
    <t>S.R.:</t>
  </si>
  <si>
    <t>Volume espéré</t>
  </si>
  <si>
    <t>MCV Totale:</t>
  </si>
  <si>
    <t>M.S.:</t>
  </si>
  <si>
    <t>Méthode du coût cible</t>
  </si>
  <si>
    <t>1) Révision du prix de vente</t>
  </si>
  <si>
    <t>2) Accroître le volume</t>
  </si>
  <si>
    <t>3) Réduire les coûts</t>
  </si>
  <si>
    <t>Cout spécifique  unitaire</t>
  </si>
  <si>
    <t>Sommaire</t>
  </si>
  <si>
    <t>Majoration de 15%</t>
  </si>
  <si>
    <t>Questions pour susciter la discussion ou souligner certains aspects du cas.</t>
  </si>
  <si>
    <t>Devrait-on abandonner la fabrication des vélos de randonnée et mettre plutôt l'accent sur la vente des vélos de compétition ?</t>
  </si>
  <si>
    <t>Que pensez-vous du prix de vente de 795 $ pour les vélos de compétition ?</t>
  </si>
  <si>
    <t xml:space="preserve">Qu'est‑ce qui explique le fait que les prix obtenus en majorant les coûts de 15 % soient si différents de ceux des concurrents ? </t>
  </si>
  <si>
    <t>Existe-t-il un moyen pour que Véloplus puisse améliorer la rentabilité des vélos de compétition sans engendrer de réactions de ses concurrents ?</t>
  </si>
  <si>
    <t>Suite aux analyses précédentes et en tenant compte des autres facteurs pertinents, donnez votre recommandation finale quant aux prix à fixer pour chacun des produits.</t>
  </si>
  <si>
    <t>Quelle est la rentabilité prévue de Véloplus pour la prochaine année en tenant compte des nouveaux prix </t>
  </si>
  <si>
    <r>
      <t xml:space="preserve">Existe-t-il un moyen de fixer les prix de ventes des </t>
    </r>
    <r>
      <rPr>
        <b/>
        <sz val="16"/>
        <color theme="1"/>
        <rFont val="Times New Roman"/>
        <family val="1"/>
      </rPr>
      <t>vélos de compétition</t>
    </r>
    <r>
      <rPr>
        <sz val="16"/>
        <color theme="1"/>
        <rFont val="Times New Roman"/>
        <family val="1"/>
      </rPr>
      <t xml:space="preserve"> de façon à obtenir une meilleure rentabilité à un prix compétitif ? Quels seraient ce ou ces prix ? Quelle serait alors la rentabilité prévue ?</t>
    </r>
  </si>
  <si>
    <t>Bénéfice d'exploitation en % des ventes</t>
  </si>
  <si>
    <t>Coûts totaux</t>
  </si>
  <si>
    <t xml:space="preserve">commande </t>
  </si>
  <si>
    <t>MCV Totale</t>
  </si>
  <si>
    <t>Égal prix marché?</t>
  </si>
  <si>
    <t>O+</t>
  </si>
  <si>
    <t>O</t>
  </si>
  <si>
    <t>Outil le plus approprié pour la tâche</t>
  </si>
  <si>
    <t>Outil approprié pour la tâche</t>
  </si>
  <si>
    <t>Étapes de la prise de décision à court terme</t>
  </si>
  <si>
    <t xml:space="preserve">2. Calculer la MCV unitaire </t>
  </si>
  <si>
    <t>3. Calculer la capacité</t>
  </si>
  <si>
    <t>4. Évaluer les options pour améliorer la rentabilité</t>
  </si>
  <si>
    <t xml:space="preserve"> - Variation Prix/volume (n'oubliez pas d'évaluer l'élasticité/prix de la demande et la capacité disponible)</t>
  </si>
  <si>
    <t xml:space="preserve"> - Diminution des coûts fixes </t>
  </si>
  <si>
    <t xml:space="preserve"> - Diminution des coûts variables</t>
  </si>
  <si>
    <t>5. Pour chaque proposition, identifier les risques ou problèmes qui pourraient survenir</t>
  </si>
  <si>
    <t>1. Séparer les coûts fixes des coûts variables</t>
  </si>
  <si>
    <t>Marges du vélo de compétition sont-elles supérieures ?</t>
  </si>
  <si>
    <t xml:space="preserve">la marge sur coût variable du vélo de compétition est supérieure, mais les coûts fixes spécifiques sont importants ce qui fait que la ligne de produit, au prix de vente et volume de vente actuels, n'est pas rentable </t>
  </si>
  <si>
    <t xml:space="preserve">Si l'on compare la présentation du résultat selon l'annexe 2: </t>
  </si>
  <si>
    <t xml:space="preserve">Prix actuel </t>
  </si>
  <si>
    <t xml:space="preserve">Prix qui maximise la MCV unitaire </t>
  </si>
  <si>
    <t xml:space="preserve">Si on met le PV à 795$, on peut voir que l'enprise prévoyait avoir une marge positive. </t>
  </si>
  <si>
    <t>Les prévisions ne se sont pas réalisées puisque la marge nette réelle est de - 200$</t>
  </si>
  <si>
    <t>Analyse coût volume profit</t>
  </si>
  <si>
    <t xml:space="preserve">Attention! Pour calculer le prix de vente à demander pour obtenir un bénéfice de 15 % il faut diviser les coûts de 1-taux de majoration </t>
  </si>
  <si>
    <t xml:space="preserve">volume de production de la compétition </t>
  </si>
  <si>
    <t xml:space="preserve">on ignore les marges des concrrents </t>
  </si>
  <si>
    <t xml:space="preserve">Il faut d'abord déterminer le coût par commande selon la taille de la commande </t>
  </si>
  <si>
    <t>Calcul du coût de revient par taille de commande pour le vélo de compétition en supposant que la recommandation du prix de 835 $ est acceptée</t>
  </si>
  <si>
    <t xml:space="preserve">Cvunitaire </t>
  </si>
  <si>
    <t xml:space="preserve">coût de commande </t>
  </si>
  <si>
    <t>prix moyen pondéré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</si>
</sst>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0\ &quot;$&quot;_);\(#,##0\ &quot;$&quot;\)"/>
    <numFmt numFmtId="6" formatCode="#,##0\ &quot;$&quot;_);[Red]\(#,##0\ &quot;$&quot;\)"/>
    <numFmt numFmtId="8" formatCode="#,##0.00\ &quot;$&quot;_);[Red]\(#,##0.00\ &quot;$&quot;\)"/>
    <numFmt numFmtId="44" formatCode="_ * #,##0.00_)\ &quot;$&quot;_ ;_ * \(#,##0.00\)\ &quot;$&quot;_ ;_ * &quot;-&quot;??_)\ &quot;$&quot;_ ;_ @_ "/>
    <numFmt numFmtId="164" formatCode="_ * #,##0.00_)\ _$_ ;_ * \(#,##0.00\)\ _$_ ;_ * &quot;-&quot;??_)\ _$_ ;_ @_ "/>
    <numFmt numFmtId="165" formatCode="_ * #,##0_)\ &quot;$&quot;_ ;_ * \(#,##0\)\ &quot;$&quot;_ ;_ * &quot;-&quot;??_)\ &quot;$&quot;_ ;_ @_ "/>
    <numFmt numFmtId="166" formatCode="0.0%"/>
    <numFmt numFmtId="167" formatCode="#,##0.0\ &quot;$&quot;_);[Red]\(#,##0.0\ &quot;$&quot;\)"/>
    <numFmt numFmtId="168" formatCode="#,##0\ &quot;$&quot;"/>
    <numFmt numFmtId="169" formatCode="_ * #,##0_)\ _$_ ;_ * \(#,##0\)\ _$_ ;_ * &quot;-&quot;??_)\ _$_ ;_ @_ "/>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Times New Roman"/>
      <family val="1"/>
    </font>
    <font>
      <u/>
      <sz val="11"/>
      <color theme="1"/>
      <name val="Times New Roman"/>
      <family val="1"/>
    </font>
    <font>
      <b/>
      <sz val="11"/>
      <color theme="1"/>
      <name val="Times New Roman"/>
      <family val="1"/>
    </font>
    <font>
      <b/>
      <sz val="13"/>
      <color theme="1"/>
      <name val="Times New Roman"/>
      <family val="1"/>
    </font>
    <font>
      <u val="double"/>
      <sz val="11"/>
      <color theme="1"/>
      <name val="Times New Roman"/>
      <family val="1"/>
    </font>
    <font>
      <b/>
      <sz val="18"/>
      <color theme="1"/>
      <name val="Calibri"/>
      <family val="2"/>
      <scheme val="minor"/>
    </font>
    <font>
      <sz val="8"/>
      <color indexed="81"/>
      <name val="Tahoma"/>
      <family val="2"/>
    </font>
    <font>
      <b/>
      <sz val="8"/>
      <color indexed="81"/>
      <name val="Tahoma"/>
      <family val="2"/>
    </font>
    <font>
      <sz val="12"/>
      <color rgb="FFFFFFFF"/>
      <name val="Times New Roman"/>
      <family val="1"/>
    </font>
    <font>
      <sz val="12"/>
      <color rgb="FF000000"/>
      <name val="Times New Roman"/>
      <family val="1"/>
    </font>
    <font>
      <b/>
      <sz val="12"/>
      <color rgb="FFFFFFFF"/>
      <name val="Times New Roman"/>
      <family val="1"/>
    </font>
    <font>
      <b/>
      <sz val="12"/>
      <name val="Times New Roman"/>
      <family val="1"/>
    </font>
    <font>
      <sz val="9"/>
      <color theme="1"/>
      <name val="Times New Roman"/>
      <family val="1"/>
    </font>
    <font>
      <b/>
      <sz val="8"/>
      <color theme="1"/>
      <name val="Times New Roman"/>
      <family val="1"/>
    </font>
    <font>
      <sz val="8"/>
      <color theme="1"/>
      <name val="Times New Roman"/>
      <family val="1"/>
    </font>
    <font>
      <u/>
      <sz val="13.65"/>
      <color theme="10"/>
      <name val="Calibri"/>
      <family val="2"/>
    </font>
    <font>
      <sz val="11"/>
      <color theme="10"/>
      <name val="Calibri"/>
      <family val="2"/>
    </font>
    <font>
      <b/>
      <sz val="12"/>
      <color theme="1"/>
      <name val="Calibri"/>
      <family val="2"/>
      <scheme val="minor"/>
    </font>
    <font>
      <sz val="9"/>
      <color indexed="81"/>
      <name val="Tahoma"/>
      <family val="2"/>
    </font>
    <font>
      <b/>
      <sz val="9"/>
      <color indexed="81"/>
      <name val="Tahoma"/>
      <family val="2"/>
    </font>
    <font>
      <b/>
      <sz val="16"/>
      <color theme="1"/>
      <name val="Times New Roman"/>
      <family val="1"/>
    </font>
    <font>
      <sz val="16"/>
      <color theme="1"/>
      <name val="Calibri"/>
      <family val="2"/>
      <scheme val="minor"/>
    </font>
    <font>
      <u/>
      <sz val="16"/>
      <color theme="10"/>
      <name val="Calibri"/>
      <family val="2"/>
    </font>
    <font>
      <sz val="16"/>
      <color theme="1"/>
      <name val="Times New Roman"/>
      <family val="1"/>
    </font>
    <font>
      <sz val="12"/>
      <color theme="0"/>
      <name val="Times New Roman"/>
      <family val="1"/>
    </font>
  </fonts>
  <fills count="17">
    <fill>
      <patternFill patternType="none"/>
    </fill>
    <fill>
      <patternFill patternType="gray125"/>
    </fill>
    <fill>
      <patternFill patternType="gray125">
        <bgColor rgb="FFE5E5E5"/>
      </patternFill>
    </fill>
    <fill>
      <patternFill patternType="solid">
        <fgColor rgb="FFE0E0E0"/>
        <bgColor indexed="64"/>
      </patternFill>
    </fill>
    <fill>
      <patternFill patternType="solid">
        <fgColor rgb="FFE6E6E6"/>
        <bgColor indexed="64"/>
      </patternFill>
    </fill>
    <fill>
      <patternFill patternType="solid">
        <fgColor rgb="FF002060"/>
        <bgColor indexed="64"/>
      </patternFill>
    </fill>
    <fill>
      <patternFill patternType="solid">
        <fgColor rgb="FFCBECDE"/>
        <bgColor indexed="64"/>
      </patternFill>
    </fill>
    <fill>
      <patternFill patternType="solid">
        <fgColor rgb="FFE7F6EF"/>
        <bgColor indexed="64"/>
      </patternFill>
    </fill>
    <fill>
      <patternFill patternType="solid">
        <fgColor rgb="FF3333CC"/>
        <bgColor indexed="64"/>
      </patternFill>
    </fill>
    <fill>
      <patternFill patternType="solid">
        <fgColor rgb="FF69D8FF"/>
        <bgColor indexed="64"/>
      </patternFill>
    </fill>
    <fill>
      <patternFill patternType="solid">
        <fgColor rgb="FFC2FFF0"/>
        <bgColor indexed="64"/>
      </patternFill>
    </fill>
    <fill>
      <patternFill patternType="solid">
        <fgColor rgb="FFAAE2CA"/>
        <bgColor indexed="64"/>
      </patternFill>
    </fill>
    <fill>
      <patternFill patternType="solid">
        <fgColor rgb="FFFFFF00"/>
        <bgColor indexed="64"/>
      </patternFill>
    </fill>
    <fill>
      <patternFill patternType="solid">
        <fgColor rgb="FFDDDDDD"/>
        <bgColor indexed="64"/>
      </patternFill>
    </fill>
    <fill>
      <patternFill patternType="solid">
        <fgColor theme="2"/>
        <bgColor indexed="64"/>
      </patternFill>
    </fill>
    <fill>
      <patternFill patternType="solid">
        <fgColor rgb="FF92D050"/>
        <bgColor indexed="64"/>
      </patternFill>
    </fill>
    <fill>
      <patternFill patternType="solid">
        <fgColor rgb="FF00B0F0"/>
        <bgColor indexed="64"/>
      </patternFill>
    </fill>
  </fills>
  <borders count="77">
    <border>
      <left/>
      <right/>
      <top/>
      <bottom/>
      <diagonal/>
    </border>
    <border>
      <left style="double">
        <color indexed="64"/>
      </left>
      <right/>
      <top style="double">
        <color indexed="64"/>
      </top>
      <bottom/>
      <diagonal/>
    </border>
    <border>
      <left style="double">
        <color indexed="64"/>
      </left>
      <right/>
      <top/>
      <bottom/>
      <diagonal/>
    </border>
    <border>
      <left style="medium">
        <color indexed="64"/>
      </left>
      <right/>
      <top style="double">
        <color indexed="64"/>
      </top>
      <bottom/>
      <diagonal/>
    </border>
    <border>
      <left style="medium">
        <color indexed="64"/>
      </left>
      <right/>
      <top/>
      <bottom/>
      <diagonal/>
    </border>
    <border>
      <left style="medium">
        <color indexed="64"/>
      </left>
      <right style="double">
        <color indexed="64"/>
      </right>
      <top style="double">
        <color indexed="64"/>
      </top>
      <bottom/>
      <diagonal/>
    </border>
    <border>
      <left style="medium">
        <color indexed="64"/>
      </left>
      <right style="double">
        <color indexed="64"/>
      </right>
      <top/>
      <bottom/>
      <diagonal/>
    </border>
    <border>
      <left style="double">
        <color indexed="64"/>
      </left>
      <right/>
      <top style="medium">
        <color indexed="64"/>
      </top>
      <bottom/>
      <diagonal/>
    </border>
    <border>
      <left style="medium">
        <color indexed="64"/>
      </left>
      <right/>
      <top style="medium">
        <color indexed="64"/>
      </top>
      <bottom/>
      <diagonal/>
    </border>
    <border>
      <left style="medium">
        <color indexed="64"/>
      </left>
      <right style="double">
        <color indexed="64"/>
      </right>
      <top style="medium">
        <color indexed="64"/>
      </top>
      <bottom/>
      <diagonal/>
    </border>
    <border>
      <left style="double">
        <color indexed="64"/>
      </left>
      <right style="medium">
        <color indexed="64"/>
      </right>
      <top style="medium">
        <color indexed="64"/>
      </top>
      <bottom/>
      <diagonal/>
    </border>
    <border>
      <left style="double">
        <color indexed="64"/>
      </left>
      <right style="medium">
        <color indexed="64"/>
      </right>
      <top/>
      <bottom/>
      <diagonal/>
    </border>
    <border>
      <left style="double">
        <color indexed="64"/>
      </left>
      <right style="medium">
        <color indexed="64"/>
      </right>
      <top/>
      <bottom style="double">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double">
        <color indexed="64"/>
      </bottom>
      <diagonal/>
    </border>
    <border>
      <left/>
      <right style="double">
        <color indexed="64"/>
      </right>
      <top style="medium">
        <color indexed="64"/>
      </top>
      <bottom/>
      <diagonal/>
    </border>
    <border>
      <left/>
      <right style="double">
        <color indexed="64"/>
      </right>
      <top/>
      <bottom/>
      <diagonal/>
    </border>
    <border>
      <left/>
      <right style="double">
        <color indexed="64"/>
      </right>
      <top/>
      <bottom style="double">
        <color indexed="64"/>
      </bottom>
      <diagonal/>
    </border>
    <border>
      <left style="double">
        <color indexed="64"/>
      </left>
      <right style="medium">
        <color indexed="64"/>
      </right>
      <top style="double">
        <color indexed="64"/>
      </top>
      <bottom/>
      <diagonal/>
    </border>
    <border>
      <left style="double">
        <color indexed="64"/>
      </left>
      <right style="medium">
        <color indexed="64"/>
      </right>
      <top/>
      <bottom style="medium">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double">
        <color indexed="64"/>
      </left>
      <right/>
      <top style="medium">
        <color indexed="64"/>
      </top>
      <bottom style="double">
        <color indexed="64"/>
      </bottom>
      <diagonal/>
    </border>
    <border>
      <left style="medium">
        <color indexed="64"/>
      </left>
      <right/>
      <top style="medium">
        <color indexed="64"/>
      </top>
      <bottom style="double">
        <color indexed="64"/>
      </bottom>
      <diagonal/>
    </border>
    <border>
      <left style="medium">
        <color indexed="64"/>
      </left>
      <right style="double">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medium">
        <color indexed="64"/>
      </bottom>
      <diagonal/>
    </border>
    <border>
      <left style="medium">
        <color indexed="64"/>
      </left>
      <right/>
      <top style="double">
        <color indexed="64"/>
      </top>
      <bottom style="medium">
        <color indexed="64"/>
      </bottom>
      <diagonal/>
    </border>
    <border>
      <left style="medium">
        <color indexed="64"/>
      </left>
      <right style="double">
        <color indexed="64"/>
      </right>
      <top style="double">
        <color indexed="64"/>
      </top>
      <bottom style="medium">
        <color indexed="64"/>
      </bottom>
      <diagonal/>
    </border>
    <border>
      <left style="double">
        <color indexed="64"/>
      </left>
      <right/>
      <top/>
      <bottom style="double">
        <color indexed="64"/>
      </bottom>
      <diagonal/>
    </border>
    <border>
      <left style="medium">
        <color indexed="64"/>
      </left>
      <right/>
      <top/>
      <bottom style="double">
        <color indexed="64"/>
      </bottom>
      <diagonal/>
    </border>
    <border>
      <left style="medium">
        <color indexed="64"/>
      </left>
      <right style="double">
        <color indexed="64"/>
      </right>
      <top/>
      <bottom style="double">
        <color indexed="64"/>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bottom style="double">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indexed="64"/>
      </left>
      <right style="thin">
        <color indexed="64"/>
      </right>
      <top style="thin">
        <color indexed="64"/>
      </top>
      <bottom/>
      <diagonal/>
    </border>
    <border>
      <left/>
      <right style="thick">
        <color auto="1"/>
      </right>
      <top/>
      <bottom style="thick">
        <color auto="1"/>
      </bottom>
      <diagonal/>
    </border>
    <border>
      <left/>
      <right style="thick">
        <color auto="1"/>
      </right>
      <top/>
      <bottom/>
      <diagonal/>
    </border>
    <border>
      <left/>
      <right style="thick">
        <color indexed="64"/>
      </right>
      <top style="thick">
        <color indexed="64"/>
      </top>
      <bottom/>
      <diagonal/>
    </border>
    <border>
      <left/>
      <right style="thick">
        <color auto="1"/>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indexed="64"/>
      </left>
      <right/>
      <top/>
      <bottom style="thin">
        <color indexed="64"/>
      </bottom>
      <diagonal/>
    </border>
  </borders>
  <cellStyleXfs count="5">
    <xf numFmtId="0" fontId="0" fillId="0" borderId="0"/>
    <xf numFmtId="16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8" fillId="0" borderId="0" applyNumberFormat="0" applyFill="0" applyBorder="0" applyAlignment="0" applyProtection="0">
      <alignment vertical="top"/>
      <protection locked="0"/>
    </xf>
  </cellStyleXfs>
  <cellXfs count="301">
    <xf numFmtId="0" fontId="0" fillId="0" borderId="0" xfId="0"/>
    <xf numFmtId="0" fontId="3" fillId="2" borderId="1" xfId="0" applyFont="1" applyFill="1" applyBorder="1" applyAlignment="1">
      <alignment horizontal="center" vertical="top" wrapText="1"/>
    </xf>
    <xf numFmtId="0" fontId="3" fillId="2" borderId="3" xfId="0" applyFont="1" applyFill="1" applyBorder="1" applyAlignment="1">
      <alignment horizontal="center" vertical="top" wrapText="1"/>
    </xf>
    <xf numFmtId="0" fontId="0" fillId="2" borderId="4" xfId="0" applyFill="1" applyBorder="1" applyAlignment="1">
      <alignment vertical="top"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0" borderId="8" xfId="0" applyFont="1" applyBorder="1" applyAlignment="1">
      <alignment horizontal="center" vertical="top" wrapText="1"/>
    </xf>
    <xf numFmtId="0" fontId="3" fillId="0" borderId="4" xfId="0" applyFont="1" applyBorder="1" applyAlignment="1">
      <alignment horizontal="center" vertical="top" wrapText="1"/>
    </xf>
    <xf numFmtId="0" fontId="0" fillId="0" borderId="4" xfId="0" applyBorder="1" applyAlignment="1">
      <alignment vertical="top" wrapText="1"/>
    </xf>
    <xf numFmtId="9" fontId="0" fillId="0" borderId="0" xfId="0" applyNumberFormat="1"/>
    <xf numFmtId="9" fontId="3" fillId="0" borderId="8" xfId="0" applyNumberFormat="1" applyFont="1" applyBorder="1" applyAlignment="1">
      <alignment horizontal="center" vertical="top" wrapText="1"/>
    </xf>
    <xf numFmtId="9" fontId="3" fillId="0" borderId="4" xfId="0" applyNumberFormat="1" applyFont="1" applyBorder="1" applyAlignment="1">
      <alignment horizontal="center" vertical="top" wrapText="1"/>
    </xf>
    <xf numFmtId="0" fontId="3" fillId="0" borderId="8" xfId="0" applyFont="1" applyBorder="1" applyAlignment="1">
      <alignment horizontal="right" vertical="top" wrapText="1"/>
    </xf>
    <xf numFmtId="0" fontId="3" fillId="0" borderId="4" xfId="0" applyFont="1" applyBorder="1" applyAlignment="1">
      <alignment horizontal="right" vertical="top" wrapText="1"/>
    </xf>
    <xf numFmtId="0" fontId="4" fillId="0" borderId="4" xfId="0" applyFont="1" applyBorder="1" applyAlignment="1">
      <alignment horizontal="right" vertical="top" wrapText="1"/>
    </xf>
    <xf numFmtId="0" fontId="5" fillId="0" borderId="4" xfId="0" applyFont="1" applyBorder="1" applyAlignment="1">
      <alignment horizontal="right" vertical="top" wrapText="1"/>
    </xf>
    <xf numFmtId="6" fontId="0" fillId="0" borderId="0" xfId="0" applyNumberFormat="1"/>
    <xf numFmtId="0" fontId="3" fillId="0" borderId="9" xfId="0" applyFont="1" applyBorder="1" applyAlignment="1">
      <alignment horizontal="right" vertical="top" wrapText="1"/>
    </xf>
    <xf numFmtId="0" fontId="3" fillId="0" borderId="6" xfId="0" applyFont="1" applyBorder="1" applyAlignment="1">
      <alignment horizontal="right" vertical="top" wrapText="1"/>
    </xf>
    <xf numFmtId="0" fontId="4" fillId="0" borderId="6" xfId="0" applyFont="1" applyBorder="1" applyAlignment="1">
      <alignment horizontal="right" vertical="top" wrapText="1"/>
    </xf>
    <xf numFmtId="6" fontId="5" fillId="0" borderId="6" xfId="0" applyNumberFormat="1" applyFont="1" applyBorder="1" applyAlignment="1">
      <alignment horizontal="right" vertical="top" wrapText="1"/>
    </xf>
    <xf numFmtId="0" fontId="5" fillId="0" borderId="6" xfId="0" applyFont="1" applyBorder="1" applyAlignment="1">
      <alignment horizontal="right" vertical="top" wrapText="1"/>
    </xf>
    <xf numFmtId="0" fontId="3" fillId="0" borderId="13" xfId="0" applyFont="1" applyBorder="1" applyAlignment="1">
      <alignment horizontal="center" vertical="top" wrapText="1"/>
    </xf>
    <xf numFmtId="0" fontId="3" fillId="0" borderId="14" xfId="0" applyFont="1" applyBorder="1" applyAlignment="1">
      <alignment horizontal="center" vertical="top" wrapText="1"/>
    </xf>
    <xf numFmtId="0" fontId="0" fillId="0" borderId="15" xfId="0" applyBorder="1" applyAlignment="1">
      <alignment vertical="top" wrapText="1"/>
    </xf>
    <xf numFmtId="9" fontId="3" fillId="0" borderId="13" xfId="0" applyNumberFormat="1" applyFont="1" applyBorder="1" applyAlignment="1">
      <alignment horizontal="center" vertical="top" wrapText="1"/>
    </xf>
    <xf numFmtId="9" fontId="3" fillId="0" borderId="14" xfId="0" applyNumberFormat="1" applyFont="1" applyBorder="1" applyAlignment="1">
      <alignment horizontal="center" vertical="top" wrapText="1"/>
    </xf>
    <xf numFmtId="0" fontId="3" fillId="0" borderId="13" xfId="0" applyFont="1" applyBorder="1" applyAlignment="1">
      <alignment horizontal="right" vertical="top" wrapText="1"/>
    </xf>
    <xf numFmtId="0" fontId="3" fillId="0" borderId="14" xfId="0" applyFont="1" applyBorder="1" applyAlignment="1">
      <alignment horizontal="right" vertical="top" wrapText="1"/>
    </xf>
    <xf numFmtId="0" fontId="4" fillId="0" borderId="14" xfId="0" applyFont="1" applyBorder="1" applyAlignment="1">
      <alignment horizontal="right" vertical="top" wrapText="1"/>
    </xf>
    <xf numFmtId="0" fontId="5" fillId="0" borderId="15" xfId="0" applyFont="1" applyBorder="1" applyAlignment="1">
      <alignment horizontal="right" vertical="top" wrapText="1"/>
    </xf>
    <xf numFmtId="0" fontId="3" fillId="0" borderId="16" xfId="0" applyFont="1" applyBorder="1" applyAlignment="1">
      <alignment horizontal="right" vertical="top" wrapText="1"/>
    </xf>
    <xf numFmtId="0" fontId="3" fillId="0" borderId="17" xfId="0" applyFont="1" applyBorder="1" applyAlignment="1">
      <alignment horizontal="right" vertical="top" wrapText="1"/>
    </xf>
    <xf numFmtId="0" fontId="4" fillId="0" borderId="17" xfId="0" applyFont="1" applyBorder="1" applyAlignment="1">
      <alignment horizontal="right" vertical="top" wrapText="1"/>
    </xf>
    <xf numFmtId="0" fontId="5" fillId="0" borderId="18" xfId="0" applyFont="1" applyBorder="1" applyAlignment="1">
      <alignment horizontal="right" vertical="top" wrapText="1"/>
    </xf>
    <xf numFmtId="0" fontId="6" fillId="0" borderId="0" xfId="0" applyFont="1" applyAlignment="1">
      <alignment horizontal="center"/>
    </xf>
    <xf numFmtId="0" fontId="6" fillId="0" borderId="0" xfId="0" applyFont="1" applyAlignment="1">
      <alignment horizontal="left"/>
    </xf>
    <xf numFmtId="0" fontId="5" fillId="4" borderId="27" xfId="0" applyFont="1" applyFill="1" applyBorder="1" applyAlignment="1">
      <alignment horizontal="center" vertical="top" wrapText="1"/>
    </xf>
    <xf numFmtId="0" fontId="5" fillId="0" borderId="22" xfId="0" applyFont="1" applyBorder="1" applyAlignment="1">
      <alignment horizontal="justify" vertical="top" wrapText="1"/>
    </xf>
    <xf numFmtId="0" fontId="5" fillId="0" borderId="23" xfId="0" applyFont="1" applyBorder="1" applyAlignment="1">
      <alignment horizontal="justify" vertical="top" wrapText="1"/>
    </xf>
    <xf numFmtId="0" fontId="4" fillId="0" borderId="14" xfId="0" applyFont="1" applyBorder="1" applyAlignment="1">
      <alignment horizontal="center" vertical="top" wrapText="1"/>
    </xf>
    <xf numFmtId="0" fontId="3" fillId="0" borderId="27" xfId="0" applyFont="1" applyBorder="1" applyAlignment="1">
      <alignment horizontal="center" vertical="top" wrapText="1"/>
    </xf>
    <xf numFmtId="0" fontId="5" fillId="0" borderId="0" xfId="0" applyFont="1" applyAlignment="1">
      <alignment horizontal="left"/>
    </xf>
    <xf numFmtId="0" fontId="3" fillId="2" borderId="2" xfId="0" applyFont="1" applyFill="1" applyBorder="1" applyAlignment="1">
      <alignment horizontal="center" vertical="top" wrapText="1"/>
    </xf>
    <xf numFmtId="0" fontId="3" fillId="0" borderId="1" xfId="0" applyFont="1" applyBorder="1" applyAlignment="1">
      <alignment vertical="top" wrapText="1"/>
    </xf>
    <xf numFmtId="0" fontId="3" fillId="0" borderId="3" xfId="0" applyFont="1" applyBorder="1" applyAlignment="1">
      <alignment horizontal="center" vertical="top" wrapText="1"/>
    </xf>
    <xf numFmtId="6" fontId="3" fillId="0" borderId="5" xfId="0" applyNumberFormat="1" applyFont="1" applyBorder="1" applyAlignment="1">
      <alignment horizontal="right" vertical="top" wrapText="1"/>
    </xf>
    <xf numFmtId="0" fontId="3" fillId="0" borderId="7" xfId="0" applyFont="1" applyBorder="1" applyAlignment="1">
      <alignment vertical="top" wrapText="1"/>
    </xf>
    <xf numFmtId="6" fontId="3" fillId="0" borderId="9" xfId="0" applyNumberFormat="1" applyFont="1" applyBorder="1" applyAlignment="1">
      <alignment horizontal="right" vertical="top" wrapText="1"/>
    </xf>
    <xf numFmtId="6" fontId="7" fillId="0" borderId="9" xfId="0" applyNumberFormat="1" applyFont="1" applyBorder="1" applyAlignment="1">
      <alignment horizontal="right" vertical="top" wrapText="1"/>
    </xf>
    <xf numFmtId="0" fontId="3" fillId="0" borderId="29" xfId="0" applyFont="1" applyBorder="1" applyAlignment="1">
      <alignment vertical="top" wrapText="1"/>
    </xf>
    <xf numFmtId="0" fontId="3" fillId="0" borderId="30" xfId="0" applyFont="1" applyBorder="1" applyAlignment="1">
      <alignment horizontal="center" vertical="top" wrapText="1"/>
    </xf>
    <xf numFmtId="6" fontId="5" fillId="0" borderId="31" xfId="0" applyNumberFormat="1" applyFont="1" applyBorder="1" applyAlignment="1">
      <alignment horizontal="right" vertical="top" wrapText="1"/>
    </xf>
    <xf numFmtId="0" fontId="5" fillId="0" borderId="0" xfId="0" applyFont="1" applyBorder="1" applyAlignment="1">
      <alignment horizontal="justify" vertical="top" wrapText="1"/>
    </xf>
    <xf numFmtId="0" fontId="3" fillId="0" borderId="0" xfId="0" applyFont="1" applyBorder="1" applyAlignment="1">
      <alignment horizontal="center" vertical="top" wrapText="1"/>
    </xf>
    <xf numFmtId="0" fontId="3" fillId="2" borderId="1" xfId="0" applyFont="1" applyFill="1" applyBorder="1" applyAlignment="1">
      <alignment vertical="top" wrapText="1"/>
    </xf>
    <xf numFmtId="0" fontId="3" fillId="0" borderId="32" xfId="0" applyFont="1" applyBorder="1" applyAlignment="1">
      <alignment vertical="top" wrapText="1"/>
    </xf>
    <xf numFmtId="6" fontId="3" fillId="0" borderId="32" xfId="0" applyNumberFormat="1" applyFont="1" applyBorder="1" applyAlignment="1">
      <alignment vertical="top" wrapText="1"/>
    </xf>
    <xf numFmtId="6" fontId="0" fillId="0" borderId="32" xfId="0" applyNumberFormat="1" applyBorder="1"/>
    <xf numFmtId="0" fontId="3" fillId="2" borderId="33" xfId="0" applyFont="1" applyFill="1" applyBorder="1" applyAlignment="1">
      <alignment vertical="top" wrapText="1"/>
    </xf>
    <xf numFmtId="0" fontId="5" fillId="2" borderId="34" xfId="0" applyFont="1" applyFill="1" applyBorder="1" applyAlignment="1">
      <alignment horizontal="center" vertical="top" wrapText="1"/>
    </xf>
    <xf numFmtId="0" fontId="5" fillId="2" borderId="35" xfId="0" applyFont="1" applyFill="1" applyBorder="1" applyAlignment="1">
      <alignment horizontal="center" vertical="top" wrapText="1"/>
    </xf>
    <xf numFmtId="0" fontId="0" fillId="0" borderId="2" xfId="0" applyBorder="1" applyAlignment="1">
      <alignment vertical="top" wrapText="1"/>
    </xf>
    <xf numFmtId="0" fontId="3" fillId="0" borderId="2" xfId="0" applyFont="1" applyBorder="1" applyAlignment="1">
      <alignment vertical="top" wrapText="1"/>
    </xf>
    <xf numFmtId="0" fontId="5" fillId="0" borderId="7" xfId="0" applyFont="1" applyBorder="1" applyAlignment="1">
      <alignment vertical="top" wrapText="1"/>
    </xf>
    <xf numFmtId="0" fontId="3" fillId="0" borderId="2" xfId="0" applyFont="1" applyBorder="1" applyAlignment="1">
      <alignment horizontal="left" vertical="top" wrapText="1" indent="2"/>
    </xf>
    <xf numFmtId="0" fontId="3" fillId="0" borderId="30" xfId="0" applyFont="1" applyBorder="1" applyAlignment="1">
      <alignment horizontal="right" vertical="top" wrapText="1"/>
    </xf>
    <xf numFmtId="0" fontId="3" fillId="0" borderId="31" xfId="0" applyFont="1" applyBorder="1" applyAlignment="1">
      <alignment horizontal="right" vertical="top" wrapText="1"/>
    </xf>
    <xf numFmtId="0" fontId="5" fillId="2" borderId="3" xfId="0" applyFont="1" applyFill="1" applyBorder="1" applyAlignment="1">
      <alignment horizontal="center" vertical="top" wrapText="1"/>
    </xf>
    <xf numFmtId="0" fontId="5" fillId="2" borderId="5" xfId="0" applyFont="1" applyFill="1" applyBorder="1" applyAlignment="1">
      <alignment horizontal="center" vertical="top" wrapText="1"/>
    </xf>
    <xf numFmtId="0" fontId="3" fillId="0" borderId="36" xfId="0" applyFont="1" applyBorder="1" applyAlignment="1">
      <alignment horizontal="left" vertical="top" wrapText="1" indent="2"/>
    </xf>
    <xf numFmtId="0" fontId="3" fillId="0" borderId="37" xfId="0" applyFont="1" applyBorder="1" applyAlignment="1">
      <alignment horizontal="right" vertical="top" wrapText="1"/>
    </xf>
    <xf numFmtId="0" fontId="3" fillId="0" borderId="38" xfId="0" applyFont="1" applyBorder="1" applyAlignment="1">
      <alignment horizontal="right" vertical="top" wrapText="1"/>
    </xf>
    <xf numFmtId="0" fontId="2" fillId="0" borderId="0" xfId="0" applyFont="1"/>
    <xf numFmtId="0" fontId="8" fillId="0" borderId="0" xfId="0" applyFont="1"/>
    <xf numFmtId="0" fontId="4" fillId="0" borderId="8" xfId="0" applyFont="1" applyBorder="1" applyAlignment="1">
      <alignment horizontal="right" vertical="top" wrapText="1"/>
    </xf>
    <xf numFmtId="0" fontId="4" fillId="0" borderId="9" xfId="0" applyFont="1" applyBorder="1" applyAlignment="1">
      <alignment horizontal="right" vertical="top" wrapText="1"/>
    </xf>
    <xf numFmtId="3" fontId="3" fillId="0" borderId="8" xfId="0" applyNumberFormat="1" applyFont="1" applyBorder="1" applyAlignment="1">
      <alignment horizontal="right" vertical="top" wrapText="1"/>
    </xf>
    <xf numFmtId="0" fontId="3" fillId="0" borderId="39" xfId="0" applyFont="1" applyBorder="1" applyAlignment="1">
      <alignment horizontal="center" vertical="top" wrapText="1"/>
    </xf>
    <xf numFmtId="0" fontId="5" fillId="2" borderId="1"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2" borderId="4" xfId="0" applyFont="1" applyFill="1" applyBorder="1" applyAlignment="1">
      <alignment horizontal="center" vertical="top" wrapText="1"/>
    </xf>
    <xf numFmtId="0" fontId="5" fillId="2" borderId="6" xfId="0" applyFont="1" applyFill="1" applyBorder="1" applyAlignment="1">
      <alignment horizontal="center" vertical="top" wrapText="1"/>
    </xf>
    <xf numFmtId="0" fontId="3" fillId="0" borderId="7" xfId="0" applyFont="1" applyBorder="1" applyAlignment="1">
      <alignment wrapText="1"/>
    </xf>
    <xf numFmtId="0" fontId="3" fillId="0" borderId="8" xfId="0" applyFont="1" applyBorder="1" applyAlignment="1">
      <alignment horizontal="right" wrapText="1"/>
    </xf>
    <xf numFmtId="0" fontId="3" fillId="0" borderId="9" xfId="0" applyFont="1" applyBorder="1" applyAlignment="1">
      <alignment horizontal="center" wrapText="1"/>
    </xf>
    <xf numFmtId="0" fontId="7" fillId="0" borderId="38" xfId="0" applyFont="1" applyBorder="1" applyAlignment="1">
      <alignment horizontal="right" vertical="top" wrapText="1"/>
    </xf>
    <xf numFmtId="0" fontId="11" fillId="5" borderId="43" xfId="0" applyFont="1" applyFill="1" applyBorder="1" applyAlignment="1">
      <alignment vertical="top" wrapText="1"/>
    </xf>
    <xf numFmtId="0" fontId="11" fillId="5" borderId="43" xfId="0" applyFont="1" applyFill="1" applyBorder="1" applyAlignment="1">
      <alignment horizontal="center" vertical="top" wrapText="1" readingOrder="1"/>
    </xf>
    <xf numFmtId="0" fontId="12" fillId="6" borderId="44" xfId="0" applyFont="1" applyFill="1" applyBorder="1" applyAlignment="1">
      <alignment horizontal="left" vertical="top" wrapText="1" readingOrder="1"/>
    </xf>
    <xf numFmtId="0" fontId="12" fillId="6" borderId="44" xfId="0" applyFont="1" applyFill="1" applyBorder="1" applyAlignment="1">
      <alignment horizontal="center" vertical="center" wrapText="1" readingOrder="1"/>
    </xf>
    <xf numFmtId="0" fontId="12" fillId="6" borderId="44" xfId="0" applyFont="1" applyFill="1" applyBorder="1" applyAlignment="1">
      <alignment horizontal="center" vertical="center" wrapText="1"/>
    </xf>
    <xf numFmtId="0" fontId="12" fillId="7" borderId="45" xfId="0" applyFont="1" applyFill="1" applyBorder="1" applyAlignment="1">
      <alignment horizontal="left" vertical="top" wrapText="1" readingOrder="1"/>
    </xf>
    <xf numFmtId="6" fontId="12" fillId="7" borderId="45" xfId="0" applyNumberFormat="1" applyFont="1" applyFill="1" applyBorder="1" applyAlignment="1">
      <alignment horizontal="center" vertical="center" wrapText="1" readingOrder="1"/>
    </xf>
    <xf numFmtId="0" fontId="12" fillId="7" borderId="45" xfId="0" applyFont="1" applyFill="1" applyBorder="1" applyAlignment="1">
      <alignment horizontal="center" vertical="center" wrapText="1"/>
    </xf>
    <xf numFmtId="0" fontId="11" fillId="8" borderId="45" xfId="0" applyFont="1" applyFill="1" applyBorder="1" applyAlignment="1">
      <alignment horizontal="left" vertical="top" wrapText="1" readingOrder="1"/>
    </xf>
    <xf numFmtId="6" fontId="11" fillId="8" borderId="45" xfId="0" applyNumberFormat="1" applyFont="1" applyFill="1" applyBorder="1" applyAlignment="1">
      <alignment horizontal="center" vertical="center" wrapText="1" readingOrder="1"/>
    </xf>
    <xf numFmtId="0" fontId="12" fillId="6" borderId="45" xfId="0" applyFont="1" applyFill="1" applyBorder="1" applyAlignment="1">
      <alignment horizontal="left" vertical="top" wrapText="1" readingOrder="1"/>
    </xf>
    <xf numFmtId="6" fontId="12" fillId="6" borderId="45" xfId="0" applyNumberFormat="1" applyFont="1" applyFill="1" applyBorder="1" applyAlignment="1">
      <alignment horizontal="center" vertical="center" wrapText="1" readingOrder="1"/>
    </xf>
    <xf numFmtId="3" fontId="12" fillId="7" borderId="45" xfId="0" applyNumberFormat="1" applyFont="1" applyFill="1" applyBorder="1" applyAlignment="1">
      <alignment horizontal="center" vertical="center" wrapText="1" readingOrder="1"/>
    </xf>
    <xf numFmtId="0" fontId="12" fillId="9" borderId="45" xfId="0" applyFont="1" applyFill="1" applyBorder="1" applyAlignment="1">
      <alignment horizontal="left" vertical="top" wrapText="1" readingOrder="1"/>
    </xf>
    <xf numFmtId="10" fontId="12" fillId="9" borderId="45" xfId="0" applyNumberFormat="1" applyFont="1" applyFill="1" applyBorder="1" applyAlignment="1">
      <alignment horizontal="center" vertical="center" wrapText="1" readingOrder="1"/>
    </xf>
    <xf numFmtId="0" fontId="12" fillId="10" borderId="45" xfId="0" applyFont="1" applyFill="1" applyBorder="1" applyAlignment="1">
      <alignment horizontal="left" vertical="top" wrapText="1" readingOrder="1"/>
    </xf>
    <xf numFmtId="6" fontId="12" fillId="10" borderId="45" xfId="0" applyNumberFormat="1" applyFont="1" applyFill="1" applyBorder="1" applyAlignment="1">
      <alignment horizontal="center" vertical="center" wrapText="1" readingOrder="1"/>
    </xf>
    <xf numFmtId="0" fontId="12" fillId="11" borderId="45" xfId="0" applyFont="1" applyFill="1" applyBorder="1" applyAlignment="1">
      <alignment horizontal="left" vertical="top" wrapText="1" readingOrder="1"/>
    </xf>
    <xf numFmtId="6" fontId="12" fillId="11" borderId="45" xfId="0" applyNumberFormat="1" applyFont="1" applyFill="1" applyBorder="1" applyAlignment="1">
      <alignment horizontal="center" vertical="center" wrapText="1" readingOrder="1"/>
    </xf>
    <xf numFmtId="0" fontId="12" fillId="11" borderId="45" xfId="0" applyFont="1" applyFill="1" applyBorder="1" applyAlignment="1">
      <alignment horizontal="center" vertical="center" wrapText="1"/>
    </xf>
    <xf numFmtId="0" fontId="11" fillId="8" borderId="45" xfId="0" applyFont="1" applyFill="1" applyBorder="1" applyAlignment="1">
      <alignment horizontal="center" vertical="center" wrapText="1"/>
    </xf>
    <xf numFmtId="6" fontId="13" fillId="8" borderId="45" xfId="0" applyNumberFormat="1" applyFont="1" applyFill="1" applyBorder="1" applyAlignment="1">
      <alignment horizontal="center" vertical="center" wrapText="1" readingOrder="1"/>
    </xf>
    <xf numFmtId="10" fontId="0" fillId="0" borderId="0" xfId="3" applyNumberFormat="1" applyFont="1"/>
    <xf numFmtId="6" fontId="12" fillId="6" borderId="44" xfId="0" applyNumberFormat="1" applyFont="1" applyFill="1" applyBorder="1" applyAlignment="1">
      <alignment horizontal="center" vertical="center" wrapText="1" readingOrder="1"/>
    </xf>
    <xf numFmtId="166" fontId="0" fillId="0" borderId="0" xfId="0" applyNumberFormat="1"/>
    <xf numFmtId="8" fontId="0" fillId="0" borderId="0" xfId="0" applyNumberFormat="1"/>
    <xf numFmtId="0" fontId="3" fillId="0" borderId="39" xfId="0" applyFont="1" applyBorder="1" applyAlignment="1">
      <alignment vertical="top" wrapText="1"/>
    </xf>
    <xf numFmtId="0" fontId="3" fillId="0" borderId="39" xfId="0" applyFont="1" applyBorder="1" applyAlignment="1">
      <alignment horizontal="right" vertical="top" wrapText="1"/>
    </xf>
    <xf numFmtId="0" fontId="3" fillId="0" borderId="23" xfId="0" applyFont="1" applyBorder="1" applyAlignment="1">
      <alignment horizontal="right" vertical="top" wrapText="1"/>
    </xf>
    <xf numFmtId="0" fontId="5" fillId="0" borderId="22" xfId="0" applyFont="1" applyBorder="1" applyAlignment="1">
      <alignment horizontal="left" vertical="top" wrapText="1"/>
    </xf>
    <xf numFmtId="9" fontId="5" fillId="0" borderId="0" xfId="3" applyFont="1" applyFill="1" applyBorder="1" applyAlignment="1">
      <alignment horizontal="center" vertical="top" wrapText="1"/>
    </xf>
    <xf numFmtId="0" fontId="3" fillId="0" borderId="4" xfId="0" applyFont="1" applyBorder="1" applyAlignment="1">
      <alignment vertical="top" wrapText="1"/>
    </xf>
    <xf numFmtId="168" fontId="3" fillId="0" borderId="4" xfId="0" applyNumberFormat="1" applyFont="1" applyBorder="1" applyAlignment="1">
      <alignment horizontal="right" vertical="top" wrapText="1"/>
    </xf>
    <xf numFmtId="168" fontId="3" fillId="0" borderId="4" xfId="0" applyNumberFormat="1" applyFont="1" applyBorder="1" applyAlignment="1">
      <alignment horizontal="center" vertical="top" wrapText="1"/>
    </xf>
    <xf numFmtId="168" fontId="3" fillId="0" borderId="22" xfId="0" applyNumberFormat="1" applyFont="1" applyBorder="1" applyAlignment="1">
      <alignment horizontal="center" vertical="top" wrapText="1"/>
    </xf>
    <xf numFmtId="168" fontId="3" fillId="0" borderId="39" xfId="0" applyNumberFormat="1" applyFont="1" applyBorder="1" applyAlignment="1">
      <alignment horizontal="right" vertical="top" wrapText="1"/>
    </xf>
    <xf numFmtId="0" fontId="3" fillId="13" borderId="8" xfId="0" applyFont="1" applyFill="1" applyBorder="1" applyAlignment="1">
      <alignment horizontal="center" vertical="top" wrapText="1"/>
    </xf>
    <xf numFmtId="0" fontId="3" fillId="13" borderId="39" xfId="0" applyFont="1" applyFill="1" applyBorder="1" applyAlignment="1">
      <alignment horizontal="center" vertical="top" wrapText="1"/>
    </xf>
    <xf numFmtId="0" fontId="0" fillId="0" borderId="32" xfId="0" applyBorder="1"/>
    <xf numFmtId="169" fontId="2" fillId="0" borderId="0" xfId="1" applyNumberFormat="1" applyFont="1"/>
    <xf numFmtId="169" fontId="2" fillId="0" borderId="0" xfId="0" applyNumberFormat="1" applyFont="1"/>
    <xf numFmtId="10" fontId="2" fillId="0" borderId="0" xfId="3" applyNumberFormat="1" applyFont="1"/>
    <xf numFmtId="165" fontId="2" fillId="0" borderId="0" xfId="2" applyNumberFormat="1" applyFont="1"/>
    <xf numFmtId="9" fontId="0" fillId="0" borderId="0" xfId="3" applyFont="1"/>
    <xf numFmtId="164" fontId="0" fillId="0" borderId="0" xfId="1" applyFont="1"/>
    <xf numFmtId="0" fontId="3" fillId="0" borderId="0" xfId="0" applyFont="1" applyBorder="1" applyAlignment="1">
      <alignment horizontal="right" vertical="top" wrapText="1"/>
    </xf>
    <xf numFmtId="169" fontId="3" fillId="0" borderId="0" xfId="1" applyNumberFormat="1" applyFont="1" applyBorder="1" applyAlignment="1">
      <alignment horizontal="center" vertical="top" wrapText="1"/>
    </xf>
    <xf numFmtId="6" fontId="3" fillId="0" borderId="59" xfId="0" applyNumberFormat="1" applyFont="1" applyBorder="1" applyAlignment="1">
      <alignment horizontal="right" vertical="top" wrapText="1"/>
    </xf>
    <xf numFmtId="168" fontId="19" fillId="0" borderId="61" xfId="4" applyNumberFormat="1" applyFont="1" applyBorder="1" applyAlignment="1" applyProtection="1">
      <alignment horizontal="right" vertical="top" wrapText="1"/>
    </xf>
    <xf numFmtId="0" fontId="19" fillId="0" borderId="61" xfId="4" applyFont="1" applyBorder="1" applyAlignment="1" applyProtection="1">
      <alignment horizontal="right" vertical="top" wrapText="1"/>
    </xf>
    <xf numFmtId="0" fontId="19" fillId="0" borderId="62" xfId="4" applyFont="1" applyBorder="1" applyAlignment="1" applyProtection="1">
      <alignment horizontal="right" vertical="top" wrapText="1"/>
    </xf>
    <xf numFmtId="169" fontId="3" fillId="0" borderId="63" xfId="1" applyNumberFormat="1" applyFont="1" applyBorder="1" applyAlignment="1">
      <alignment horizontal="center" vertical="top" wrapText="1"/>
    </xf>
    <xf numFmtId="0" fontId="3" fillId="0" borderId="57" xfId="0" applyFont="1" applyBorder="1" applyAlignment="1">
      <alignment horizontal="left" vertical="top" wrapText="1"/>
    </xf>
    <xf numFmtId="6" fontId="3" fillId="0" borderId="63" xfId="0" applyNumberFormat="1" applyFont="1" applyBorder="1" applyAlignment="1">
      <alignment horizontal="right" vertical="top" wrapText="1"/>
    </xf>
    <xf numFmtId="6" fontId="3" fillId="0" borderId="64" xfId="0" applyNumberFormat="1" applyFont="1" applyBorder="1" applyAlignment="1">
      <alignment horizontal="right" vertical="top" wrapText="1"/>
    </xf>
    <xf numFmtId="0" fontId="3" fillId="0" borderId="65" xfId="0" applyFont="1" applyBorder="1" applyAlignment="1">
      <alignment horizontal="center" vertical="top" wrapText="1"/>
    </xf>
    <xf numFmtId="6" fontId="3" fillId="0" borderId="66" xfId="0" applyNumberFormat="1" applyFont="1" applyBorder="1" applyAlignment="1">
      <alignment horizontal="right" vertical="top" wrapText="1"/>
    </xf>
    <xf numFmtId="0" fontId="3" fillId="0" borderId="0" xfId="0" applyFont="1" applyBorder="1" applyAlignment="1">
      <alignment horizontal="left" vertical="top" wrapText="1" indent="2"/>
    </xf>
    <xf numFmtId="165" fontId="0" fillId="0" borderId="0" xfId="2" applyNumberFormat="1" applyFont="1"/>
    <xf numFmtId="0" fontId="5" fillId="14" borderId="23" xfId="0" applyFont="1" applyFill="1" applyBorder="1" applyAlignment="1">
      <alignment horizontal="left" vertical="top" wrapText="1"/>
    </xf>
    <xf numFmtId="0" fontId="3" fillId="14" borderId="27" xfId="0" applyFont="1" applyFill="1" applyBorder="1" applyAlignment="1">
      <alignment horizontal="center" vertical="top" wrapText="1"/>
    </xf>
    <xf numFmtId="0" fontId="2" fillId="0" borderId="70" xfId="0" applyFont="1" applyBorder="1"/>
    <xf numFmtId="0" fontId="24" fillId="0" borderId="0" xfId="0" applyFont="1"/>
    <xf numFmtId="0" fontId="25" fillId="0" borderId="0" xfId="4" applyFont="1" applyAlignment="1" applyProtection="1">
      <alignment horizontal="center" vertical="center"/>
    </xf>
    <xf numFmtId="0" fontId="26" fillId="0" borderId="0" xfId="0" applyFont="1" applyAlignment="1">
      <alignment horizontal="justify" vertical="center"/>
    </xf>
    <xf numFmtId="0" fontId="26" fillId="0" borderId="0" xfId="0" applyFont="1"/>
    <xf numFmtId="0" fontId="27" fillId="5" borderId="43" xfId="0" applyFont="1" applyFill="1" applyBorder="1" applyAlignment="1">
      <alignment vertical="top" wrapText="1"/>
    </xf>
    <xf numFmtId="5" fontId="12" fillId="6" borderId="44" xfId="2" applyNumberFormat="1" applyFont="1" applyFill="1" applyBorder="1" applyAlignment="1">
      <alignment horizontal="left" vertical="top" wrapText="1" readingOrder="1"/>
    </xf>
    <xf numFmtId="165" fontId="12" fillId="6" borderId="44" xfId="2" applyNumberFormat="1" applyFont="1" applyFill="1" applyBorder="1" applyAlignment="1">
      <alignment horizontal="left" vertical="top" wrapText="1" readingOrder="1"/>
    </xf>
    <xf numFmtId="0" fontId="12" fillId="7" borderId="45" xfId="0" applyFont="1" applyFill="1" applyBorder="1" applyAlignment="1">
      <alignment horizontal="center" vertical="top" wrapText="1" readingOrder="1"/>
    </xf>
    <xf numFmtId="0" fontId="23" fillId="0" borderId="0" xfId="0" applyFont="1" applyAlignment="1">
      <alignment vertical="center"/>
    </xf>
    <xf numFmtId="16" fontId="24" fillId="0" borderId="0" xfId="0" applyNumberFormat="1" applyFont="1"/>
    <xf numFmtId="0" fontId="3" fillId="3" borderId="24" xfId="0" applyFont="1" applyFill="1" applyBorder="1" applyAlignment="1">
      <alignment vertical="top" wrapText="1"/>
    </xf>
    <xf numFmtId="0" fontId="3" fillId="2" borderId="4" xfId="0" applyFont="1" applyFill="1" applyBorder="1" applyAlignment="1">
      <alignment horizontal="center" vertical="top" wrapText="1"/>
    </xf>
    <xf numFmtId="0" fontId="0" fillId="0" borderId="0" xfId="0" applyAlignment="1">
      <alignment horizontal="left" indent="1"/>
    </xf>
    <xf numFmtId="0" fontId="0" fillId="0" borderId="0" xfId="0" applyAlignment="1">
      <alignment horizontal="left"/>
    </xf>
    <xf numFmtId="0" fontId="3" fillId="0" borderId="10" xfId="0" applyFont="1" applyBorder="1" applyAlignment="1">
      <alignment vertical="top" wrapText="1"/>
    </xf>
    <xf numFmtId="0" fontId="3" fillId="0" borderId="20" xfId="0" applyFont="1" applyBorder="1" applyAlignment="1">
      <alignment vertical="top" wrapText="1"/>
    </xf>
    <xf numFmtId="0" fontId="3" fillId="0" borderId="12" xfId="0" applyFont="1" applyBorder="1" applyAlignment="1">
      <alignment vertical="top" wrapText="1"/>
    </xf>
    <xf numFmtId="0" fontId="3" fillId="0" borderId="24" xfId="0" applyFont="1" applyBorder="1" applyAlignment="1">
      <alignment horizontal="right" vertical="top" wrapText="1"/>
    </xf>
    <xf numFmtId="0" fontId="3" fillId="0" borderId="42" xfId="0" applyFont="1" applyBorder="1" applyAlignment="1">
      <alignment horizontal="right" vertical="top" wrapText="1"/>
    </xf>
    <xf numFmtId="0" fontId="3" fillId="2" borderId="19" xfId="0"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20" xfId="0" applyFont="1" applyFill="1" applyBorder="1" applyAlignment="1">
      <alignment horizontal="center" vertical="top" wrapText="1"/>
    </xf>
    <xf numFmtId="0" fontId="3" fillId="2" borderId="21" xfId="0" applyFont="1" applyFill="1" applyBorder="1" applyAlignment="1">
      <alignment horizontal="center" vertical="top" wrapText="1"/>
    </xf>
    <xf numFmtId="0" fontId="3" fillId="2" borderId="22" xfId="0" applyFont="1" applyFill="1" applyBorder="1" applyAlignment="1">
      <alignment horizontal="center" vertical="top" wrapText="1"/>
    </xf>
    <xf numFmtId="0" fontId="3" fillId="2" borderId="23" xfId="0" applyFont="1" applyFill="1" applyBorder="1" applyAlignment="1">
      <alignment horizontal="center" vertical="top" wrapText="1"/>
    </xf>
    <xf numFmtId="0" fontId="3" fillId="0" borderId="10" xfId="0" applyFont="1" applyBorder="1" applyAlignment="1">
      <alignment horizontal="center" wrapText="1"/>
    </xf>
    <xf numFmtId="0" fontId="3" fillId="0" borderId="11" xfId="0" applyFont="1" applyBorder="1" applyAlignment="1">
      <alignment horizontal="center" wrapText="1"/>
    </xf>
    <xf numFmtId="0" fontId="3" fillId="0" borderId="20" xfId="0" applyFont="1" applyBorder="1" applyAlignment="1">
      <alignment horizontal="center"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20" xfId="0" applyFont="1" applyBorder="1" applyAlignment="1">
      <alignment horizontal="center" wrapText="1"/>
    </xf>
    <xf numFmtId="0" fontId="3" fillId="0" borderId="12" xfId="0" applyFont="1" applyBorder="1" applyAlignment="1">
      <alignment horizontal="center" wrapText="1"/>
    </xf>
    <xf numFmtId="0" fontId="3" fillId="3" borderId="24" xfId="0" applyFont="1" applyFill="1" applyBorder="1" applyAlignment="1">
      <alignment vertical="top" wrapText="1"/>
    </xf>
    <xf numFmtId="0" fontId="3" fillId="3" borderId="23" xfId="0" applyFont="1" applyFill="1" applyBorder="1" applyAlignment="1">
      <alignment vertical="top" wrapText="1"/>
    </xf>
    <xf numFmtId="0" fontId="3" fillId="3" borderId="28" xfId="0" applyFont="1" applyFill="1" applyBorder="1" applyAlignment="1">
      <alignment horizontal="center" vertical="top" wrapText="1"/>
    </xf>
    <xf numFmtId="0" fontId="3" fillId="3" borderId="26" xfId="0" applyFont="1" applyFill="1" applyBorder="1" applyAlignment="1">
      <alignment horizontal="center" vertical="top" wrapText="1"/>
    </xf>
    <xf numFmtId="0" fontId="3" fillId="3" borderId="25" xfId="0" applyFont="1" applyFill="1" applyBorder="1" applyAlignment="1">
      <alignment horizontal="center" vertical="top" wrapText="1"/>
    </xf>
    <xf numFmtId="0" fontId="3" fillId="13" borderId="24" xfId="0" applyFont="1" applyFill="1" applyBorder="1" applyAlignment="1">
      <alignment horizontal="center" vertical="top" wrapText="1"/>
    </xf>
    <xf numFmtId="0" fontId="3" fillId="13" borderId="23" xfId="0" applyFont="1" applyFill="1" applyBorder="1" applyAlignment="1">
      <alignment horizontal="center" vertical="top" wrapText="1"/>
    </xf>
    <xf numFmtId="0" fontId="2" fillId="0" borderId="0" xfId="0" applyFont="1" applyAlignment="1">
      <alignment horizontal="left"/>
    </xf>
    <xf numFmtId="0" fontId="5" fillId="0" borderId="6" xfId="0" applyFont="1" applyFill="1" applyBorder="1" applyAlignment="1">
      <alignment horizontal="right" vertical="top" wrapText="1"/>
    </xf>
    <xf numFmtId="0" fontId="3" fillId="0" borderId="0" xfId="0" applyFont="1" applyAlignment="1">
      <alignment horizontal="center" vertical="top" wrapText="1"/>
    </xf>
    <xf numFmtId="0" fontId="3" fillId="0" borderId="0" xfId="0" applyFont="1" applyAlignment="1">
      <alignment horizontal="left" vertical="top" wrapText="1" indent="2"/>
    </xf>
    <xf numFmtId="0" fontId="3" fillId="0" borderId="0" xfId="0" applyFont="1" applyAlignment="1">
      <alignment horizontal="right" vertical="top" wrapText="1"/>
    </xf>
    <xf numFmtId="0" fontId="3" fillId="2" borderId="76" xfId="0" applyFont="1" applyFill="1" applyBorder="1" applyAlignment="1">
      <alignment horizontal="center" vertical="top" wrapText="1"/>
    </xf>
    <xf numFmtId="0" fontId="3" fillId="2" borderId="66" xfId="0" applyFont="1" applyFill="1" applyBorder="1" applyAlignment="1">
      <alignment horizontal="center" vertical="top" wrapText="1"/>
    </xf>
    <xf numFmtId="0" fontId="0" fillId="0" borderId="0" xfId="0" applyAlignment="1">
      <alignment horizontal="left" vertical="center" wrapText="1"/>
    </xf>
    <xf numFmtId="0" fontId="5" fillId="0" borderId="41" xfId="0" applyFont="1" applyBorder="1" applyAlignment="1">
      <alignment horizontal="left"/>
    </xf>
    <xf numFmtId="0" fontId="5" fillId="0" borderId="41" xfId="0" applyFont="1" applyBorder="1"/>
    <xf numFmtId="0" fontId="5" fillId="2" borderId="8" xfId="0" applyFont="1" applyFill="1" applyBorder="1" applyAlignment="1">
      <alignment horizontal="center" vertical="top" wrapText="1"/>
    </xf>
    <xf numFmtId="0" fontId="5" fillId="2" borderId="40" xfId="0" applyFont="1" applyFill="1" applyBorder="1" applyAlignment="1">
      <alignment horizontal="center" vertical="top" wrapText="1"/>
    </xf>
    <xf numFmtId="0" fontId="5" fillId="2" borderId="40" xfId="0" applyFont="1" applyFill="1" applyBorder="1" applyAlignment="1">
      <alignment horizontal="center" vertical="top" wrapText="1"/>
    </xf>
    <xf numFmtId="0" fontId="5" fillId="2" borderId="49" xfId="0" applyFont="1" applyFill="1" applyBorder="1" applyAlignment="1">
      <alignment horizontal="center" vertical="top" wrapText="1"/>
    </xf>
    <xf numFmtId="0" fontId="5" fillId="2" borderId="39" xfId="0" applyFont="1" applyFill="1" applyBorder="1" applyAlignment="1">
      <alignment horizontal="center" vertical="top" wrapText="1"/>
    </xf>
    <xf numFmtId="0" fontId="5" fillId="2" borderId="41" xfId="0" applyFont="1" applyFill="1" applyBorder="1" applyAlignment="1">
      <alignment horizontal="center" vertical="top" wrapText="1"/>
    </xf>
    <xf numFmtId="0" fontId="5" fillId="2" borderId="41" xfId="0" applyFont="1" applyFill="1" applyBorder="1" applyAlignment="1">
      <alignment horizontal="center" vertical="top" wrapText="1"/>
    </xf>
    <xf numFmtId="0" fontId="5" fillId="2" borderId="50" xfId="0" applyFont="1" applyFill="1" applyBorder="1" applyAlignment="1">
      <alignment horizontal="center" vertical="top" wrapText="1"/>
    </xf>
    <xf numFmtId="6" fontId="3" fillId="0" borderId="0" xfId="0" applyNumberFormat="1" applyFont="1" applyAlignment="1">
      <alignment vertical="top" wrapText="1"/>
    </xf>
    <xf numFmtId="9" fontId="3" fillId="0" borderId="0" xfId="3" applyFont="1" applyAlignment="1">
      <alignment horizontal="center" vertical="top" wrapText="1"/>
    </xf>
    <xf numFmtId="6" fontId="3" fillId="0" borderId="0" xfId="0" applyNumberFormat="1" applyFont="1" applyAlignment="1">
      <alignment horizontal="right" vertical="top" wrapText="1"/>
    </xf>
    <xf numFmtId="166" fontId="3" fillId="0" borderId="48" xfId="3" applyNumberFormat="1" applyFont="1" applyBorder="1" applyAlignment="1">
      <alignment horizontal="center" vertical="top" wrapText="1"/>
    </xf>
    <xf numFmtId="6" fontId="3" fillId="12" borderId="0" xfId="0" applyNumberFormat="1" applyFont="1" applyFill="1" applyAlignment="1">
      <alignment vertical="top" wrapText="1"/>
    </xf>
    <xf numFmtId="0" fontId="3" fillId="0" borderId="41" xfId="0" applyFont="1" applyBorder="1" applyAlignment="1">
      <alignment horizontal="center" vertical="top" wrapText="1"/>
    </xf>
    <xf numFmtId="6" fontId="3" fillId="0" borderId="41" xfId="0" applyNumberFormat="1" applyFont="1" applyBorder="1" applyAlignment="1">
      <alignment vertical="top" wrapText="1"/>
    </xf>
    <xf numFmtId="6" fontId="0" fillId="0" borderId="41" xfId="0" applyNumberFormat="1" applyBorder="1"/>
    <xf numFmtId="9" fontId="3" fillId="0" borderId="41" xfId="3" applyFont="1" applyBorder="1" applyAlignment="1">
      <alignment horizontal="center" vertical="top" wrapText="1"/>
    </xf>
    <xf numFmtId="166" fontId="3" fillId="0" borderId="47" xfId="3" applyNumberFormat="1" applyFont="1" applyBorder="1" applyAlignment="1">
      <alignment horizontal="center" vertical="top" wrapText="1"/>
    </xf>
    <xf numFmtId="0" fontId="5" fillId="2" borderId="51" xfId="0" applyFont="1" applyFill="1" applyBorder="1" applyAlignment="1">
      <alignment horizontal="center" vertical="top" wrapText="1"/>
    </xf>
    <xf numFmtId="0" fontId="5" fillId="2" borderId="8" xfId="0" applyFont="1" applyFill="1" applyBorder="1" applyAlignment="1">
      <alignment horizontal="center" vertical="top" wrapText="1"/>
    </xf>
    <xf numFmtId="0" fontId="5" fillId="2" borderId="52" xfId="0" applyFont="1" applyFill="1" applyBorder="1" applyAlignment="1">
      <alignment horizontal="center" vertical="top" wrapText="1"/>
    </xf>
    <xf numFmtId="0" fontId="5" fillId="2" borderId="39" xfId="0" applyFont="1" applyFill="1" applyBorder="1" applyAlignment="1">
      <alignment horizontal="center" vertical="top" wrapText="1"/>
    </xf>
    <xf numFmtId="0" fontId="3" fillId="0" borderId="53" xfId="0" applyFont="1" applyBorder="1" applyAlignment="1">
      <alignment horizontal="center" vertical="top" wrapText="1"/>
    </xf>
    <xf numFmtId="0" fontId="3" fillId="0" borderId="52" xfId="0" applyFont="1" applyBorder="1" applyAlignment="1">
      <alignment horizontal="center" vertical="top" wrapText="1"/>
    </xf>
    <xf numFmtId="0" fontId="12" fillId="6" borderId="74" xfId="0" applyFont="1" applyFill="1" applyBorder="1" applyAlignment="1">
      <alignment horizontal="center" vertical="center" wrapText="1" readingOrder="1"/>
    </xf>
    <xf numFmtId="6" fontId="12" fillId="7" borderId="72" xfId="0" applyNumberFormat="1" applyFont="1" applyFill="1" applyBorder="1" applyAlignment="1">
      <alignment horizontal="center" vertical="center" wrapText="1" readingOrder="1"/>
    </xf>
    <xf numFmtId="6" fontId="12" fillId="12" borderId="32" xfId="0" applyNumberFormat="1" applyFont="1" applyFill="1" applyBorder="1" applyAlignment="1">
      <alignment horizontal="center" vertical="center" wrapText="1" readingOrder="1"/>
    </xf>
    <xf numFmtId="6" fontId="12" fillId="7" borderId="73" xfId="0" applyNumberFormat="1" applyFont="1" applyFill="1" applyBorder="1" applyAlignment="1">
      <alignment horizontal="center" vertical="center" wrapText="1" readingOrder="1"/>
    </xf>
    <xf numFmtId="6" fontId="11" fillId="8" borderId="75" xfId="0" applyNumberFormat="1" applyFont="1" applyFill="1" applyBorder="1" applyAlignment="1">
      <alignment horizontal="center" vertical="center" wrapText="1" readingOrder="1"/>
    </xf>
    <xf numFmtId="0" fontId="12" fillId="12" borderId="44" xfId="0" applyFont="1" applyFill="1" applyBorder="1" applyAlignment="1">
      <alignment horizontal="center" vertical="center" wrapText="1" readingOrder="1"/>
    </xf>
    <xf numFmtId="0" fontId="12" fillId="6" borderId="0" xfId="0" applyFont="1" applyFill="1" applyAlignment="1">
      <alignment horizontal="center" vertical="center" wrapText="1" readingOrder="1"/>
    </xf>
    <xf numFmtId="0" fontId="20" fillId="0" borderId="0" xfId="0" applyFont="1"/>
    <xf numFmtId="10" fontId="0" fillId="0" borderId="0" xfId="0" applyNumberFormat="1"/>
    <xf numFmtId="0" fontId="0" fillId="12" borderId="0" xfId="0" applyFill="1"/>
    <xf numFmtId="167" fontId="0" fillId="0" borderId="0" xfId="0" applyNumberFormat="1"/>
    <xf numFmtId="0" fontId="3" fillId="0" borderId="0" xfId="0" applyFont="1" applyAlignment="1">
      <alignment vertical="top" wrapText="1"/>
    </xf>
    <xf numFmtId="0" fontId="0" fillId="0" borderId="0" xfId="0" applyAlignment="1">
      <alignment horizontal="center" vertical="top" wrapText="1"/>
    </xf>
    <xf numFmtId="8" fontId="0" fillId="0" borderId="0" xfId="0" applyNumberFormat="1" applyAlignment="1">
      <alignment vertical="top" wrapText="1"/>
    </xf>
    <xf numFmtId="10" fontId="0" fillId="0" borderId="0" xfId="3" applyNumberFormat="1" applyFont="1" applyFill="1"/>
    <xf numFmtId="0" fontId="6" fillId="0" borderId="0" xfId="0" applyFont="1"/>
    <xf numFmtId="0" fontId="15" fillId="0" borderId="0" xfId="0" applyFont="1" applyAlignment="1">
      <alignment vertical="top" wrapText="1"/>
    </xf>
    <xf numFmtId="0" fontId="15" fillId="0" borderId="0" xfId="0" applyFont="1" applyAlignment="1">
      <alignment horizontal="center" vertical="top" wrapText="1"/>
    </xf>
    <xf numFmtId="168" fontId="15" fillId="0" borderId="0" xfId="0" applyNumberFormat="1" applyFont="1" applyAlignment="1">
      <alignment horizontal="right" vertical="top" wrapText="1"/>
    </xf>
    <xf numFmtId="0" fontId="15" fillId="0" borderId="0" xfId="0" applyFont="1" applyAlignment="1">
      <alignment horizontal="right" vertical="top" wrapText="1"/>
    </xf>
    <xf numFmtId="0" fontId="3" fillId="0" borderId="0" xfId="0" applyFont="1" applyAlignment="1">
      <alignment horizontal="left" vertical="top"/>
    </xf>
    <xf numFmtId="168" fontId="3" fillId="0" borderId="0" xfId="0" applyNumberFormat="1" applyFont="1" applyAlignment="1">
      <alignment horizontal="right" vertical="top" wrapText="1"/>
    </xf>
    <xf numFmtId="0" fontId="0" fillId="0" borderId="60" xfId="0" applyBorder="1"/>
    <xf numFmtId="0" fontId="0" fillId="0" borderId="57" xfId="0" applyBorder="1" applyAlignment="1">
      <alignment horizontal="left"/>
    </xf>
    <xf numFmtId="1" fontId="3" fillId="12" borderId="0" xfId="0" applyNumberFormat="1" applyFont="1" applyFill="1" applyAlignment="1">
      <alignment horizontal="center" vertical="top" wrapText="1"/>
    </xf>
    <xf numFmtId="168" fontId="0" fillId="0" borderId="0" xfId="0" applyNumberFormat="1"/>
    <xf numFmtId="6" fontId="15" fillId="0" borderId="0" xfId="0" applyNumberFormat="1" applyFont="1" applyAlignment="1">
      <alignment horizontal="right" vertical="top" wrapText="1"/>
    </xf>
    <xf numFmtId="0" fontId="5" fillId="12" borderId="27" xfId="0" applyFont="1" applyFill="1" applyBorder="1" applyAlignment="1">
      <alignment horizontal="center" vertical="top" wrapText="1"/>
    </xf>
    <xf numFmtId="0" fontId="3" fillId="12" borderId="14" xfId="0" applyFont="1" applyFill="1" applyBorder="1" applyAlignment="1">
      <alignment horizontal="center" vertical="top" wrapText="1"/>
    </xf>
    <xf numFmtId="0" fontId="3" fillId="12" borderId="27" xfId="0" applyFont="1" applyFill="1" applyBorder="1" applyAlignment="1">
      <alignment horizontal="center" vertical="top" wrapText="1"/>
    </xf>
    <xf numFmtId="0" fontId="5" fillId="0" borderId="0" xfId="0" applyFont="1" applyAlignment="1">
      <alignment vertical="top" wrapText="1"/>
    </xf>
    <xf numFmtId="0" fontId="5" fillId="0" borderId="32" xfId="0" applyFont="1" applyBorder="1" applyAlignment="1">
      <alignment horizontal="center" vertical="top" wrapText="1"/>
    </xf>
    <xf numFmtId="168" fontId="3" fillId="0" borderId="32" xfId="0" applyNumberFormat="1" applyFont="1" applyBorder="1" applyAlignment="1">
      <alignment horizontal="center" vertical="top" wrapText="1"/>
    </xf>
    <xf numFmtId="0" fontId="3" fillId="0" borderId="32" xfId="0" applyFont="1" applyBorder="1" applyAlignment="1">
      <alignment horizontal="center" vertical="top" wrapText="1"/>
    </xf>
    <xf numFmtId="0" fontId="5" fillId="0" borderId="54" xfId="0" applyFont="1" applyBorder="1" applyAlignment="1">
      <alignment horizontal="center" vertical="top" wrapText="1"/>
    </xf>
    <xf numFmtId="168" fontId="3" fillId="12" borderId="32" xfId="0" applyNumberFormat="1" applyFont="1" applyFill="1" applyBorder="1" applyAlignment="1">
      <alignment horizontal="center" vertical="top" wrapText="1"/>
    </xf>
    <xf numFmtId="0" fontId="3" fillId="12" borderId="54" xfId="0" applyFont="1" applyFill="1" applyBorder="1" applyAlignment="1">
      <alignment horizontal="center" vertical="top" wrapText="1"/>
    </xf>
    <xf numFmtId="168" fontId="3" fillId="0" borderId="54" xfId="0" applyNumberFormat="1" applyFont="1" applyBorder="1" applyAlignment="1">
      <alignment horizontal="center" vertical="top" wrapText="1"/>
    </xf>
    <xf numFmtId="0" fontId="5" fillId="0" borderId="32" xfId="0" applyFont="1" applyBorder="1" applyAlignment="1">
      <alignment horizontal="center" vertical="top" wrapText="1"/>
    </xf>
    <xf numFmtId="0" fontId="5" fillId="0" borderId="56" xfId="0" applyFont="1" applyBorder="1" applyAlignment="1">
      <alignment horizontal="center" vertical="top" wrapText="1"/>
    </xf>
    <xf numFmtId="0" fontId="3" fillId="0" borderId="56" xfId="0" applyFont="1" applyBorder="1" applyAlignment="1">
      <alignment horizontal="center" vertical="top" wrapText="1"/>
    </xf>
    <xf numFmtId="168" fontId="3" fillId="0" borderId="56" xfId="0" applyNumberFormat="1" applyFont="1" applyBorder="1" applyAlignment="1">
      <alignment horizontal="center" vertical="top" wrapText="1"/>
    </xf>
    <xf numFmtId="0" fontId="3" fillId="0" borderId="57" xfId="0" applyFont="1" applyBorder="1" applyAlignment="1">
      <alignment vertical="top" wrapText="1"/>
    </xf>
    <xf numFmtId="168" fontId="3" fillId="15" borderId="32" xfId="0" applyNumberFormat="1" applyFont="1" applyFill="1" applyBorder="1" applyAlignment="1">
      <alignment horizontal="center" vertical="top" wrapText="1"/>
    </xf>
    <xf numFmtId="0" fontId="3" fillId="15" borderId="32" xfId="0" applyFont="1" applyFill="1" applyBorder="1" applyAlignment="1">
      <alignment horizontal="center" vertical="top" wrapText="1"/>
    </xf>
    <xf numFmtId="0" fontId="3" fillId="0" borderId="54" xfId="0" applyFont="1" applyBorder="1" applyAlignment="1">
      <alignment horizontal="center" vertical="top" wrapText="1"/>
    </xf>
    <xf numFmtId="0" fontId="5" fillId="0" borderId="55" xfId="0" applyFont="1" applyBorder="1" applyAlignment="1">
      <alignment horizontal="center" vertical="top" wrapText="1"/>
    </xf>
    <xf numFmtId="0" fontId="3" fillId="0" borderId="55" xfId="0" applyFont="1" applyBorder="1" applyAlignment="1">
      <alignment horizontal="center" vertical="top" wrapText="1"/>
    </xf>
    <xf numFmtId="168" fontId="3" fillId="0" borderId="55" xfId="0" applyNumberFormat="1" applyFont="1" applyBorder="1" applyAlignment="1">
      <alignment horizontal="center" vertical="top" wrapText="1"/>
    </xf>
    <xf numFmtId="168" fontId="3" fillId="16" borderId="32" xfId="0" applyNumberFormat="1" applyFont="1" applyFill="1" applyBorder="1" applyAlignment="1">
      <alignment horizontal="center" vertical="top" wrapText="1"/>
    </xf>
    <xf numFmtId="0" fontId="3" fillId="16" borderId="32" xfId="0" applyFont="1" applyFill="1" applyBorder="1" applyAlignment="1">
      <alignment horizontal="center" vertical="top" wrapText="1"/>
    </xf>
    <xf numFmtId="0" fontId="5" fillId="0" borderId="46" xfId="0" applyFont="1" applyBorder="1" applyAlignment="1">
      <alignment horizontal="center" vertical="top" wrapText="1"/>
    </xf>
    <xf numFmtId="168" fontId="5" fillId="0" borderId="71" xfId="0" applyNumberFormat="1" applyFont="1" applyBorder="1" applyAlignment="1">
      <alignment horizontal="center" vertical="top" wrapText="1"/>
    </xf>
    <xf numFmtId="1" fontId="5" fillId="0" borderId="32" xfId="0" applyNumberFormat="1" applyFont="1" applyBorder="1" applyAlignment="1">
      <alignment horizontal="center" vertical="top" wrapText="1"/>
    </xf>
    <xf numFmtId="168" fontId="5" fillId="0" borderId="32" xfId="0" applyNumberFormat="1" applyFont="1" applyBorder="1" applyAlignment="1">
      <alignment horizontal="center" vertical="top" wrapText="1"/>
    </xf>
    <xf numFmtId="0" fontId="17" fillId="0" borderId="0" xfId="0" applyFont="1" applyAlignment="1">
      <alignment horizontal="center" vertical="top" wrapText="1"/>
    </xf>
    <xf numFmtId="3" fontId="3" fillId="0" borderId="0" xfId="0" applyNumberFormat="1" applyFont="1" applyAlignment="1">
      <alignment horizontal="right" vertical="top" wrapText="1"/>
    </xf>
    <xf numFmtId="0" fontId="5" fillId="0" borderId="46" xfId="0" applyFont="1" applyBorder="1" applyAlignment="1">
      <alignment vertical="top" wrapText="1"/>
    </xf>
    <xf numFmtId="0" fontId="5" fillId="0" borderId="58" xfId="0" applyFont="1" applyBorder="1" applyAlignment="1">
      <alignment vertical="top" wrapText="1"/>
    </xf>
    <xf numFmtId="0" fontId="16" fillId="0" borderId="0" xfId="0" applyFont="1" applyAlignment="1">
      <alignment horizontal="center" vertical="top" wrapText="1"/>
    </xf>
    <xf numFmtId="0" fontId="17" fillId="0" borderId="0" xfId="0" applyFont="1" applyAlignment="1">
      <alignment horizontal="right" vertical="top" wrapText="1"/>
    </xf>
    <xf numFmtId="3" fontId="17" fillId="0" borderId="0" xfId="0" applyNumberFormat="1" applyFont="1" applyAlignment="1">
      <alignment horizontal="right" vertical="top" wrapText="1"/>
    </xf>
    <xf numFmtId="0" fontId="5" fillId="0" borderId="55" xfId="0" applyFont="1" applyBorder="1" applyAlignment="1">
      <alignment vertical="top" wrapText="1"/>
    </xf>
    <xf numFmtId="0" fontId="17" fillId="0" borderId="0" xfId="0" applyFont="1" applyAlignment="1">
      <alignment horizontal="center" vertical="top" wrapText="1"/>
    </xf>
    <xf numFmtId="0" fontId="17" fillId="0" borderId="0" xfId="0" applyFont="1" applyAlignment="1">
      <alignment vertical="top" wrapText="1"/>
    </xf>
    <xf numFmtId="0" fontId="3" fillId="0" borderId="32" xfId="0" applyFont="1" applyBorder="1" applyAlignment="1">
      <alignment horizontal="left" vertical="top" wrapText="1" indent="2"/>
    </xf>
    <xf numFmtId="8" fontId="3" fillId="0" borderId="32" xfId="0" applyNumberFormat="1" applyFont="1" applyBorder="1" applyAlignment="1">
      <alignment vertical="top" wrapText="1"/>
    </xf>
    <xf numFmtId="8" fontId="0" fillId="0" borderId="32" xfId="0" applyNumberFormat="1" applyBorder="1"/>
    <xf numFmtId="1" fontId="12" fillId="6" borderId="44" xfId="0" applyNumberFormat="1" applyFont="1" applyFill="1" applyBorder="1" applyAlignment="1">
      <alignment horizontal="center" vertical="center" wrapText="1" readingOrder="1"/>
    </xf>
    <xf numFmtId="0" fontId="0" fillId="0" borderId="68" xfId="0" applyBorder="1"/>
    <xf numFmtId="6" fontId="0" fillId="0" borderId="68" xfId="0" applyNumberFormat="1" applyBorder="1"/>
    <xf numFmtId="0" fontId="0" fillId="0" borderId="69" xfId="0" applyBorder="1"/>
    <xf numFmtId="0" fontId="0" fillId="0" borderId="57" xfId="0" applyBorder="1"/>
    <xf numFmtId="0" fontId="0" fillId="0" borderId="63" xfId="0" applyBorder="1"/>
    <xf numFmtId="1" fontId="0" fillId="0" borderId="0" xfId="0" applyNumberFormat="1"/>
    <xf numFmtId="0" fontId="0" fillId="0" borderId="65" xfId="0" applyBorder="1"/>
    <xf numFmtId="0" fontId="0" fillId="0" borderId="66" xfId="0" applyBorder="1"/>
    <xf numFmtId="1" fontId="0" fillId="0" borderId="66" xfId="0" applyNumberFormat="1" applyBorder="1"/>
    <xf numFmtId="9" fontId="0" fillId="0" borderId="67" xfId="3" applyFont="1" applyBorder="1"/>
  </cellXfs>
  <cellStyles count="5">
    <cellStyle name="Lien hypertexte" xfId="4" builtinId="8"/>
    <cellStyle name="Milliers" xfId="1" builtinId="3"/>
    <cellStyle name="Monétaire" xfId="2" builtinId="4"/>
    <cellStyle name="Normal" xfId="0" builtinId="0"/>
    <cellStyle name="Pourcentage" xfId="3" builtinId="5"/>
  </cellStyles>
  <dxfs count="0"/>
  <tableStyles count="0" defaultTableStyle="TableStyleMedium9" defaultPivotStyle="PivotStyleLight16"/>
  <colors>
    <mruColors>
      <color rgb="FFFFFFCC"/>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'PV comp'!$B$36</c:f>
              <c:strCache>
                <c:ptCount val="1"/>
                <c:pt idx="0">
                  <c:v>475 $ </c:v>
                </c:pt>
              </c:strCache>
            </c:strRef>
          </c:tx>
          <c:spPr>
            <a:ln w="22225" cap="rnd">
              <a:solidFill>
                <a:schemeClr val="accent4"/>
              </a:solidFill>
              <a:round/>
            </a:ln>
            <a:effectLst/>
          </c:spPr>
          <c:marker>
            <c:symbol val="none"/>
          </c:marker>
          <c:cat>
            <c:strRef>
              <c:f>'PV comp'!$A$37:$A$39</c:f>
              <c:strCache>
                <c:ptCount val="1"/>
                <c:pt idx="0">
                  <c:v>FF. Spéc.</c:v>
                </c:pt>
              </c:strCache>
            </c:strRef>
          </c:cat>
          <c:val>
            <c:numRef>
              <c:f>'PV comp'!$B$37:$B$39</c:f>
              <c:numCache>
                <c:formatCode>General</c:formatCode>
                <c:ptCount val="3"/>
                <c:pt idx="0" formatCode="&quot;$&quot;#,##0_);[Red]\(&quot;$&quot;#,##0\)">
                  <c:v>117000</c:v>
                </c:pt>
              </c:numCache>
            </c:numRef>
          </c:val>
          <c:smooth val="0"/>
          <c:extLst>
            <c:ext xmlns:c16="http://schemas.microsoft.com/office/drawing/2014/chart" uri="{C3380CC4-5D6E-409C-BE32-E72D297353CC}">
              <c16:uniqueId val="{00000000-074F-4847-92B5-97B1F25BC7EC}"/>
            </c:ext>
          </c:extLst>
        </c:ser>
        <c:ser>
          <c:idx val="1"/>
          <c:order val="1"/>
          <c:tx>
            <c:strRef>
              <c:f>'PV comp'!$C$36</c:f>
              <c:strCache>
                <c:ptCount val="1"/>
              </c:strCache>
            </c:strRef>
          </c:tx>
          <c:spPr>
            <a:ln w="22225" cap="rnd">
              <a:solidFill>
                <a:schemeClr val="accent2"/>
              </a:solidFill>
              <a:round/>
            </a:ln>
            <a:effectLst/>
          </c:spPr>
          <c:marker>
            <c:symbol val="none"/>
          </c:marker>
          <c:cat>
            <c:strRef>
              <c:f>'PV comp'!$A$37:$A$39</c:f>
              <c:strCache>
                <c:ptCount val="1"/>
                <c:pt idx="0">
                  <c:v>FF. Spéc.</c:v>
                </c:pt>
              </c:strCache>
            </c:strRef>
          </c:cat>
          <c:val>
            <c:numRef>
              <c:f>'PV comp'!$C$37:$C$39</c:f>
              <c:numCache>
                <c:formatCode>General</c:formatCode>
                <c:ptCount val="3"/>
              </c:numCache>
            </c:numRef>
          </c:val>
          <c:smooth val="0"/>
          <c:extLst>
            <c:ext xmlns:c16="http://schemas.microsoft.com/office/drawing/2014/chart" uri="{C3380CC4-5D6E-409C-BE32-E72D297353CC}">
              <c16:uniqueId val="{00000001-074F-4847-92B5-97B1F25BC7EC}"/>
            </c:ext>
          </c:extLst>
        </c:ser>
        <c:ser>
          <c:idx val="2"/>
          <c:order val="2"/>
          <c:tx>
            <c:strRef>
              <c:f>'PV comp'!$D$36</c:f>
              <c:strCache>
                <c:ptCount val="1"/>
              </c:strCache>
            </c:strRef>
          </c:tx>
          <c:spPr>
            <a:ln w="22225" cap="rnd">
              <a:solidFill>
                <a:schemeClr val="accent3"/>
              </a:solidFill>
              <a:round/>
            </a:ln>
            <a:effectLst/>
          </c:spPr>
          <c:marker>
            <c:symbol val="none"/>
          </c:marker>
          <c:cat>
            <c:strRef>
              <c:f>'PV comp'!$A$37:$A$39</c:f>
              <c:strCache>
                <c:ptCount val="1"/>
                <c:pt idx="0">
                  <c:v>FF. Spéc.</c:v>
                </c:pt>
              </c:strCache>
            </c:strRef>
          </c:cat>
          <c:val>
            <c:numRef>
              <c:f>'PV comp'!$D$37:$D$39</c:f>
              <c:numCache>
                <c:formatCode>General</c:formatCode>
                <c:ptCount val="3"/>
              </c:numCache>
            </c:numRef>
          </c:val>
          <c:smooth val="0"/>
          <c:extLst>
            <c:ext xmlns:c16="http://schemas.microsoft.com/office/drawing/2014/chart" uri="{C3380CC4-5D6E-409C-BE32-E72D297353CC}">
              <c16:uniqueId val="{00000002-074F-4847-92B5-97B1F25BC7EC}"/>
            </c:ext>
          </c:extLst>
        </c:ser>
        <c:dLbls>
          <c:showLegendKey val="0"/>
          <c:showVal val="0"/>
          <c:showCatName val="0"/>
          <c:showSerName val="0"/>
          <c:showPercent val="0"/>
          <c:showBubbleSize val="0"/>
        </c:dLbls>
        <c:dropLines>
          <c:spPr>
            <a:ln w="9525" cap="flat" cmpd="sng" algn="ctr">
              <a:solidFill>
                <a:schemeClr val="dk1">
                  <a:lumMod val="35000"/>
                  <a:lumOff val="65000"/>
                </a:schemeClr>
              </a:solidFill>
              <a:round/>
            </a:ln>
            <a:effectLst/>
          </c:spPr>
        </c:dropLines>
        <c:smooth val="0"/>
        <c:axId val="382364552"/>
        <c:axId val="382364944"/>
      </c:lineChart>
      <c:catAx>
        <c:axId val="3823645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fr-CA"/>
                  <a:t>Volume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fr-FR"/>
          </a:p>
        </c:txPr>
        <c:crossAx val="382364944"/>
        <c:crossesAt val="0"/>
        <c:auto val="1"/>
        <c:lblAlgn val="ctr"/>
        <c:lblOffset val="1"/>
        <c:tickMarkSkip val="10"/>
        <c:noMultiLvlLbl val="0"/>
      </c:catAx>
      <c:valAx>
        <c:axId val="38236494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Dollars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fr-FR"/>
            </a:p>
          </c:txPr>
        </c:title>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382364552"/>
        <c:crosses val="autoZero"/>
        <c:crossBetween val="midCat"/>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000000000000078" l="0.70000000000000062" r="0.70000000000000062" t="0.75000000000000078"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'[1]PV comp'!$B$40</c:f>
              <c:strCache>
                <c:ptCount val="1"/>
                <c:pt idx="0">
                  <c:v>Pvu*Vol</c:v>
                </c:pt>
              </c:strCache>
            </c:strRef>
          </c:tx>
          <c:spPr>
            <a:ln w="22225" cap="rnd">
              <a:solidFill>
                <a:schemeClr val="accent4"/>
              </a:solidFill>
              <a:round/>
            </a:ln>
            <a:effectLst/>
          </c:spPr>
          <c:marker>
            <c:symbol val="none"/>
          </c:marker>
          <c:cat>
            <c:numRef>
              <c:f>'[1]PV comp'!$A$41:$A$43</c:f>
              <c:numCache>
                <c:formatCode>General</c:formatCode>
                <c:ptCount val="3"/>
                <c:pt idx="0">
                  <c:v>0</c:v>
                </c:pt>
                <c:pt idx="1">
                  <c:v>250</c:v>
                </c:pt>
                <c:pt idx="2">
                  <c:v>500</c:v>
                </c:pt>
              </c:numCache>
            </c:numRef>
          </c:cat>
          <c:val>
            <c:numRef>
              <c:f>'[1]PV comp'!$B$41:$B$43</c:f>
              <c:numCache>
                <c:formatCode>General</c:formatCode>
                <c:ptCount val="3"/>
                <c:pt idx="0">
                  <c:v>0</c:v>
                </c:pt>
                <c:pt idx="1">
                  <c:v>208750</c:v>
                </c:pt>
                <c:pt idx="2">
                  <c:v>417500</c:v>
                </c:pt>
              </c:numCache>
            </c:numRef>
          </c:val>
          <c:smooth val="0"/>
          <c:extLst>
            <c:ext xmlns:c16="http://schemas.microsoft.com/office/drawing/2014/chart" uri="{C3380CC4-5D6E-409C-BE32-E72D297353CC}">
              <c16:uniqueId val="{00000000-37DA-479B-9931-28EED63A4188}"/>
            </c:ext>
          </c:extLst>
        </c:ser>
        <c:ser>
          <c:idx val="1"/>
          <c:order val="1"/>
          <c:tx>
            <c:strRef>
              <c:f>'[1]PV comp'!$C$40</c:f>
              <c:strCache>
                <c:ptCount val="1"/>
                <c:pt idx="0">
                  <c:v>Cvu*Vol</c:v>
                </c:pt>
              </c:strCache>
            </c:strRef>
          </c:tx>
          <c:spPr>
            <a:ln w="22225" cap="rnd">
              <a:solidFill>
                <a:schemeClr val="accent2"/>
              </a:solidFill>
              <a:round/>
            </a:ln>
            <a:effectLst/>
          </c:spPr>
          <c:marker>
            <c:symbol val="none"/>
          </c:marker>
          <c:cat>
            <c:numRef>
              <c:f>'[1]PV comp'!$A$41:$A$43</c:f>
              <c:numCache>
                <c:formatCode>General</c:formatCode>
                <c:ptCount val="3"/>
                <c:pt idx="0">
                  <c:v>0</c:v>
                </c:pt>
                <c:pt idx="1">
                  <c:v>250</c:v>
                </c:pt>
                <c:pt idx="2">
                  <c:v>500</c:v>
                </c:pt>
              </c:numCache>
            </c:numRef>
          </c:cat>
          <c:val>
            <c:numRef>
              <c:f>'[1]PV comp'!$C$41:$C$43</c:f>
              <c:numCache>
                <c:formatCode>General</c:formatCode>
                <c:ptCount val="3"/>
                <c:pt idx="0">
                  <c:v>117000</c:v>
                </c:pt>
                <c:pt idx="1">
                  <c:v>235750</c:v>
                </c:pt>
                <c:pt idx="2">
                  <c:v>354500</c:v>
                </c:pt>
              </c:numCache>
            </c:numRef>
          </c:val>
          <c:smooth val="0"/>
          <c:extLst>
            <c:ext xmlns:c16="http://schemas.microsoft.com/office/drawing/2014/chart" uri="{C3380CC4-5D6E-409C-BE32-E72D297353CC}">
              <c16:uniqueId val="{00000001-37DA-479B-9931-28EED63A4188}"/>
            </c:ext>
          </c:extLst>
        </c:ser>
        <c:ser>
          <c:idx val="2"/>
          <c:order val="2"/>
          <c:tx>
            <c:strRef>
              <c:f>'[1]PV comp'!$D$40</c:f>
              <c:strCache>
                <c:ptCount val="1"/>
                <c:pt idx="0">
                  <c:v>FF.Spéc.</c:v>
                </c:pt>
              </c:strCache>
            </c:strRef>
          </c:tx>
          <c:spPr>
            <a:ln w="22225" cap="rnd">
              <a:solidFill>
                <a:schemeClr val="accent3"/>
              </a:solidFill>
              <a:round/>
            </a:ln>
            <a:effectLst/>
          </c:spPr>
          <c:marker>
            <c:symbol val="none"/>
          </c:marker>
          <c:cat>
            <c:numRef>
              <c:f>'[1]PV comp'!$A$41:$A$43</c:f>
              <c:numCache>
                <c:formatCode>General</c:formatCode>
                <c:ptCount val="3"/>
                <c:pt idx="0">
                  <c:v>0</c:v>
                </c:pt>
                <c:pt idx="1">
                  <c:v>250</c:v>
                </c:pt>
                <c:pt idx="2">
                  <c:v>500</c:v>
                </c:pt>
              </c:numCache>
            </c:numRef>
          </c:cat>
          <c:val>
            <c:numRef>
              <c:f>'[1]PV comp'!$D$41:$D$43</c:f>
              <c:numCache>
                <c:formatCode>General</c:formatCode>
                <c:ptCount val="3"/>
                <c:pt idx="0">
                  <c:v>117000</c:v>
                </c:pt>
                <c:pt idx="1">
                  <c:v>117000</c:v>
                </c:pt>
                <c:pt idx="2">
                  <c:v>117000</c:v>
                </c:pt>
              </c:numCache>
            </c:numRef>
          </c:val>
          <c:smooth val="0"/>
          <c:extLst>
            <c:ext xmlns:c16="http://schemas.microsoft.com/office/drawing/2014/chart" uri="{C3380CC4-5D6E-409C-BE32-E72D297353CC}">
              <c16:uniqueId val="{00000002-37DA-479B-9931-28EED63A4188}"/>
            </c:ext>
          </c:extLst>
        </c:ser>
        <c:dLbls>
          <c:showLegendKey val="0"/>
          <c:showVal val="0"/>
          <c:showCatName val="0"/>
          <c:showSerName val="0"/>
          <c:showPercent val="0"/>
          <c:showBubbleSize val="0"/>
        </c:dLbls>
        <c:dropLines>
          <c:spPr>
            <a:ln w="9525" cap="flat" cmpd="sng" algn="ctr">
              <a:solidFill>
                <a:schemeClr val="dk1">
                  <a:lumMod val="35000"/>
                  <a:lumOff val="65000"/>
                </a:schemeClr>
              </a:solidFill>
              <a:round/>
            </a:ln>
            <a:effectLst/>
          </c:spPr>
        </c:dropLines>
        <c:smooth val="0"/>
        <c:axId val="328422592"/>
        <c:axId val="328423376"/>
      </c:lineChart>
      <c:catAx>
        <c:axId val="3284225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fr-CA"/>
                  <a:t>Volume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fr-FR"/>
          </a:p>
        </c:txPr>
        <c:crossAx val="328423376"/>
        <c:crossesAt val="0"/>
        <c:auto val="1"/>
        <c:lblAlgn val="ctr"/>
        <c:lblOffset val="1"/>
        <c:tickMarkSkip val="10"/>
        <c:noMultiLvlLbl val="0"/>
      </c:catAx>
      <c:valAx>
        <c:axId val="328423376"/>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Dollars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328422592"/>
        <c:crosses val="autoZero"/>
        <c:crossBetween val="midCat"/>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000000000000078" l="0.70000000000000062" r="0.70000000000000062" t="0.75000000000000078"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Questions!A1"/></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hyperlink" Target="#Questions!A1"/></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Questions!A1"/><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Questions!A1"/></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Question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14</xdr:col>
      <xdr:colOff>456284</xdr:colOff>
      <xdr:row>23</xdr:row>
      <xdr:rowOff>120650</xdr:rowOff>
    </xdr:to>
    <xdr:pic>
      <xdr:nvPicPr>
        <xdr:cNvPr id="2" name="Image 1">
          <a:extLst>
            <a:ext uri="{FF2B5EF4-FFF2-40B4-BE49-F238E27FC236}">
              <a16:creationId xmlns:a16="http://schemas.microsoft.com/office/drawing/2014/main" id="{DE9BC5A0-DC39-4942-B7CD-B0E3A9622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19075"/>
          <a:ext cx="10362284" cy="406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197828</xdr:colOff>
      <xdr:row>0</xdr:row>
      <xdr:rowOff>175846</xdr:rowOff>
    </xdr:from>
    <xdr:to>
      <xdr:col>2</xdr:col>
      <xdr:colOff>696058</xdr:colOff>
      <xdr:row>2</xdr:row>
      <xdr:rowOff>190499</xdr:rowOff>
    </xdr:to>
    <xdr:pic>
      <xdr:nvPicPr>
        <xdr:cNvPr id="2" name="Image 1">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87616" y="175846"/>
          <a:ext cx="498230" cy="4982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289152</xdr:colOff>
      <xdr:row>0</xdr:row>
      <xdr:rowOff>102054</xdr:rowOff>
    </xdr:from>
    <xdr:to>
      <xdr:col>1</xdr:col>
      <xdr:colOff>657679</xdr:colOff>
      <xdr:row>0</xdr:row>
      <xdr:rowOff>212447</xdr:rowOff>
    </xdr:to>
    <xdr:pic>
      <xdr:nvPicPr>
        <xdr:cNvPr id="3" name="Image 2">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50759" y="102054"/>
          <a:ext cx="368527" cy="358043"/>
        </a:xfrm>
        <a:prstGeom prst="rect">
          <a:avLst/>
        </a:prstGeom>
      </xdr:spPr>
    </xdr:pic>
    <xdr:clientData/>
  </xdr:twoCellAnchor>
  <xdr:twoCellAnchor editAs="oneCell">
    <xdr:from>
      <xdr:col>2</xdr:col>
      <xdr:colOff>0</xdr:colOff>
      <xdr:row>1</xdr:row>
      <xdr:rowOff>0</xdr:rowOff>
    </xdr:from>
    <xdr:to>
      <xdr:col>2</xdr:col>
      <xdr:colOff>498230</xdr:colOff>
      <xdr:row>3</xdr:row>
      <xdr:rowOff>91037</xdr:rowOff>
    </xdr:to>
    <xdr:pic>
      <xdr:nvPicPr>
        <xdr:cNvPr id="4" name="Image 3">
          <a:hlinkClick xmlns:r="http://schemas.openxmlformats.org/officeDocument/2006/relationships" r:id="rId1"/>
          <a:extLst>
            <a:ext uri="{FF2B5EF4-FFF2-40B4-BE49-F238E27FC236}">
              <a16:creationId xmlns:a16="http://schemas.microsoft.com/office/drawing/2014/main" id="{D1F1319D-46EC-4691-B0AA-FAB68B1F2C2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67150" y="209550"/>
          <a:ext cx="498230" cy="4847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276225</xdr:colOff>
      <xdr:row>28</xdr:row>
      <xdr:rowOff>38100</xdr:rowOff>
    </xdr:from>
    <xdr:to>
      <xdr:col>11</xdr:col>
      <xdr:colOff>66675</xdr:colOff>
      <xdr:row>45</xdr:row>
      <xdr:rowOff>114299</xdr:rowOff>
    </xdr:to>
    <xdr:graphicFrame macro="">
      <xdr:nvGraphicFramePr>
        <xdr:cNvPr id="3" name="Graphique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304800</xdr:colOff>
      <xdr:row>0</xdr:row>
      <xdr:rowOff>19050</xdr:rowOff>
    </xdr:from>
    <xdr:to>
      <xdr:col>4</xdr:col>
      <xdr:colOff>676275</xdr:colOff>
      <xdr:row>1</xdr:row>
      <xdr:rowOff>763</xdr:rowOff>
    </xdr:to>
    <xdr:pic>
      <xdr:nvPicPr>
        <xdr:cNvPr id="5" name="Image 4">
          <a:hlinkClick xmlns:r="http://schemas.openxmlformats.org/officeDocument/2006/relationships" r:id="rId2"/>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83000" y="19050"/>
          <a:ext cx="374650" cy="362713"/>
        </a:xfrm>
        <a:prstGeom prst="rect">
          <a:avLst/>
        </a:prstGeom>
      </xdr:spPr>
    </xdr:pic>
    <xdr:clientData/>
  </xdr:twoCellAnchor>
  <xdr:twoCellAnchor>
    <xdr:from>
      <xdr:col>4</xdr:col>
      <xdr:colOff>276225</xdr:colOff>
      <xdr:row>32</xdr:row>
      <xdr:rowOff>38100</xdr:rowOff>
    </xdr:from>
    <xdr:to>
      <xdr:col>11</xdr:col>
      <xdr:colOff>66675</xdr:colOff>
      <xdr:row>49</xdr:row>
      <xdr:rowOff>114299</xdr:rowOff>
    </xdr:to>
    <xdr:graphicFrame macro="">
      <xdr:nvGraphicFramePr>
        <xdr:cNvPr id="6" name="Graphique 5">
          <a:extLst>
            <a:ext uri="{FF2B5EF4-FFF2-40B4-BE49-F238E27FC236}">
              <a16:creationId xmlns:a16="http://schemas.microsoft.com/office/drawing/2014/main" id="{A6DAD4F0-3B27-4DA2-9819-B64D3B896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0</xdr:colOff>
      <xdr:row>0</xdr:row>
      <xdr:rowOff>0</xdr:rowOff>
    </xdr:from>
    <xdr:to>
      <xdr:col>5</xdr:col>
      <xdr:colOff>498230</xdr:colOff>
      <xdr:row>9</xdr:row>
      <xdr:rowOff>101355</xdr:rowOff>
    </xdr:to>
    <xdr:pic>
      <xdr:nvPicPr>
        <xdr:cNvPr id="7" name="Image 6">
          <a:hlinkClick xmlns:r="http://schemas.openxmlformats.org/officeDocument/2006/relationships" r:id="rId2"/>
          <a:extLst>
            <a:ext uri="{FF2B5EF4-FFF2-40B4-BE49-F238E27FC236}">
              <a16:creationId xmlns:a16="http://schemas.microsoft.com/office/drawing/2014/main" id="{D8166913-94FB-4CCC-9FE5-277CAD8EB11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429125" y="0"/>
          <a:ext cx="498230" cy="4760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328839</xdr:colOff>
      <xdr:row>0</xdr:row>
      <xdr:rowOff>62367</xdr:rowOff>
    </xdr:from>
    <xdr:to>
      <xdr:col>1</xdr:col>
      <xdr:colOff>686027</xdr:colOff>
      <xdr:row>0</xdr:row>
      <xdr:rowOff>202129</xdr:rowOff>
    </xdr:to>
    <xdr:pic>
      <xdr:nvPicPr>
        <xdr:cNvPr id="2" name="Image 1">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63750" y="62367"/>
          <a:ext cx="357188" cy="342962"/>
        </a:xfrm>
        <a:prstGeom prst="rect">
          <a:avLst/>
        </a:prstGeom>
      </xdr:spPr>
    </xdr:pic>
    <xdr:clientData/>
  </xdr:twoCellAnchor>
  <xdr:twoCellAnchor editAs="oneCell">
    <xdr:from>
      <xdr:col>5</xdr:col>
      <xdr:colOff>0</xdr:colOff>
      <xdr:row>1</xdr:row>
      <xdr:rowOff>0</xdr:rowOff>
    </xdr:from>
    <xdr:to>
      <xdr:col>5</xdr:col>
      <xdr:colOff>498230</xdr:colOff>
      <xdr:row>3</xdr:row>
      <xdr:rowOff>64503</xdr:rowOff>
    </xdr:to>
    <xdr:pic>
      <xdr:nvPicPr>
        <xdr:cNvPr id="3" name="Image 2">
          <a:hlinkClick xmlns:r="http://schemas.openxmlformats.org/officeDocument/2006/relationships" r:id="rId1"/>
          <a:extLst>
            <a:ext uri="{FF2B5EF4-FFF2-40B4-BE49-F238E27FC236}">
              <a16:creationId xmlns:a16="http://schemas.microsoft.com/office/drawing/2014/main" id="{2790283F-1F43-43D1-8A6C-6655BD49454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76950" y="200025"/>
          <a:ext cx="498230" cy="4772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145948</xdr:colOff>
      <xdr:row>0</xdr:row>
      <xdr:rowOff>35847</xdr:rowOff>
    </xdr:from>
    <xdr:to>
      <xdr:col>5</xdr:col>
      <xdr:colOff>521510</xdr:colOff>
      <xdr:row>0</xdr:row>
      <xdr:rowOff>182819</xdr:rowOff>
    </xdr:to>
    <xdr:pic>
      <xdr:nvPicPr>
        <xdr:cNvPr id="2" name="Image 1">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55948" y="35847"/>
          <a:ext cx="372387" cy="353347"/>
        </a:xfrm>
        <a:prstGeom prst="rect">
          <a:avLst/>
        </a:prstGeom>
      </xdr:spPr>
    </xdr:pic>
    <xdr:clientData/>
  </xdr:twoCellAnchor>
  <xdr:twoCellAnchor editAs="oneCell">
    <xdr:from>
      <xdr:col>9</xdr:col>
      <xdr:colOff>314940</xdr:colOff>
      <xdr:row>0</xdr:row>
      <xdr:rowOff>168992</xdr:rowOff>
    </xdr:from>
    <xdr:to>
      <xdr:col>10</xdr:col>
      <xdr:colOff>49532</xdr:colOff>
      <xdr:row>3</xdr:row>
      <xdr:rowOff>36199</xdr:rowOff>
    </xdr:to>
    <xdr:pic>
      <xdr:nvPicPr>
        <xdr:cNvPr id="3" name="Image 2">
          <a:hlinkClick xmlns:r="http://schemas.openxmlformats.org/officeDocument/2006/relationships" r:id="rId1"/>
          <a:extLst>
            <a:ext uri="{FF2B5EF4-FFF2-40B4-BE49-F238E27FC236}">
              <a16:creationId xmlns:a16="http://schemas.microsoft.com/office/drawing/2014/main" id="{30A88C1D-0AED-46E5-80D8-46A2CFA233B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69765" y="168992"/>
          <a:ext cx="496592" cy="479795"/>
        </a:xfrm>
        <a:prstGeom prst="rect">
          <a:avLst/>
        </a:prstGeom>
      </xdr:spPr>
    </xdr:pic>
    <xdr:clientData/>
  </xdr:twoCellAnchor>
  <xdr:twoCellAnchor>
    <xdr:from>
      <xdr:col>4</xdr:col>
      <xdr:colOff>506977</xdr:colOff>
      <xdr:row>13</xdr:row>
      <xdr:rowOff>26884</xdr:rowOff>
    </xdr:from>
    <xdr:to>
      <xdr:col>6</xdr:col>
      <xdr:colOff>491613</xdr:colOff>
      <xdr:row>31</xdr:row>
      <xdr:rowOff>23043</xdr:rowOff>
    </xdr:to>
    <xdr:cxnSp macro="">
      <xdr:nvCxnSpPr>
        <xdr:cNvPr id="4" name="Connecteur en angle 3">
          <a:extLst>
            <a:ext uri="{FF2B5EF4-FFF2-40B4-BE49-F238E27FC236}">
              <a16:creationId xmlns:a16="http://schemas.microsoft.com/office/drawing/2014/main" id="{C3541E9F-627C-444C-AEE8-9631341E230C}"/>
            </a:ext>
          </a:extLst>
        </xdr:cNvPr>
        <xdr:cNvCxnSpPr/>
      </xdr:nvCxnSpPr>
      <xdr:spPr>
        <a:xfrm rot="5400000">
          <a:off x="2317315" y="4131571"/>
          <a:ext cx="3977609" cy="1508636"/>
        </a:xfrm>
        <a:prstGeom prst="bentConnector3">
          <a:avLst>
            <a:gd name="adj1" fmla="val 65146"/>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as%20V&#233;lo%20plus/V&#233;loplus%20r&#233;vis&#233;_A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stions"/>
      <sheetName val="Données cas"/>
      <sheetName val="Rent produits"/>
      <sheetName val="PV comp"/>
      <sheetName val="Majoration 15%"/>
      <sheetName val="Cout_commande"/>
      <sheetName val="Proposition finale"/>
      <sheetName val="Feuil1"/>
    </sheetNames>
    <sheetDataSet>
      <sheetData sheetId="0" refreshError="1"/>
      <sheetData sheetId="1" refreshError="1"/>
      <sheetData sheetId="2">
        <row r="5">
          <cell r="B5">
            <v>1125</v>
          </cell>
          <cell r="C5">
            <v>1325</v>
          </cell>
          <cell r="D5">
            <v>365</v>
          </cell>
        </row>
        <row r="6">
          <cell r="B6">
            <v>285</v>
          </cell>
          <cell r="C6">
            <v>390</v>
          </cell>
          <cell r="D6">
            <v>795</v>
          </cell>
        </row>
        <row r="8">
          <cell r="B8">
            <v>118125</v>
          </cell>
          <cell r="C8">
            <v>178875</v>
          </cell>
          <cell r="D8">
            <v>109500</v>
          </cell>
        </row>
        <row r="9">
          <cell r="B9">
            <v>73125</v>
          </cell>
          <cell r="C9">
            <v>99375</v>
          </cell>
          <cell r="D9">
            <v>31025</v>
          </cell>
        </row>
        <row r="10">
          <cell r="B10">
            <v>33750</v>
          </cell>
          <cell r="C10">
            <v>53000</v>
          </cell>
          <cell r="D10">
            <v>18250</v>
          </cell>
        </row>
        <row r="11">
          <cell r="B11">
            <v>16875</v>
          </cell>
          <cell r="C11">
            <v>26500</v>
          </cell>
          <cell r="D11">
            <v>14600</v>
          </cell>
        </row>
        <row r="17">
          <cell r="B17">
            <v>1125</v>
          </cell>
          <cell r="C17">
            <v>1325</v>
          </cell>
        </row>
        <row r="18">
          <cell r="B18">
            <v>285</v>
          </cell>
          <cell r="C18">
            <v>390</v>
          </cell>
        </row>
        <row r="21">
          <cell r="B21">
            <v>15000</v>
          </cell>
          <cell r="C21">
            <v>45000</v>
          </cell>
          <cell r="D21">
            <v>70000</v>
          </cell>
          <cell r="E21">
            <v>130000</v>
          </cell>
        </row>
        <row r="22">
          <cell r="B22">
            <v>32500</v>
          </cell>
          <cell r="C22">
            <v>37500</v>
          </cell>
          <cell r="D22">
            <v>47000</v>
          </cell>
          <cell r="E22">
            <v>117000</v>
          </cell>
        </row>
        <row r="24">
          <cell r="E24">
            <v>83000</v>
          </cell>
        </row>
      </sheetData>
      <sheetData sheetId="3">
        <row r="14">
          <cell r="F14">
            <v>117440</v>
          </cell>
        </row>
        <row r="15">
          <cell r="F15">
            <v>122400</v>
          </cell>
        </row>
        <row r="20">
          <cell r="B20">
            <v>1125</v>
          </cell>
          <cell r="C20">
            <v>1325</v>
          </cell>
          <cell r="D20">
            <v>367</v>
          </cell>
        </row>
        <row r="23">
          <cell r="B23">
            <v>241875</v>
          </cell>
          <cell r="C23">
            <v>357750</v>
          </cell>
          <cell r="D23">
            <v>174325</v>
          </cell>
        </row>
        <row r="25">
          <cell r="B25">
            <v>15000</v>
          </cell>
          <cell r="C25">
            <v>45000</v>
          </cell>
          <cell r="D25">
            <v>70000</v>
          </cell>
        </row>
        <row r="26">
          <cell r="B26">
            <v>32500</v>
          </cell>
          <cell r="C26">
            <v>37500</v>
          </cell>
          <cell r="D26">
            <v>47000</v>
          </cell>
        </row>
        <row r="28">
          <cell r="E28">
            <v>83000</v>
          </cell>
        </row>
        <row r="36">
          <cell r="B36">
            <v>475</v>
          </cell>
        </row>
        <row r="40">
          <cell r="B40" t="str">
            <v>Pvu*Vol</v>
          </cell>
          <cell r="C40" t="str">
            <v>Cvu*Vol</v>
          </cell>
          <cell r="D40" t="str">
            <v>FF.Spéc.</v>
          </cell>
        </row>
        <row r="41">
          <cell r="A41">
            <v>0</v>
          </cell>
          <cell r="B41">
            <v>0</v>
          </cell>
          <cell r="C41">
            <v>117000</v>
          </cell>
          <cell r="D41">
            <v>117000</v>
          </cell>
        </row>
        <row r="42">
          <cell r="A42">
            <v>250</v>
          </cell>
          <cell r="B42">
            <v>208750</v>
          </cell>
          <cell r="C42">
            <v>235750</v>
          </cell>
          <cell r="D42">
            <v>117000</v>
          </cell>
        </row>
        <row r="43">
          <cell r="A43">
            <v>500</v>
          </cell>
          <cell r="B43">
            <v>417500</v>
          </cell>
          <cell r="C43">
            <v>354500</v>
          </cell>
          <cell r="D43">
            <v>117000</v>
          </cell>
        </row>
      </sheetData>
      <sheetData sheetId="4" refreshError="1"/>
      <sheetData sheetId="5" refreshError="1"/>
      <sheetData sheetId="6">
        <row r="8">
          <cell r="B8">
            <v>1125</v>
          </cell>
          <cell r="C8">
            <v>1325</v>
          </cell>
          <cell r="D8">
            <v>340</v>
          </cell>
        </row>
      </sheetData>
      <sheetData sheetId="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hyperlink" Target="mailto:20@" TargetMode="External"/><Relationship Id="rId7" Type="http://schemas.openxmlformats.org/officeDocument/2006/relationships/comments" Target="../comments5.xml"/><Relationship Id="rId2" Type="http://schemas.openxmlformats.org/officeDocument/2006/relationships/hyperlink" Target="mailto:6@20" TargetMode="External"/><Relationship Id="rId1" Type="http://schemas.openxmlformats.org/officeDocument/2006/relationships/hyperlink" Target="mailto:1@5" TargetMode="External"/><Relationship Id="rId6" Type="http://schemas.openxmlformats.org/officeDocument/2006/relationships/vmlDrawing" Target="../drawings/vmlDrawing5.vml"/><Relationship Id="rId5" Type="http://schemas.openxmlformats.org/officeDocument/2006/relationships/drawing" Target="../drawings/drawing6.xml"/><Relationship Id="rId4"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64445-9A32-4CB4-BE93-50C5816B8A33}">
  <dimension ref="B27:C40"/>
  <sheetViews>
    <sheetView showGridLines="0" showRowColHeaders="0" topLeftCell="A7" zoomScale="55" zoomScaleNormal="55" workbookViewId="0">
      <selection activeCell="C43" sqref="C43"/>
    </sheetView>
  </sheetViews>
  <sheetFormatPr baseColWidth="10" defaultRowHeight="14.5" x14ac:dyDescent="0.35"/>
  <sheetData>
    <row r="27" spans="2:3" x14ac:dyDescent="0.35">
      <c r="B27" t="s">
        <v>280</v>
      </c>
      <c r="C27" t="s">
        <v>282</v>
      </c>
    </row>
    <row r="29" spans="2:3" x14ac:dyDescent="0.35">
      <c r="B29" t="s">
        <v>281</v>
      </c>
      <c r="C29" t="s">
        <v>283</v>
      </c>
    </row>
    <row r="32" spans="2:3" x14ac:dyDescent="0.35">
      <c r="B32" s="73" t="s">
        <v>284</v>
      </c>
    </row>
    <row r="33" spans="2:2" x14ac:dyDescent="0.35">
      <c r="B33" t="s">
        <v>292</v>
      </c>
    </row>
    <row r="34" spans="2:2" x14ac:dyDescent="0.35">
      <c r="B34" t="s">
        <v>285</v>
      </c>
    </row>
    <row r="35" spans="2:2" x14ac:dyDescent="0.35">
      <c r="B35" t="s">
        <v>286</v>
      </c>
    </row>
    <row r="36" spans="2:2" x14ac:dyDescent="0.35">
      <c r="B36" t="s">
        <v>287</v>
      </c>
    </row>
    <row r="37" spans="2:2" x14ac:dyDescent="0.35">
      <c r="B37" s="161" t="s">
        <v>288</v>
      </c>
    </row>
    <row r="38" spans="2:2" x14ac:dyDescent="0.35">
      <c r="B38" s="161" t="s">
        <v>289</v>
      </c>
    </row>
    <row r="39" spans="2:2" x14ac:dyDescent="0.35">
      <c r="B39" s="161" t="s">
        <v>290</v>
      </c>
    </row>
    <row r="40" spans="2:2" x14ac:dyDescent="0.35">
      <c r="B40" s="162" t="s">
        <v>291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zoomScale="90" zoomScaleNormal="90" workbookViewId="0">
      <selection activeCell="D1" sqref="D1:D8"/>
    </sheetView>
  </sheetViews>
  <sheetFormatPr baseColWidth="10" defaultColWidth="11.453125" defaultRowHeight="21" x14ac:dyDescent="0.5"/>
  <cols>
    <col min="1" max="1" width="3.54296875" style="149" customWidth="1"/>
    <col min="2" max="2" width="5.453125" style="149" customWidth="1"/>
    <col min="3" max="3" width="148.08984375" style="149" customWidth="1"/>
    <col min="4" max="16384" width="11.453125" style="149"/>
  </cols>
  <sheetData>
    <row r="1" spans="1:7" x14ac:dyDescent="0.5">
      <c r="A1" s="157" t="s">
        <v>267</v>
      </c>
      <c r="B1" s="157"/>
      <c r="C1" s="157"/>
      <c r="D1" s="157"/>
      <c r="E1" s="157"/>
      <c r="F1" s="157"/>
      <c r="G1" s="157"/>
    </row>
    <row r="2" spans="1:7" x14ac:dyDescent="0.5">
      <c r="B2" s="150">
        <v>1</v>
      </c>
      <c r="C2" s="151" t="s">
        <v>268</v>
      </c>
      <c r="D2" s="158"/>
    </row>
    <row r="3" spans="1:7" x14ac:dyDescent="0.5">
      <c r="B3" s="150">
        <v>2</v>
      </c>
      <c r="C3" s="151" t="s">
        <v>269</v>
      </c>
    </row>
    <row r="4" spans="1:7" x14ac:dyDescent="0.5">
      <c r="B4" s="150">
        <v>3</v>
      </c>
      <c r="C4" s="151" t="s">
        <v>270</v>
      </c>
    </row>
    <row r="5" spans="1:7" ht="41" x14ac:dyDescent="0.5">
      <c r="B5" s="150">
        <v>4</v>
      </c>
      <c r="C5" s="151" t="s">
        <v>274</v>
      </c>
    </row>
    <row r="6" spans="1:7" ht="41" x14ac:dyDescent="0.5">
      <c r="B6" s="150">
        <v>5</v>
      </c>
      <c r="C6" s="151" t="s">
        <v>271</v>
      </c>
    </row>
    <row r="7" spans="1:7" ht="41" x14ac:dyDescent="0.5">
      <c r="B7" s="150">
        <v>6</v>
      </c>
      <c r="C7" s="151" t="s">
        <v>272</v>
      </c>
    </row>
    <row r="8" spans="1:7" x14ac:dyDescent="0.5">
      <c r="B8" s="150">
        <v>7</v>
      </c>
      <c r="C8" s="152" t="s">
        <v>273</v>
      </c>
    </row>
  </sheetData>
  <hyperlinks>
    <hyperlink ref="B2" location="'Rent produits'!A1" display="'Rent produits'!A1" xr:uid="{00000000-0004-0000-0000-000000000000}"/>
    <hyperlink ref="B3" location="'PV comp'!A1" display="'PV comp'!A1" xr:uid="{00000000-0004-0000-0000-000001000000}"/>
    <hyperlink ref="B4" location="'Majoration 15%'!A1" display="'Majoration 15%'!A1" xr:uid="{00000000-0004-0000-0000-000002000000}"/>
    <hyperlink ref="B5" location="Cout_commande!A1" display="Cout_commande!A1" xr:uid="{00000000-0004-0000-0000-000003000000}"/>
    <hyperlink ref="B6" location="Cout_commande!A1" display="Cout_commande!A1" xr:uid="{00000000-0004-0000-0000-000004000000}"/>
    <hyperlink ref="B7" location="'Proposition finale'!A1" display="'Proposition finale'!A1" xr:uid="{00000000-0004-0000-0000-000005000000}"/>
    <hyperlink ref="B8" location="'Proposition finale'!A1" display="'Proposition finale'!A1" xr:uid="{00000000-0004-0000-0000-00000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9"/>
  <sheetViews>
    <sheetView zoomScale="85" zoomScaleNormal="85" workbookViewId="0">
      <selection sqref="A1:XFD1048576"/>
    </sheetView>
  </sheetViews>
  <sheetFormatPr baseColWidth="10" defaultRowHeight="14.5" x14ac:dyDescent="0.35"/>
  <cols>
    <col min="1" max="1" width="37.81640625" customWidth="1"/>
    <col min="4" max="4" width="14.1796875" customWidth="1"/>
  </cols>
  <sheetData>
    <row r="1" spans="1:5" ht="23.5" x14ac:dyDescent="0.55000000000000004">
      <c r="A1" s="74" t="s">
        <v>105</v>
      </c>
    </row>
    <row r="3" spans="1:5" ht="16.5" x14ac:dyDescent="0.35">
      <c r="A3" s="36" t="s">
        <v>26</v>
      </c>
    </row>
    <row r="4" spans="1:5" ht="17" thickBot="1" x14ac:dyDescent="0.4">
      <c r="A4" s="36" t="s">
        <v>27</v>
      </c>
    </row>
    <row r="5" spans="1:5" ht="15" thickTop="1" x14ac:dyDescent="0.35">
      <c r="A5" s="168" t="s">
        <v>0</v>
      </c>
      <c r="B5" s="2" t="s">
        <v>1</v>
      </c>
      <c r="C5" s="171" t="s">
        <v>3</v>
      </c>
      <c r="D5" s="2" t="s">
        <v>1</v>
      </c>
      <c r="E5" s="4" t="s">
        <v>5</v>
      </c>
    </row>
    <row r="6" spans="1:5" x14ac:dyDescent="0.35">
      <c r="A6" s="169"/>
      <c r="B6" s="160" t="s">
        <v>2</v>
      </c>
      <c r="C6" s="172"/>
      <c r="D6" s="160" t="s">
        <v>4</v>
      </c>
      <c r="E6" s="5" t="s">
        <v>6</v>
      </c>
    </row>
    <row r="7" spans="1:5" ht="15" thickBot="1" x14ac:dyDescent="0.4">
      <c r="A7" s="170"/>
      <c r="B7" s="3"/>
      <c r="C7" s="173"/>
      <c r="D7" s="3"/>
      <c r="E7" s="5" t="s">
        <v>7</v>
      </c>
    </row>
    <row r="8" spans="1:5" x14ac:dyDescent="0.35">
      <c r="A8" s="174">
        <v>760</v>
      </c>
      <c r="B8" s="6">
        <v>345</v>
      </c>
      <c r="C8" s="10">
        <v>0.25</v>
      </c>
      <c r="D8" s="12">
        <v>86</v>
      </c>
      <c r="E8" s="17" t="s">
        <v>9</v>
      </c>
    </row>
    <row r="9" spans="1:5" x14ac:dyDescent="0.35">
      <c r="A9" s="175"/>
      <c r="B9" s="7">
        <v>375</v>
      </c>
      <c r="C9" s="7" t="s">
        <v>8</v>
      </c>
      <c r="D9" s="13">
        <v>169</v>
      </c>
      <c r="E9" s="18" t="s">
        <v>10</v>
      </c>
    </row>
    <row r="10" spans="1:5" x14ac:dyDescent="0.35">
      <c r="A10" s="175"/>
      <c r="B10" s="7">
        <v>405</v>
      </c>
      <c r="C10" s="11">
        <v>0.3</v>
      </c>
      <c r="D10" s="14">
        <v>122</v>
      </c>
      <c r="E10" s="19" t="s">
        <v>11</v>
      </c>
    </row>
    <row r="11" spans="1:5" ht="15" thickBot="1" x14ac:dyDescent="0.4">
      <c r="A11" s="176"/>
      <c r="B11" s="8"/>
      <c r="C11" s="8"/>
      <c r="D11" s="15">
        <v>377</v>
      </c>
      <c r="E11" s="20">
        <v>286520</v>
      </c>
    </row>
    <row r="12" spans="1:5" x14ac:dyDescent="0.35">
      <c r="A12" s="177">
        <v>795</v>
      </c>
      <c r="B12" s="6">
        <v>345</v>
      </c>
      <c r="C12" s="10">
        <v>0.45</v>
      </c>
      <c r="D12" s="12">
        <v>155</v>
      </c>
      <c r="E12" s="17" t="s">
        <v>13</v>
      </c>
    </row>
    <row r="13" spans="1:5" x14ac:dyDescent="0.35">
      <c r="A13" s="178"/>
      <c r="B13" s="7">
        <v>375</v>
      </c>
      <c r="C13" s="7" t="s">
        <v>12</v>
      </c>
      <c r="D13" s="13">
        <v>131</v>
      </c>
      <c r="E13" s="18" t="s">
        <v>14</v>
      </c>
    </row>
    <row r="14" spans="1:5" x14ac:dyDescent="0.35">
      <c r="A14" s="178"/>
      <c r="B14" s="7">
        <v>405</v>
      </c>
      <c r="C14" s="11">
        <v>0.2</v>
      </c>
      <c r="D14" s="14">
        <v>81</v>
      </c>
      <c r="E14" s="19" t="s">
        <v>15</v>
      </c>
    </row>
    <row r="15" spans="1:5" ht="15" thickBot="1" x14ac:dyDescent="0.4">
      <c r="A15" s="179"/>
      <c r="B15" s="8"/>
      <c r="C15" s="8"/>
      <c r="D15" s="15">
        <v>367</v>
      </c>
      <c r="E15" s="189" t="s">
        <v>16</v>
      </c>
    </row>
    <row r="16" spans="1:5" x14ac:dyDescent="0.35">
      <c r="A16" s="174">
        <v>835</v>
      </c>
      <c r="B16" s="6">
        <v>315</v>
      </c>
      <c r="C16" s="10">
        <v>0.35</v>
      </c>
      <c r="D16" s="12">
        <v>110</v>
      </c>
      <c r="E16" s="17" t="s">
        <v>17</v>
      </c>
    </row>
    <row r="17" spans="1:5" x14ac:dyDescent="0.35">
      <c r="A17" s="175"/>
      <c r="B17" s="7">
        <v>345</v>
      </c>
      <c r="C17" s="7" t="s">
        <v>8</v>
      </c>
      <c r="D17" s="13">
        <v>155</v>
      </c>
      <c r="E17" s="18" t="s">
        <v>18</v>
      </c>
    </row>
    <row r="18" spans="1:5" x14ac:dyDescent="0.35">
      <c r="A18" s="175"/>
      <c r="B18" s="7">
        <v>375</v>
      </c>
      <c r="C18" s="11">
        <v>0.2</v>
      </c>
      <c r="D18" s="14">
        <v>75</v>
      </c>
      <c r="E18" s="19" t="s">
        <v>19</v>
      </c>
    </row>
    <row r="19" spans="1:5" ht="15" thickBot="1" x14ac:dyDescent="0.4">
      <c r="A19" s="176"/>
      <c r="B19" s="8"/>
      <c r="C19" s="8"/>
      <c r="D19" s="15">
        <v>340</v>
      </c>
      <c r="E19" s="21" t="s">
        <v>20</v>
      </c>
    </row>
    <row r="20" spans="1:5" x14ac:dyDescent="0.35">
      <c r="A20" s="174">
        <v>875</v>
      </c>
      <c r="B20" s="22">
        <v>255</v>
      </c>
      <c r="C20" s="25">
        <v>0.35</v>
      </c>
      <c r="D20" s="27">
        <v>89</v>
      </c>
      <c r="E20" s="31" t="s">
        <v>22</v>
      </c>
    </row>
    <row r="21" spans="1:5" x14ac:dyDescent="0.35">
      <c r="A21" s="175"/>
      <c r="B21" s="23">
        <v>285</v>
      </c>
      <c r="C21" s="23" t="s">
        <v>21</v>
      </c>
      <c r="D21" s="28">
        <v>114</v>
      </c>
      <c r="E21" s="32" t="s">
        <v>23</v>
      </c>
    </row>
    <row r="22" spans="1:5" x14ac:dyDescent="0.35">
      <c r="A22" s="175"/>
      <c r="B22" s="23">
        <v>315</v>
      </c>
      <c r="C22" s="26">
        <v>0.25</v>
      </c>
      <c r="D22" s="29">
        <v>79</v>
      </c>
      <c r="E22" s="33" t="s">
        <v>24</v>
      </c>
    </row>
    <row r="23" spans="1:5" ht="15" thickBot="1" x14ac:dyDescent="0.4">
      <c r="A23" s="180"/>
      <c r="B23" s="24"/>
      <c r="C23" s="24"/>
      <c r="D23" s="30">
        <v>282</v>
      </c>
      <c r="E23" s="34" t="s">
        <v>25</v>
      </c>
    </row>
    <row r="24" spans="1:5" ht="15" thickTop="1" x14ac:dyDescent="0.35"/>
    <row r="26" spans="1:5" ht="15" thickBot="1" x14ac:dyDescent="0.4">
      <c r="A26" s="42" t="s">
        <v>34</v>
      </c>
    </row>
    <row r="27" spans="1:5" ht="15" thickBot="1" x14ac:dyDescent="0.4">
      <c r="A27" s="181" t="s">
        <v>28</v>
      </c>
      <c r="B27" s="183" t="s">
        <v>29</v>
      </c>
      <c r="C27" s="184"/>
      <c r="D27" s="184"/>
      <c r="E27" s="185"/>
    </row>
    <row r="28" spans="1:5" ht="15" thickBot="1" x14ac:dyDescent="0.4">
      <c r="A28" s="182"/>
      <c r="B28" s="37">
        <v>760</v>
      </c>
      <c r="C28" s="37">
        <v>795</v>
      </c>
      <c r="D28" s="37">
        <v>835</v>
      </c>
      <c r="E28" s="37">
        <v>875</v>
      </c>
    </row>
    <row r="29" spans="1:5" x14ac:dyDescent="0.35">
      <c r="A29" s="38" t="s">
        <v>30</v>
      </c>
      <c r="B29" s="23">
        <v>108</v>
      </c>
      <c r="C29" s="23">
        <v>120</v>
      </c>
      <c r="D29" s="23">
        <v>112</v>
      </c>
      <c r="E29" s="23">
        <v>93</v>
      </c>
    </row>
    <row r="30" spans="1:5" x14ac:dyDescent="0.35">
      <c r="A30" s="38" t="s">
        <v>31</v>
      </c>
      <c r="B30" s="23">
        <v>229</v>
      </c>
      <c r="C30" s="23">
        <v>211</v>
      </c>
      <c r="D30" s="23">
        <v>197</v>
      </c>
      <c r="E30" s="23">
        <v>162</v>
      </c>
    </row>
    <row r="31" spans="1:5" x14ac:dyDescent="0.35">
      <c r="A31" s="38" t="s">
        <v>32</v>
      </c>
      <c r="B31" s="40">
        <v>40</v>
      </c>
      <c r="C31" s="40">
        <v>36</v>
      </c>
      <c r="D31" s="40">
        <v>31</v>
      </c>
      <c r="E31" s="40">
        <v>27</v>
      </c>
    </row>
    <row r="32" spans="1:5" ht="15" thickBot="1" x14ac:dyDescent="0.4">
      <c r="A32" s="39" t="s">
        <v>33</v>
      </c>
      <c r="B32" s="41">
        <v>377</v>
      </c>
      <c r="C32" s="41">
        <v>367</v>
      </c>
      <c r="D32" s="41">
        <v>340</v>
      </c>
      <c r="E32" s="41">
        <v>282</v>
      </c>
    </row>
    <row r="33" spans="1:5" x14ac:dyDescent="0.35">
      <c r="A33" s="53"/>
      <c r="B33" s="54"/>
      <c r="C33" s="54"/>
      <c r="D33" s="54"/>
      <c r="E33" s="54"/>
    </row>
    <row r="34" spans="1:5" ht="16.5" x14ac:dyDescent="0.35">
      <c r="A34" s="36" t="s">
        <v>42</v>
      </c>
    </row>
    <row r="35" spans="1:5" ht="17" thickBot="1" x14ac:dyDescent="0.4">
      <c r="A35" s="36" t="s">
        <v>43</v>
      </c>
    </row>
    <row r="36" spans="1:5" ht="28.5" thickTop="1" x14ac:dyDescent="0.35">
      <c r="A36" s="1" t="s">
        <v>35</v>
      </c>
      <c r="B36" s="2" t="s">
        <v>37</v>
      </c>
      <c r="C36" s="2" t="s">
        <v>38</v>
      </c>
      <c r="D36" s="4" t="s">
        <v>40</v>
      </c>
    </row>
    <row r="37" spans="1:5" ht="15" thickBot="1" x14ac:dyDescent="0.4">
      <c r="A37" s="43" t="s">
        <v>36</v>
      </c>
      <c r="B37" s="160" t="s">
        <v>36</v>
      </c>
      <c r="C37" s="160" t="s">
        <v>39</v>
      </c>
      <c r="D37" s="5" t="s">
        <v>36</v>
      </c>
    </row>
    <row r="38" spans="1:5" ht="15.5" thickTop="1" thickBot="1" x14ac:dyDescent="0.4">
      <c r="A38" s="44" t="s">
        <v>30</v>
      </c>
      <c r="B38" s="45">
        <v>70</v>
      </c>
      <c r="C38" s="45">
        <v>1.71</v>
      </c>
      <c r="D38" s="46">
        <v>20990</v>
      </c>
    </row>
    <row r="39" spans="1:5" ht="15" thickBot="1" x14ac:dyDescent="0.4">
      <c r="A39" s="47" t="s">
        <v>31</v>
      </c>
      <c r="B39" s="6">
        <v>22</v>
      </c>
      <c r="C39" s="6">
        <v>9.5399999999999991</v>
      </c>
      <c r="D39" s="48">
        <v>5910</v>
      </c>
    </row>
    <row r="40" spans="1:5" ht="15" thickBot="1" x14ac:dyDescent="0.4">
      <c r="A40" s="47" t="s">
        <v>32</v>
      </c>
      <c r="B40" s="6">
        <v>1</v>
      </c>
      <c r="C40" s="6">
        <v>35</v>
      </c>
      <c r="D40" s="49">
        <v>495</v>
      </c>
    </row>
    <row r="41" spans="1:5" ht="15" thickBot="1" x14ac:dyDescent="0.4">
      <c r="A41" s="50" t="s">
        <v>41</v>
      </c>
      <c r="B41" s="51"/>
      <c r="C41" s="51"/>
      <c r="D41" s="52">
        <v>27395</v>
      </c>
    </row>
    <row r="42" spans="1:5" ht="15" thickTop="1" x14ac:dyDescent="0.35"/>
    <row r="44" spans="1:5" ht="17" thickBot="1" x14ac:dyDescent="0.4">
      <c r="A44" s="36" t="s">
        <v>106</v>
      </c>
    </row>
    <row r="45" spans="1:5" ht="15" thickTop="1" x14ac:dyDescent="0.35">
      <c r="A45" s="55" t="s">
        <v>44</v>
      </c>
      <c r="B45" s="193" t="s">
        <v>45</v>
      </c>
      <c r="C45" s="194"/>
    </row>
    <row r="46" spans="1:5" x14ac:dyDescent="0.35">
      <c r="A46" s="56" t="s">
        <v>46</v>
      </c>
      <c r="B46" s="57">
        <v>275</v>
      </c>
      <c r="C46" s="58">
        <v>315</v>
      </c>
    </row>
    <row r="47" spans="1:5" x14ac:dyDescent="0.35">
      <c r="A47" s="56" t="s">
        <v>47</v>
      </c>
      <c r="B47" s="57">
        <v>370</v>
      </c>
      <c r="C47" s="58">
        <v>405</v>
      </c>
    </row>
    <row r="48" spans="1:5" x14ac:dyDescent="0.35">
      <c r="A48" s="56" t="s">
        <v>48</v>
      </c>
      <c r="B48" s="57">
        <v>785</v>
      </c>
      <c r="C48" s="58">
        <v>850</v>
      </c>
    </row>
    <row r="50" spans="1:5" ht="17" thickBot="1" x14ac:dyDescent="0.4">
      <c r="A50" s="36" t="s">
        <v>60</v>
      </c>
    </row>
    <row r="51" spans="1:5" ht="15.5" thickTop="1" thickBot="1" x14ac:dyDescent="0.4">
      <c r="A51" s="59"/>
      <c r="B51" s="60" t="s">
        <v>46</v>
      </c>
      <c r="C51" s="60" t="s">
        <v>47</v>
      </c>
      <c r="D51" s="61" t="s">
        <v>48</v>
      </c>
    </row>
    <row r="52" spans="1:5" ht="15" thickBot="1" x14ac:dyDescent="0.4">
      <c r="A52" s="63" t="s">
        <v>49</v>
      </c>
      <c r="B52" s="13">
        <v>285</v>
      </c>
      <c r="C52" s="13">
        <v>390</v>
      </c>
      <c r="D52" s="18">
        <v>795</v>
      </c>
    </row>
    <row r="53" spans="1:5" x14ac:dyDescent="0.35">
      <c r="A53" s="64" t="s">
        <v>50</v>
      </c>
      <c r="B53" s="12"/>
      <c r="C53" s="12"/>
      <c r="D53" s="17"/>
    </row>
    <row r="54" spans="1:5" x14ac:dyDescent="0.35">
      <c r="A54" s="65" t="s">
        <v>51</v>
      </c>
      <c r="B54" s="13">
        <v>105</v>
      </c>
      <c r="C54" s="13">
        <v>135</v>
      </c>
      <c r="D54" s="18">
        <v>300</v>
      </c>
    </row>
    <row r="55" spans="1:5" x14ac:dyDescent="0.35">
      <c r="A55" s="65" t="s">
        <v>52</v>
      </c>
      <c r="B55" s="13">
        <v>65</v>
      </c>
      <c r="C55" s="13">
        <v>75</v>
      </c>
      <c r="D55" s="18">
        <v>85</v>
      </c>
    </row>
    <row r="56" spans="1:5" x14ac:dyDescent="0.35">
      <c r="A56" s="65" t="s">
        <v>53</v>
      </c>
      <c r="B56" s="13">
        <v>30</v>
      </c>
      <c r="C56" s="13">
        <v>40</v>
      </c>
      <c r="D56" s="18">
        <v>50</v>
      </c>
    </row>
    <row r="57" spans="1:5" x14ac:dyDescent="0.35">
      <c r="A57" s="65" t="s">
        <v>54</v>
      </c>
      <c r="B57" s="14">
        <v>15</v>
      </c>
      <c r="C57" s="14">
        <v>20</v>
      </c>
      <c r="D57" s="19">
        <v>40</v>
      </c>
    </row>
    <row r="58" spans="1:5" x14ac:dyDescent="0.35">
      <c r="A58" s="62"/>
      <c r="B58" s="13">
        <v>215</v>
      </c>
      <c r="C58" s="13">
        <v>270</v>
      </c>
      <c r="D58" s="18">
        <v>475</v>
      </c>
    </row>
    <row r="59" spans="1:5" ht="15" thickBot="1" x14ac:dyDescent="0.4">
      <c r="A59" s="62"/>
      <c r="B59" s="13"/>
      <c r="C59" s="13"/>
      <c r="D59" s="18"/>
    </row>
    <row r="60" spans="1:5" ht="15" thickBot="1" x14ac:dyDescent="0.4">
      <c r="A60" s="47" t="s">
        <v>55</v>
      </c>
      <c r="B60" s="12">
        <v>70</v>
      </c>
      <c r="C60" s="12">
        <v>120</v>
      </c>
      <c r="D60" s="17">
        <v>320</v>
      </c>
    </row>
    <row r="61" spans="1:5" ht="15" thickBot="1" x14ac:dyDescent="0.4">
      <c r="A61" s="50" t="s">
        <v>56</v>
      </c>
      <c r="B61" s="66" t="s">
        <v>57</v>
      </c>
      <c r="C61" s="66" t="s">
        <v>58</v>
      </c>
      <c r="D61" s="67" t="s">
        <v>59</v>
      </c>
    </row>
    <row r="62" spans="1:5" ht="15" thickTop="1" x14ac:dyDescent="0.35"/>
    <row r="63" spans="1:5" ht="17" thickBot="1" x14ac:dyDescent="0.4">
      <c r="A63" s="36" t="s">
        <v>104</v>
      </c>
    </row>
    <row r="64" spans="1:5" ht="15.5" thickTop="1" thickBot="1" x14ac:dyDescent="0.4">
      <c r="A64" s="55"/>
      <c r="B64" s="68" t="s">
        <v>46</v>
      </c>
      <c r="C64" s="68" t="s">
        <v>47</v>
      </c>
      <c r="D64" s="68" t="s">
        <v>48</v>
      </c>
      <c r="E64" s="69" t="s">
        <v>33</v>
      </c>
    </row>
    <row r="65" spans="1:5" ht="15" thickBot="1" x14ac:dyDescent="0.4">
      <c r="A65" s="47" t="s">
        <v>61</v>
      </c>
      <c r="B65" s="12" t="s">
        <v>62</v>
      </c>
      <c r="C65" s="12" t="s">
        <v>63</v>
      </c>
      <c r="D65" s="12" t="s">
        <v>64</v>
      </c>
      <c r="E65" s="17" t="s">
        <v>65</v>
      </c>
    </row>
    <row r="66" spans="1:5" ht="15" thickBot="1" x14ac:dyDescent="0.4">
      <c r="A66" s="47" t="s">
        <v>66</v>
      </c>
      <c r="B66" s="12" t="s">
        <v>67</v>
      </c>
      <c r="C66" s="12" t="s">
        <v>68</v>
      </c>
      <c r="D66" s="12">
        <v>365</v>
      </c>
      <c r="E66" s="17"/>
    </row>
    <row r="67" spans="1:5" x14ac:dyDescent="0.35">
      <c r="A67" s="64" t="s">
        <v>69</v>
      </c>
      <c r="B67" s="12"/>
      <c r="C67" s="12"/>
      <c r="D67" s="12"/>
      <c r="E67" s="17"/>
    </row>
    <row r="68" spans="1:5" x14ac:dyDescent="0.35">
      <c r="A68" s="65" t="s">
        <v>70</v>
      </c>
      <c r="B68" s="13" t="s">
        <v>73</v>
      </c>
      <c r="C68" s="13" t="s">
        <v>77</v>
      </c>
      <c r="D68" s="13" t="s">
        <v>81</v>
      </c>
      <c r="E68" s="18" t="s">
        <v>85</v>
      </c>
    </row>
    <row r="69" spans="1:5" x14ac:dyDescent="0.35">
      <c r="A69" s="65" t="s">
        <v>71</v>
      </c>
      <c r="B69" s="13" t="s">
        <v>74</v>
      </c>
      <c r="C69" s="13" t="s">
        <v>78</v>
      </c>
      <c r="D69" s="13" t="s">
        <v>82</v>
      </c>
      <c r="E69" s="18" t="s">
        <v>86</v>
      </c>
    </row>
    <row r="70" spans="1:5" x14ac:dyDescent="0.35">
      <c r="A70" s="65" t="s">
        <v>72</v>
      </c>
      <c r="B70" s="13"/>
      <c r="C70" s="13"/>
      <c r="D70" s="13"/>
      <c r="E70" s="18"/>
    </row>
    <row r="71" spans="1:5" x14ac:dyDescent="0.35">
      <c r="A71" s="62"/>
      <c r="B71" s="14" t="s">
        <v>75</v>
      </c>
      <c r="C71" s="14" t="s">
        <v>79</v>
      </c>
      <c r="D71" s="14" t="s">
        <v>83</v>
      </c>
      <c r="E71" s="19" t="s">
        <v>87</v>
      </c>
    </row>
    <row r="72" spans="1:5" ht="15" thickBot="1" x14ac:dyDescent="0.4">
      <c r="A72" s="62"/>
      <c r="B72" s="13" t="s">
        <v>76</v>
      </c>
      <c r="C72" s="13" t="s">
        <v>80</v>
      </c>
      <c r="D72" s="13" t="s">
        <v>84</v>
      </c>
      <c r="E72" s="18" t="s">
        <v>88</v>
      </c>
    </row>
    <row r="73" spans="1:5" x14ac:dyDescent="0.35">
      <c r="A73" s="163" t="s">
        <v>89</v>
      </c>
      <c r="B73" s="12"/>
      <c r="C73" s="12"/>
      <c r="D73" s="12"/>
      <c r="E73" s="17"/>
    </row>
    <row r="74" spans="1:5" ht="15" thickBot="1" x14ac:dyDescent="0.4">
      <c r="A74" s="164"/>
      <c r="B74" s="14" t="s">
        <v>90</v>
      </c>
      <c r="C74" s="14" t="s">
        <v>91</v>
      </c>
      <c r="D74" s="14" t="s">
        <v>92</v>
      </c>
      <c r="E74" s="19" t="s">
        <v>93</v>
      </c>
    </row>
    <row r="75" spans="1:5" x14ac:dyDescent="0.35">
      <c r="A75" s="47" t="s">
        <v>94</v>
      </c>
      <c r="B75" s="12" t="s">
        <v>96</v>
      </c>
      <c r="C75" s="12" t="s">
        <v>98</v>
      </c>
      <c r="D75" s="12" t="s">
        <v>100</v>
      </c>
      <c r="E75" s="17" t="s">
        <v>102</v>
      </c>
    </row>
    <row r="76" spans="1:5" x14ac:dyDescent="0.35">
      <c r="A76" s="63" t="s">
        <v>94</v>
      </c>
      <c r="B76" s="13"/>
      <c r="C76" s="13"/>
      <c r="D76" s="13"/>
      <c r="E76" s="18"/>
    </row>
    <row r="77" spans="1:5" ht="15" thickBot="1" x14ac:dyDescent="0.4">
      <c r="A77" s="70" t="s">
        <v>95</v>
      </c>
      <c r="B77" s="71" t="s">
        <v>97</v>
      </c>
      <c r="C77" s="71" t="s">
        <v>99</v>
      </c>
      <c r="D77" s="71" t="s">
        <v>101</v>
      </c>
      <c r="E77" s="72" t="s">
        <v>103</v>
      </c>
    </row>
    <row r="78" spans="1:5" ht="15" thickTop="1" x14ac:dyDescent="0.35">
      <c r="A78" s="144"/>
      <c r="B78" s="132"/>
      <c r="C78" s="132"/>
      <c r="D78" s="132"/>
      <c r="E78" s="132"/>
    </row>
    <row r="79" spans="1:5" x14ac:dyDescent="0.35">
      <c r="A79" s="144"/>
      <c r="B79" s="132"/>
      <c r="C79" s="132"/>
      <c r="D79" s="132"/>
      <c r="E79" s="132"/>
    </row>
    <row r="80" spans="1:5" x14ac:dyDescent="0.35">
      <c r="A80" s="144"/>
      <c r="B80" s="132"/>
      <c r="C80" s="132"/>
      <c r="D80" s="132"/>
      <c r="E80" s="132"/>
    </row>
    <row r="82" spans="1:5" ht="17" thickBot="1" x14ac:dyDescent="0.4">
      <c r="A82" s="36" t="s">
        <v>133</v>
      </c>
    </row>
    <row r="83" spans="1:5" ht="15.5" thickTop="1" thickBot="1" x14ac:dyDescent="0.4">
      <c r="A83" s="55"/>
      <c r="B83" s="68" t="s">
        <v>46</v>
      </c>
      <c r="C83" s="68" t="s">
        <v>47</v>
      </c>
      <c r="D83" s="69" t="s">
        <v>48</v>
      </c>
    </row>
    <row r="84" spans="1:5" ht="15" thickBot="1" x14ac:dyDescent="0.4">
      <c r="A84" s="47" t="s">
        <v>107</v>
      </c>
      <c r="B84" s="12" t="s">
        <v>108</v>
      </c>
      <c r="C84" s="12" t="s">
        <v>109</v>
      </c>
      <c r="D84" s="17" t="s">
        <v>110</v>
      </c>
    </row>
    <row r="85" spans="1:5" ht="15" thickBot="1" x14ac:dyDescent="0.4">
      <c r="A85" s="47" t="s">
        <v>111</v>
      </c>
      <c r="B85" s="12" t="s">
        <v>76</v>
      </c>
      <c r="C85" s="12" t="s">
        <v>80</v>
      </c>
      <c r="D85" s="17" t="s">
        <v>84</v>
      </c>
    </row>
    <row r="86" spans="1:5" ht="15" thickBot="1" x14ac:dyDescent="0.4">
      <c r="A86" s="47" t="s">
        <v>112</v>
      </c>
      <c r="B86" s="75" t="s">
        <v>113</v>
      </c>
      <c r="C86" s="75" t="s">
        <v>114</v>
      </c>
      <c r="D86" s="76" t="s">
        <v>115</v>
      </c>
    </row>
    <row r="87" spans="1:5" ht="15" thickBot="1" x14ac:dyDescent="0.4">
      <c r="A87" s="47" t="s">
        <v>116</v>
      </c>
      <c r="B87" s="12" t="s">
        <v>117</v>
      </c>
      <c r="C87" s="12" t="s">
        <v>118</v>
      </c>
      <c r="D87" s="17" t="s">
        <v>119</v>
      </c>
    </row>
    <row r="88" spans="1:5" ht="15" thickBot="1" x14ac:dyDescent="0.4">
      <c r="A88" s="47" t="s">
        <v>120</v>
      </c>
      <c r="B88" s="12" t="s">
        <v>121</v>
      </c>
      <c r="C88" s="12" t="s">
        <v>122</v>
      </c>
      <c r="D88" s="17" t="s">
        <v>123</v>
      </c>
    </row>
    <row r="89" spans="1:5" ht="15" thickBot="1" x14ac:dyDescent="0.4">
      <c r="A89" s="47" t="s">
        <v>124</v>
      </c>
      <c r="B89" s="12" t="s">
        <v>125</v>
      </c>
      <c r="C89" s="12" t="s">
        <v>126</v>
      </c>
      <c r="D89" s="17" t="s">
        <v>127</v>
      </c>
    </row>
    <row r="90" spans="1:5" ht="15" thickBot="1" x14ac:dyDescent="0.4">
      <c r="A90" s="47" t="s">
        <v>128</v>
      </c>
      <c r="B90" s="77">
        <v>1125</v>
      </c>
      <c r="C90" s="12" t="s">
        <v>68</v>
      </c>
      <c r="D90" s="17">
        <v>365</v>
      </c>
    </row>
    <row r="91" spans="1:5" ht="15" thickBot="1" x14ac:dyDescent="0.4">
      <c r="A91" s="50" t="s">
        <v>129</v>
      </c>
      <c r="B91" s="66" t="s">
        <v>130</v>
      </c>
      <c r="C91" s="66" t="s">
        <v>131</v>
      </c>
      <c r="D91" s="67" t="s">
        <v>132</v>
      </c>
    </row>
    <row r="92" spans="1:5" ht="15" thickTop="1" x14ac:dyDescent="0.35"/>
    <row r="93" spans="1:5" ht="17" thickBot="1" x14ac:dyDescent="0.4">
      <c r="A93" s="35" t="s">
        <v>171</v>
      </c>
    </row>
    <row r="94" spans="1:5" ht="15" thickTop="1" x14ac:dyDescent="0.35">
      <c r="A94" s="79" t="s">
        <v>142</v>
      </c>
      <c r="B94" s="68"/>
      <c r="C94" s="68"/>
      <c r="D94" s="68"/>
      <c r="E94" s="69"/>
    </row>
    <row r="95" spans="1:5" ht="15" thickBot="1" x14ac:dyDescent="0.4">
      <c r="A95" s="80" t="s">
        <v>143</v>
      </c>
      <c r="B95" s="81" t="s">
        <v>46</v>
      </c>
      <c r="C95" s="81" t="s">
        <v>47</v>
      </c>
      <c r="D95" s="81" t="s">
        <v>48</v>
      </c>
      <c r="E95" s="82" t="s">
        <v>33</v>
      </c>
    </row>
    <row r="96" spans="1:5" ht="15" thickBot="1" x14ac:dyDescent="0.4">
      <c r="A96" s="47" t="s">
        <v>144</v>
      </c>
      <c r="B96" s="12" t="s">
        <v>145</v>
      </c>
      <c r="C96" s="12" t="s">
        <v>146</v>
      </c>
      <c r="D96" s="12" t="s">
        <v>147</v>
      </c>
      <c r="E96" s="17"/>
    </row>
    <row r="97" spans="1:5" ht="15" thickBot="1" x14ac:dyDescent="0.4">
      <c r="A97" s="83" t="s">
        <v>148</v>
      </c>
      <c r="B97" s="84" t="s">
        <v>149</v>
      </c>
      <c r="C97" s="84" t="s">
        <v>150</v>
      </c>
      <c r="D97" s="84" t="s">
        <v>151</v>
      </c>
      <c r="E97" s="85"/>
    </row>
    <row r="98" spans="1:5" ht="15" thickBot="1" x14ac:dyDescent="0.4">
      <c r="A98" s="47" t="s">
        <v>152</v>
      </c>
      <c r="B98" s="75" t="s">
        <v>153</v>
      </c>
      <c r="C98" s="75" t="s">
        <v>154</v>
      </c>
      <c r="D98" s="75" t="s">
        <v>155</v>
      </c>
      <c r="E98" s="17"/>
    </row>
    <row r="99" spans="1:5" x14ac:dyDescent="0.35">
      <c r="A99" s="163" t="s">
        <v>156</v>
      </c>
      <c r="B99" s="12"/>
      <c r="C99" s="12"/>
      <c r="D99" s="12"/>
      <c r="E99" s="17"/>
    </row>
    <row r="100" spans="1:5" ht="15" thickBot="1" x14ac:dyDescent="0.4">
      <c r="A100" s="164"/>
      <c r="B100" s="13" t="s">
        <v>157</v>
      </c>
      <c r="C100" s="13" t="s">
        <v>158</v>
      </c>
      <c r="D100" s="13" t="s">
        <v>159</v>
      </c>
      <c r="E100" s="18" t="s">
        <v>160</v>
      </c>
    </row>
    <row r="101" spans="1:5" ht="15" thickBot="1" x14ac:dyDescent="0.4">
      <c r="A101" s="47" t="s">
        <v>161</v>
      </c>
      <c r="B101" s="12"/>
      <c r="C101" s="12"/>
      <c r="D101" s="12"/>
      <c r="E101" s="17" t="s">
        <v>162</v>
      </c>
    </row>
    <row r="102" spans="1:5" ht="15" thickBot="1" x14ac:dyDescent="0.4">
      <c r="A102" s="47" t="s">
        <v>163</v>
      </c>
      <c r="B102" s="12"/>
      <c r="C102" s="12"/>
      <c r="D102" s="12"/>
      <c r="E102" s="17" t="s">
        <v>164</v>
      </c>
    </row>
    <row r="103" spans="1:5" ht="15" thickBot="1" x14ac:dyDescent="0.4">
      <c r="A103" s="47" t="s">
        <v>165</v>
      </c>
      <c r="B103" s="12"/>
      <c r="C103" s="12"/>
      <c r="D103" s="12"/>
      <c r="E103" s="17" t="s">
        <v>166</v>
      </c>
    </row>
    <row r="104" spans="1:5" ht="15" thickBot="1" x14ac:dyDescent="0.4">
      <c r="A104" s="47" t="s">
        <v>167</v>
      </c>
      <c r="B104" s="12"/>
      <c r="C104" s="12"/>
      <c r="D104" s="12"/>
      <c r="E104" s="76" t="s">
        <v>168</v>
      </c>
    </row>
    <row r="105" spans="1:5" x14ac:dyDescent="0.35">
      <c r="A105" s="163" t="s">
        <v>169</v>
      </c>
      <c r="B105" s="166"/>
      <c r="C105" s="166"/>
      <c r="D105" s="166"/>
      <c r="E105" s="17"/>
    </row>
    <row r="106" spans="1:5" ht="15" thickBot="1" x14ac:dyDescent="0.4">
      <c r="A106" s="165"/>
      <c r="B106" s="167"/>
      <c r="C106" s="167"/>
      <c r="D106" s="167"/>
      <c r="E106" s="86" t="s">
        <v>170</v>
      </c>
    </row>
    <row r="107" spans="1:5" ht="15" thickTop="1" x14ac:dyDescent="0.35"/>
    <row r="108" spans="1:5" ht="15" thickBot="1" x14ac:dyDescent="0.4"/>
    <row r="109" spans="1:5" ht="15" thickTop="1" x14ac:dyDescent="0.35">
      <c r="A109" s="79" t="s">
        <v>172</v>
      </c>
      <c r="B109" s="68"/>
      <c r="C109" s="68"/>
      <c r="D109" s="68"/>
      <c r="E109" s="69"/>
    </row>
    <row r="110" spans="1:5" ht="15" thickBot="1" x14ac:dyDescent="0.4">
      <c r="A110" s="80" t="s">
        <v>173</v>
      </c>
      <c r="B110" s="81" t="s">
        <v>46</v>
      </c>
      <c r="C110" s="81" t="s">
        <v>47</v>
      </c>
      <c r="D110" s="81" t="s">
        <v>48</v>
      </c>
      <c r="E110" s="82" t="s">
        <v>33</v>
      </c>
    </row>
    <row r="111" spans="1:5" ht="15" thickBot="1" x14ac:dyDescent="0.4">
      <c r="A111" s="47" t="s">
        <v>174</v>
      </c>
      <c r="B111" s="12" t="s">
        <v>175</v>
      </c>
      <c r="C111" s="12" t="s">
        <v>147</v>
      </c>
      <c r="D111" s="12" t="s">
        <v>176</v>
      </c>
      <c r="E111" s="17"/>
    </row>
    <row r="112" spans="1:5" ht="15" thickBot="1" x14ac:dyDescent="0.4">
      <c r="A112" s="47" t="s">
        <v>177</v>
      </c>
      <c r="B112" s="75" t="s">
        <v>178</v>
      </c>
      <c r="C112" s="75" t="s">
        <v>153</v>
      </c>
      <c r="D112" s="75" t="s">
        <v>179</v>
      </c>
      <c r="E112" s="17"/>
    </row>
    <row r="113" spans="1:5" x14ac:dyDescent="0.35">
      <c r="A113" s="163" t="s">
        <v>180</v>
      </c>
      <c r="B113" s="12"/>
      <c r="C113" s="12"/>
      <c r="D113" s="12"/>
      <c r="E113" s="17"/>
    </row>
    <row r="114" spans="1:5" ht="15" thickBot="1" x14ac:dyDescent="0.4">
      <c r="A114" s="164"/>
      <c r="B114" s="13" t="s">
        <v>181</v>
      </c>
      <c r="C114" s="13" t="s">
        <v>182</v>
      </c>
      <c r="D114" s="13" t="s">
        <v>183</v>
      </c>
      <c r="E114" s="18" t="s">
        <v>184</v>
      </c>
    </row>
    <row r="115" spans="1:5" ht="15" thickBot="1" x14ac:dyDescent="0.4">
      <c r="A115" s="47" t="s">
        <v>185</v>
      </c>
      <c r="B115" s="12"/>
      <c r="C115" s="12"/>
      <c r="D115" s="12"/>
      <c r="E115" s="17" t="s">
        <v>186</v>
      </c>
    </row>
    <row r="116" spans="1:5" ht="15" thickBot="1" x14ac:dyDescent="0.4">
      <c r="A116" s="47" t="s">
        <v>167</v>
      </c>
      <c r="B116" s="12"/>
      <c r="C116" s="12"/>
      <c r="D116" s="12"/>
      <c r="E116" s="76" t="s">
        <v>187</v>
      </c>
    </row>
    <row r="117" spans="1:5" x14ac:dyDescent="0.35">
      <c r="A117" s="163" t="s">
        <v>188</v>
      </c>
      <c r="B117" s="166"/>
      <c r="C117" s="166"/>
      <c r="D117" s="166"/>
      <c r="E117" s="17"/>
    </row>
    <row r="118" spans="1:5" ht="15" thickBot="1" x14ac:dyDescent="0.4">
      <c r="A118" s="165"/>
      <c r="B118" s="167"/>
      <c r="C118" s="167"/>
      <c r="D118" s="167"/>
      <c r="E118" s="86" t="s">
        <v>189</v>
      </c>
    </row>
    <row r="119" spans="1:5" ht="15" thickTop="1" x14ac:dyDescent="0.35"/>
  </sheetData>
  <mergeCells count="20">
    <mergeCell ref="A105:A106"/>
    <mergeCell ref="B105:B106"/>
    <mergeCell ref="C105:C106"/>
    <mergeCell ref="D105:D106"/>
    <mergeCell ref="A5:A7"/>
    <mergeCell ref="C5:C7"/>
    <mergeCell ref="A8:A11"/>
    <mergeCell ref="A12:A15"/>
    <mergeCell ref="A16:A19"/>
    <mergeCell ref="A20:A23"/>
    <mergeCell ref="A27:A28"/>
    <mergeCell ref="B27:E27"/>
    <mergeCell ref="B45:C45"/>
    <mergeCell ref="A73:A74"/>
    <mergeCell ref="A99:A100"/>
    <mergeCell ref="A113:A114"/>
    <mergeCell ref="A117:A118"/>
    <mergeCell ref="B117:B118"/>
    <mergeCell ref="C117:C118"/>
    <mergeCell ref="D117:D118"/>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0"/>
  <sheetViews>
    <sheetView topLeftCell="A8" zoomScale="70" zoomScaleNormal="70" workbookViewId="0">
      <selection activeCell="A8" sqref="A1:XFD1048576"/>
    </sheetView>
  </sheetViews>
  <sheetFormatPr baseColWidth="10" defaultRowHeight="14.5" outlineLevelRow="1" x14ac:dyDescent="0.35"/>
  <cols>
    <col min="1" max="1" width="43.81640625" customWidth="1"/>
    <col min="2" max="2" width="11.6328125" bestFit="1" customWidth="1"/>
    <col min="3" max="3" width="11.08984375" bestFit="1" customWidth="1"/>
    <col min="4" max="4" width="12.6328125" bestFit="1" customWidth="1"/>
    <col min="5" max="5" width="14.08984375" bestFit="1" customWidth="1"/>
    <col min="10" max="10" width="13.36328125" customWidth="1"/>
  </cols>
  <sheetData>
    <row r="1" spans="1:10" ht="42" customHeight="1" x14ac:dyDescent="0.35">
      <c r="A1" s="36" t="s">
        <v>104</v>
      </c>
    </row>
    <row r="2" spans="1:10" ht="16.5" x14ac:dyDescent="0.35">
      <c r="A2" s="36"/>
    </row>
    <row r="3" spans="1:10" ht="15" thickBot="1" x14ac:dyDescent="0.4">
      <c r="A3" s="73" t="s">
        <v>293</v>
      </c>
    </row>
    <row r="4" spans="1:10" ht="16" outlineLevel="1" thickBot="1" x14ac:dyDescent="0.4">
      <c r="A4" s="87"/>
      <c r="B4" s="88" t="s">
        <v>191</v>
      </c>
      <c r="C4" s="88" t="s">
        <v>192</v>
      </c>
      <c r="D4" s="88" t="s">
        <v>193</v>
      </c>
      <c r="E4" s="88" t="s">
        <v>194</v>
      </c>
      <c r="G4" s="87"/>
      <c r="H4" s="88" t="s">
        <v>191</v>
      </c>
      <c r="I4" s="88" t="s">
        <v>192</v>
      </c>
      <c r="J4" s="88" t="s">
        <v>193</v>
      </c>
    </row>
    <row r="5" spans="1:10" ht="16.5" outlineLevel="1" thickTop="1" thickBot="1" x14ac:dyDescent="0.4">
      <c r="A5" s="89" t="s">
        <v>195</v>
      </c>
      <c r="B5" s="90">
        <v>1125</v>
      </c>
      <c r="C5" s="90">
        <v>1325</v>
      </c>
      <c r="D5" s="90">
        <v>365</v>
      </c>
      <c r="E5" s="91"/>
      <c r="G5" s="89" t="s">
        <v>195</v>
      </c>
      <c r="H5" s="90">
        <v>1125</v>
      </c>
      <c r="I5" s="90">
        <v>1325</v>
      </c>
      <c r="J5" s="90">
        <v>365</v>
      </c>
    </row>
    <row r="6" spans="1:10" ht="16" outlineLevel="1" thickBot="1" x14ac:dyDescent="0.4">
      <c r="A6" s="92" t="s">
        <v>196</v>
      </c>
      <c r="B6" s="93">
        <v>285</v>
      </c>
      <c r="C6" s="93">
        <v>390</v>
      </c>
      <c r="D6" s="93">
        <v>795</v>
      </c>
      <c r="E6" s="94"/>
      <c r="G6" s="92" t="s">
        <v>196</v>
      </c>
      <c r="H6" s="93">
        <v>285</v>
      </c>
      <c r="I6" s="93">
        <v>390</v>
      </c>
      <c r="J6" s="93">
        <v>795</v>
      </c>
    </row>
    <row r="7" spans="1:10" ht="16" outlineLevel="1" thickBot="1" x14ac:dyDescent="0.4">
      <c r="A7" s="95" t="s">
        <v>197</v>
      </c>
      <c r="B7" s="96">
        <f>B5*B6</f>
        <v>320625</v>
      </c>
      <c r="C7" s="96">
        <f t="shared" ref="C7:D7" si="0">C5*C6</f>
        <v>516750</v>
      </c>
      <c r="D7" s="96">
        <f t="shared" si="0"/>
        <v>290175</v>
      </c>
      <c r="E7" s="96">
        <f>SUM(B7:D7)</f>
        <v>1127550</v>
      </c>
      <c r="G7" s="95"/>
      <c r="H7" s="96"/>
      <c r="I7" s="96"/>
      <c r="J7" s="96"/>
    </row>
    <row r="8" spans="1:10" ht="16" outlineLevel="1" thickBot="1" x14ac:dyDescent="0.4">
      <c r="A8" s="92" t="s">
        <v>198</v>
      </c>
      <c r="B8" s="93">
        <v>118125</v>
      </c>
      <c r="C8" s="93">
        <v>178875</v>
      </c>
      <c r="D8" s="93">
        <v>109500</v>
      </c>
      <c r="E8" s="93">
        <f t="shared" ref="E8:E12" si="1">SUM(B8:D8)</f>
        <v>406500</v>
      </c>
      <c r="G8" s="92" t="s">
        <v>198</v>
      </c>
      <c r="H8" s="93">
        <f>B8/$B$5</f>
        <v>105</v>
      </c>
      <c r="I8" s="93">
        <f>C8/$C$5</f>
        <v>135</v>
      </c>
      <c r="J8" s="93">
        <f>D8/$D$5</f>
        <v>300</v>
      </c>
    </row>
    <row r="9" spans="1:10" ht="16" outlineLevel="1" thickBot="1" x14ac:dyDescent="0.4">
      <c r="A9" s="97" t="s">
        <v>199</v>
      </c>
      <c r="B9" s="98">
        <v>73125</v>
      </c>
      <c r="C9" s="98">
        <v>99375</v>
      </c>
      <c r="D9" s="98">
        <v>31025</v>
      </c>
      <c r="E9" s="98">
        <f t="shared" si="1"/>
        <v>203525</v>
      </c>
      <c r="G9" s="97" t="s">
        <v>199</v>
      </c>
      <c r="H9" s="93">
        <f>B9/$B$5</f>
        <v>65</v>
      </c>
      <c r="I9" s="93">
        <f t="shared" ref="I9:I11" si="2">C9/$C$5</f>
        <v>75</v>
      </c>
      <c r="J9" s="93">
        <f t="shared" ref="J9:J11" si="3">D9/$D$5</f>
        <v>85</v>
      </c>
    </row>
    <row r="10" spans="1:10" ht="31.5" outlineLevel="1" thickBot="1" x14ac:dyDescent="0.4">
      <c r="A10" s="92" t="s">
        <v>200</v>
      </c>
      <c r="B10" s="93">
        <v>33750</v>
      </c>
      <c r="C10" s="99">
        <v>53000</v>
      </c>
      <c r="D10" s="93">
        <v>18250</v>
      </c>
      <c r="E10" s="93">
        <f t="shared" si="1"/>
        <v>105000</v>
      </c>
      <c r="G10" s="92" t="s">
        <v>200</v>
      </c>
      <c r="H10" s="93">
        <f>B10/$B$5</f>
        <v>30</v>
      </c>
      <c r="I10" s="93">
        <f t="shared" si="2"/>
        <v>40</v>
      </c>
      <c r="J10" s="93">
        <f t="shared" si="3"/>
        <v>50</v>
      </c>
    </row>
    <row r="11" spans="1:10" ht="31.5" outlineLevel="1" thickBot="1" x14ac:dyDescent="0.4">
      <c r="A11" s="97" t="s">
        <v>201</v>
      </c>
      <c r="B11" s="98">
        <v>16875</v>
      </c>
      <c r="C11" s="98">
        <v>26500</v>
      </c>
      <c r="D11" s="98">
        <v>14600</v>
      </c>
      <c r="E11" s="98">
        <f t="shared" si="1"/>
        <v>57975</v>
      </c>
      <c r="G11" s="97" t="s">
        <v>201</v>
      </c>
      <c r="H11" s="93">
        <f t="shared" ref="H11" si="4">B11/$B$5</f>
        <v>15</v>
      </c>
      <c r="I11" s="93">
        <f t="shared" si="2"/>
        <v>20</v>
      </c>
      <c r="J11" s="93">
        <f t="shared" si="3"/>
        <v>40</v>
      </c>
    </row>
    <row r="12" spans="1:10" ht="16" outlineLevel="1" thickBot="1" x14ac:dyDescent="0.4">
      <c r="A12" s="95" t="s">
        <v>202</v>
      </c>
      <c r="B12" s="96">
        <f>B7-SUM(B8:B11)</f>
        <v>78750</v>
      </c>
      <c r="C12" s="96">
        <f t="shared" ref="C12:D12" si="5">C7-SUM(C8:C11)</f>
        <v>159000</v>
      </c>
      <c r="D12" s="96">
        <f t="shared" si="5"/>
        <v>116800</v>
      </c>
      <c r="E12" s="96">
        <f t="shared" si="1"/>
        <v>354550</v>
      </c>
      <c r="G12" s="95" t="s">
        <v>202</v>
      </c>
      <c r="H12" s="96">
        <f>H6-SUM(H8:H11)</f>
        <v>70</v>
      </c>
      <c r="I12" s="96">
        <f t="shared" ref="I12:J12" si="6">I6-SUM(I8:I11)</f>
        <v>120</v>
      </c>
      <c r="J12" s="96">
        <f t="shared" si="6"/>
        <v>320</v>
      </c>
    </row>
    <row r="13" spans="1:10" ht="16" outlineLevel="1" thickBot="1" x14ac:dyDescent="0.4">
      <c r="A13" s="100" t="s">
        <v>203</v>
      </c>
      <c r="B13" s="101">
        <f>B12/B7</f>
        <v>0.24561403508771928</v>
      </c>
      <c r="C13" s="101">
        <f t="shared" ref="C13:E13" si="7">C12/C7</f>
        <v>0.30769230769230771</v>
      </c>
      <c r="D13" s="101">
        <f t="shared" si="7"/>
        <v>0.40251572327044027</v>
      </c>
      <c r="E13" s="101">
        <f t="shared" si="7"/>
        <v>0.31444281850028821</v>
      </c>
      <c r="G13" s="100"/>
      <c r="H13" s="101">
        <f>H12/H6</f>
        <v>0.24561403508771928</v>
      </c>
      <c r="I13" s="101">
        <f t="shared" ref="I13:J13" si="8">I12/I6</f>
        <v>0.30769230769230771</v>
      </c>
      <c r="J13" s="101">
        <f t="shared" si="8"/>
        <v>0.40251572327044027</v>
      </c>
    </row>
    <row r="14" spans="1:10" outlineLevel="1" x14ac:dyDescent="0.35"/>
    <row r="15" spans="1:10" ht="15" thickBot="1" x14ac:dyDescent="0.4">
      <c r="A15" s="73" t="s">
        <v>209</v>
      </c>
    </row>
    <row r="16" spans="1:10" ht="16" outlineLevel="1" thickBot="1" x14ac:dyDescent="0.4">
      <c r="A16" s="87"/>
      <c r="B16" s="88" t="s">
        <v>191</v>
      </c>
      <c r="C16" s="88" t="s">
        <v>192</v>
      </c>
      <c r="D16" s="88" t="s">
        <v>193</v>
      </c>
      <c r="E16" s="88" t="s">
        <v>194</v>
      </c>
    </row>
    <row r="17" spans="1:10" ht="16.5" outlineLevel="1" thickTop="1" thickBot="1" x14ac:dyDescent="0.4">
      <c r="A17" s="89" t="s">
        <v>195</v>
      </c>
      <c r="B17" s="90">
        <f>B5</f>
        <v>1125</v>
      </c>
      <c r="C17" s="90">
        <f t="shared" ref="C17:E19" si="9">C5</f>
        <v>1325</v>
      </c>
      <c r="D17" s="90">
        <f t="shared" si="9"/>
        <v>365</v>
      </c>
      <c r="E17" s="90"/>
    </row>
    <row r="18" spans="1:10" ht="16" outlineLevel="1" thickBot="1" x14ac:dyDescent="0.4">
      <c r="A18" s="92" t="s">
        <v>196</v>
      </c>
      <c r="B18" s="93">
        <f>B6</f>
        <v>285</v>
      </c>
      <c r="C18" s="93">
        <f t="shared" si="9"/>
        <v>390</v>
      </c>
      <c r="D18" s="93">
        <f t="shared" si="9"/>
        <v>795</v>
      </c>
      <c r="E18" s="93"/>
    </row>
    <row r="19" spans="1:10" ht="16" outlineLevel="1" thickBot="1" x14ac:dyDescent="0.4">
      <c r="A19" s="95" t="s">
        <v>197</v>
      </c>
      <c r="B19" s="96">
        <f>B7</f>
        <v>320625</v>
      </c>
      <c r="C19" s="96">
        <f t="shared" si="9"/>
        <v>516750</v>
      </c>
      <c r="D19" s="96">
        <f t="shared" si="9"/>
        <v>290175</v>
      </c>
      <c r="E19" s="96">
        <f t="shared" si="9"/>
        <v>1127550</v>
      </c>
    </row>
    <row r="20" spans="1:10" ht="16" outlineLevel="1" thickBot="1" x14ac:dyDescent="0.4">
      <c r="A20" s="95" t="s">
        <v>202</v>
      </c>
      <c r="B20" s="96">
        <f>B12</f>
        <v>78750</v>
      </c>
      <c r="C20" s="96">
        <f t="shared" ref="C20:D20" si="10">C12</f>
        <v>159000</v>
      </c>
      <c r="D20" s="96">
        <f t="shared" si="10"/>
        <v>116800</v>
      </c>
      <c r="E20" s="96">
        <f>SUM(B20:D20)</f>
        <v>354550</v>
      </c>
    </row>
    <row r="21" spans="1:10" ht="16" outlineLevel="1" thickBot="1" x14ac:dyDescent="0.4">
      <c r="A21" s="102" t="s">
        <v>204</v>
      </c>
      <c r="B21" s="103">
        <v>15000</v>
      </c>
      <c r="C21" s="103">
        <v>45000</v>
      </c>
      <c r="D21" s="103">
        <v>70000</v>
      </c>
      <c r="E21" s="103">
        <f>SUM(B21:D21)</f>
        <v>130000</v>
      </c>
      <c r="G21" s="195" t="s">
        <v>294</v>
      </c>
      <c r="H21" s="195"/>
      <c r="I21" s="195"/>
      <c r="J21" s="195"/>
    </row>
    <row r="22" spans="1:10" ht="16" outlineLevel="1" thickBot="1" x14ac:dyDescent="0.4">
      <c r="A22" s="104" t="s">
        <v>205</v>
      </c>
      <c r="B22" s="105">
        <v>32500</v>
      </c>
      <c r="C22" s="105">
        <v>37500</v>
      </c>
      <c r="D22" s="105">
        <v>47000</v>
      </c>
      <c r="E22" s="105">
        <f>SUM(B22:D22)</f>
        <v>117000</v>
      </c>
      <c r="G22" s="195"/>
      <c r="H22" s="195"/>
      <c r="I22" s="195"/>
      <c r="J22" s="195"/>
    </row>
    <row r="23" spans="1:10" ht="16" outlineLevel="1" thickBot="1" x14ac:dyDescent="0.4">
      <c r="A23" s="95" t="s">
        <v>206</v>
      </c>
      <c r="B23" s="108">
        <f>B20-B21-B22</f>
        <v>31250</v>
      </c>
      <c r="C23" s="108">
        <f t="shared" ref="C23:E23" si="11">C20-C21-C22</f>
        <v>76500</v>
      </c>
      <c r="D23" s="108">
        <f t="shared" si="11"/>
        <v>-200</v>
      </c>
      <c r="E23" s="108">
        <f t="shared" si="11"/>
        <v>107550</v>
      </c>
      <c r="G23" s="195"/>
      <c r="H23" s="195"/>
      <c r="I23" s="195"/>
      <c r="J23" s="195"/>
    </row>
    <row r="24" spans="1:10" ht="16" outlineLevel="1" thickBot="1" x14ac:dyDescent="0.4">
      <c r="A24" s="104" t="s">
        <v>207</v>
      </c>
      <c r="B24" s="106"/>
      <c r="C24" s="106"/>
      <c r="D24" s="106"/>
      <c r="E24" s="105">
        <v>83000</v>
      </c>
      <c r="G24" s="195"/>
      <c r="H24" s="195"/>
      <c r="I24" s="195"/>
      <c r="J24" s="195"/>
    </row>
    <row r="25" spans="1:10" ht="16" outlineLevel="1" thickBot="1" x14ac:dyDescent="0.4">
      <c r="A25" s="95" t="s">
        <v>208</v>
      </c>
      <c r="B25" s="107"/>
      <c r="C25" s="107"/>
      <c r="D25" s="107"/>
      <c r="E25" s="96">
        <f>E23-E24</f>
        <v>24550</v>
      </c>
      <c r="G25" s="195"/>
      <c r="H25" s="195"/>
      <c r="I25" s="195"/>
      <c r="J25" s="195"/>
    </row>
    <row r="26" spans="1:10" ht="16" outlineLevel="1" thickBot="1" x14ac:dyDescent="0.4">
      <c r="A26" s="100" t="s">
        <v>203</v>
      </c>
      <c r="B26" s="101">
        <f>B23/B19</f>
        <v>9.7465886939571145E-2</v>
      </c>
      <c r="C26" s="101">
        <f>C23/C19</f>
        <v>0.14804063860667635</v>
      </c>
      <c r="D26" s="101">
        <f>D23/D19</f>
        <v>-6.8923925217541143E-4</v>
      </c>
      <c r="E26" s="101"/>
    </row>
    <row r="28" spans="1:10" x14ac:dyDescent="0.35">
      <c r="A28" s="73" t="s">
        <v>295</v>
      </c>
    </row>
    <row r="29" spans="1:10" ht="15" thickBot="1" x14ac:dyDescent="0.4"/>
    <row r="30" spans="1:10" ht="16" thickBot="1" x14ac:dyDescent="0.4">
      <c r="A30" s="153"/>
      <c r="B30" s="153" t="s">
        <v>46</v>
      </c>
      <c r="C30" s="153" t="s">
        <v>47</v>
      </c>
      <c r="D30" s="153" t="s">
        <v>48</v>
      </c>
      <c r="E30" s="153" t="s">
        <v>33</v>
      </c>
    </row>
    <row r="31" spans="1:10" ht="16.5" thickTop="1" thickBot="1" x14ac:dyDescent="0.4">
      <c r="A31" s="89" t="s">
        <v>61</v>
      </c>
      <c r="B31" s="154">
        <f>B7</f>
        <v>320625</v>
      </c>
      <c r="C31" s="154">
        <f>C7</f>
        <v>516750</v>
      </c>
      <c r="D31" s="154">
        <f>D7</f>
        <v>290175</v>
      </c>
      <c r="E31" s="155">
        <f>SUM(B31:D31)</f>
        <v>1127550</v>
      </c>
    </row>
    <row r="32" spans="1:10" ht="16.5" thickTop="1" thickBot="1" x14ac:dyDescent="0.4">
      <c r="A32" s="92" t="s">
        <v>66</v>
      </c>
      <c r="B32" s="90">
        <v>1125</v>
      </c>
      <c r="C32" s="90">
        <v>1325</v>
      </c>
      <c r="D32" s="90">
        <v>365</v>
      </c>
      <c r="E32" s="156">
        <f>SUM(B32:D32)</f>
        <v>2815</v>
      </c>
    </row>
    <row r="33" spans="1:5" ht="16" thickBot="1" x14ac:dyDescent="0.4">
      <c r="A33" s="95" t="s">
        <v>69</v>
      </c>
      <c r="B33" s="95"/>
      <c r="C33" s="95"/>
      <c r="D33" s="95"/>
      <c r="E33" s="95"/>
    </row>
    <row r="34" spans="1:5" ht="16" thickBot="1" x14ac:dyDescent="0.4">
      <c r="A34" s="102" t="s">
        <v>70</v>
      </c>
      <c r="B34" s="102" t="s">
        <v>73</v>
      </c>
      <c r="C34" s="102" t="s">
        <v>77</v>
      </c>
      <c r="D34" s="102" t="s">
        <v>81</v>
      </c>
      <c r="E34" s="102" t="s">
        <v>85</v>
      </c>
    </row>
    <row r="35" spans="1:5" ht="15" customHeight="1" thickBot="1" x14ac:dyDescent="0.4">
      <c r="A35" s="102" t="s">
        <v>71</v>
      </c>
      <c r="B35" s="102" t="s">
        <v>74</v>
      </c>
      <c r="C35" s="102" t="s">
        <v>78</v>
      </c>
      <c r="D35" s="102" t="s">
        <v>82</v>
      </c>
      <c r="E35" s="102" t="s">
        <v>86</v>
      </c>
    </row>
    <row r="36" spans="1:5" ht="16" thickBot="1" x14ac:dyDescent="0.4">
      <c r="A36" s="102" t="s">
        <v>72</v>
      </c>
      <c r="B36" s="102" t="s">
        <v>75</v>
      </c>
      <c r="C36" s="102" t="s">
        <v>79</v>
      </c>
      <c r="D36" s="102" t="s">
        <v>83</v>
      </c>
      <c r="E36" s="102" t="s">
        <v>87</v>
      </c>
    </row>
    <row r="37" spans="1:5" ht="16" thickBot="1" x14ac:dyDescent="0.4">
      <c r="A37" s="95"/>
      <c r="B37" s="95" t="s">
        <v>76</v>
      </c>
      <c r="C37" s="95" t="s">
        <v>80</v>
      </c>
      <c r="D37" s="95" t="s">
        <v>84</v>
      </c>
      <c r="E37" s="95" t="s">
        <v>88</v>
      </c>
    </row>
    <row r="38" spans="1:5" ht="32" thickTop="1" thickBot="1" x14ac:dyDescent="0.4">
      <c r="A38" s="89" t="s">
        <v>89</v>
      </c>
      <c r="B38" s="89" t="s">
        <v>90</v>
      </c>
      <c r="C38" s="89" t="s">
        <v>91</v>
      </c>
      <c r="D38" s="89" t="s">
        <v>92</v>
      </c>
      <c r="E38" s="89" t="s">
        <v>93</v>
      </c>
    </row>
    <row r="39" spans="1:5" ht="16" thickBot="1" x14ac:dyDescent="0.4">
      <c r="A39" s="95" t="s">
        <v>94</v>
      </c>
      <c r="B39" s="95" t="s">
        <v>96</v>
      </c>
      <c r="C39" s="95" t="s">
        <v>98</v>
      </c>
      <c r="D39" s="95" t="s">
        <v>100</v>
      </c>
      <c r="E39" s="95" t="s">
        <v>102</v>
      </c>
    </row>
    <row r="40" spans="1:5" ht="16" thickBot="1" x14ac:dyDescent="0.4">
      <c r="A40" s="95" t="s">
        <v>275</v>
      </c>
      <c r="B40" s="95" t="s">
        <v>97</v>
      </c>
      <c r="C40" s="95" t="s">
        <v>99</v>
      </c>
      <c r="D40" s="95" t="s">
        <v>101</v>
      </c>
      <c r="E40" s="95" t="s">
        <v>103</v>
      </c>
    </row>
  </sheetData>
  <mergeCells count="1">
    <mergeCell ref="G21:J25"/>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47"/>
  <sheetViews>
    <sheetView topLeftCell="A34" workbookViewId="0">
      <selection activeCell="A16" sqref="A1:XFD1048576"/>
    </sheetView>
  </sheetViews>
  <sheetFormatPr baseColWidth="10" defaultRowHeight="14.5" outlineLevelRow="1" x14ac:dyDescent="0.35"/>
  <cols>
    <col min="2" max="2" width="13.6328125" bestFit="1" customWidth="1"/>
    <col min="3" max="3" width="13" bestFit="1" customWidth="1"/>
    <col min="4" max="4" width="12.1796875" customWidth="1"/>
    <col min="5" max="5" width="13.7265625" customWidth="1"/>
  </cols>
  <sheetData>
    <row r="2" spans="1:11" ht="15" thickBot="1" x14ac:dyDescent="0.4">
      <c r="A2" s="196" t="s">
        <v>141</v>
      </c>
      <c r="B2" s="196"/>
      <c r="C2" s="196"/>
      <c r="D2" s="196"/>
      <c r="E2" s="197"/>
      <c r="F2" s="197"/>
      <c r="G2" s="197"/>
      <c r="H2" s="197"/>
      <c r="I2" s="197"/>
    </row>
    <row r="3" spans="1:11" ht="15.75" hidden="1" customHeight="1" outlineLevel="1" thickBot="1" x14ac:dyDescent="0.4">
      <c r="A3" s="198" t="s">
        <v>134</v>
      </c>
      <c r="B3" s="199" t="s">
        <v>0</v>
      </c>
      <c r="C3" s="200" t="s">
        <v>61</v>
      </c>
      <c r="D3" s="199" t="s">
        <v>135</v>
      </c>
      <c r="E3" s="200" t="s">
        <v>136</v>
      </c>
      <c r="F3" s="199" t="s">
        <v>138</v>
      </c>
      <c r="G3" s="200" t="s">
        <v>190</v>
      </c>
      <c r="H3" s="199" t="s">
        <v>139</v>
      </c>
      <c r="I3" s="199" t="s">
        <v>140</v>
      </c>
      <c r="J3" s="201" t="s">
        <v>190</v>
      </c>
    </row>
    <row r="4" spans="1:11" ht="15.75" hidden="1" customHeight="1" outlineLevel="1" x14ac:dyDescent="0.35">
      <c r="A4" s="202"/>
      <c r="B4" s="203"/>
      <c r="C4" s="204"/>
      <c r="D4" s="203"/>
      <c r="E4" s="204" t="s">
        <v>137</v>
      </c>
      <c r="F4" s="203"/>
      <c r="G4" s="204"/>
      <c r="H4" s="203"/>
      <c r="I4" s="203"/>
      <c r="J4" s="205"/>
    </row>
    <row r="5" spans="1:11" ht="15" hidden="1" customHeight="1" outlineLevel="1" x14ac:dyDescent="0.35">
      <c r="A5" s="7">
        <v>377</v>
      </c>
      <c r="B5" s="190">
        <v>760</v>
      </c>
      <c r="C5" s="206">
        <f>A5*B5</f>
        <v>286520</v>
      </c>
      <c r="D5" s="206">
        <v>475</v>
      </c>
      <c r="E5" s="206">
        <f>B5-D5</f>
        <v>285</v>
      </c>
      <c r="F5" s="206">
        <f>E5*A5</f>
        <v>107445</v>
      </c>
      <c r="G5" s="207">
        <f>F5/(A5*B5)</f>
        <v>0.375</v>
      </c>
      <c r="H5" s="206">
        <f>D25+D26</f>
        <v>117000</v>
      </c>
      <c r="I5" s="208">
        <f>F5-H5</f>
        <v>-9555</v>
      </c>
      <c r="J5" s="209">
        <f>I5/(A5*B5)</f>
        <v>-3.3348457350272233E-2</v>
      </c>
    </row>
    <row r="6" spans="1:11" ht="15" hidden="1" customHeight="1" outlineLevel="1" x14ac:dyDescent="0.35">
      <c r="A6" s="7">
        <v>367</v>
      </c>
      <c r="B6" s="190">
        <v>795</v>
      </c>
      <c r="C6" s="210">
        <f>A6*B6</f>
        <v>291765</v>
      </c>
      <c r="D6" s="16">
        <f>D5</f>
        <v>475</v>
      </c>
      <c r="E6" s="206">
        <f>B6-D5</f>
        <v>320</v>
      </c>
      <c r="F6" s="206">
        <f>E6*A6</f>
        <v>117440</v>
      </c>
      <c r="G6" s="207">
        <f>F6/(A6*B6)</f>
        <v>0.40251572327044027</v>
      </c>
      <c r="H6" s="206">
        <f>H5</f>
        <v>117000</v>
      </c>
      <c r="I6" s="208">
        <f>F6-H6</f>
        <v>440</v>
      </c>
      <c r="J6" s="209">
        <f>I6/(A6*B6)</f>
        <v>1.5080629959042381E-3</v>
      </c>
      <c r="K6" t="s">
        <v>296</v>
      </c>
    </row>
    <row r="7" spans="1:11" ht="15" hidden="1" customHeight="1" outlineLevel="1" thickBot="1" x14ac:dyDescent="0.4">
      <c r="A7" s="7">
        <v>340</v>
      </c>
      <c r="B7" s="190">
        <v>835</v>
      </c>
      <c r="C7" s="206">
        <f t="shared" ref="C7:C8" si="0">A7*B7</f>
        <v>283900</v>
      </c>
      <c r="D7" s="16">
        <f t="shared" ref="D7:D8" si="1">D6</f>
        <v>475</v>
      </c>
      <c r="E7" s="206">
        <f t="shared" ref="E7:E8" si="2">B7-D7</f>
        <v>360</v>
      </c>
      <c r="F7" s="210">
        <f t="shared" ref="F7:F8" si="3">E7*A7</f>
        <v>122400</v>
      </c>
      <c r="G7" s="207">
        <f t="shared" ref="G7:G8" si="4">F7/(A7*B7)</f>
        <v>0.43113772455089822</v>
      </c>
      <c r="H7" s="206">
        <f t="shared" ref="H7:H8" si="5">H6</f>
        <v>117000</v>
      </c>
      <c r="I7" s="208">
        <f t="shared" ref="I7:I8" si="6">F7-H7</f>
        <v>5400</v>
      </c>
      <c r="J7" s="209">
        <f t="shared" ref="J7:J8" si="7">I7/(A7*B7)</f>
        <v>1.9020781965480803E-2</v>
      </c>
      <c r="K7" t="s">
        <v>297</v>
      </c>
    </row>
    <row r="8" spans="1:11" ht="15.75" hidden="1" customHeight="1" outlineLevel="1" x14ac:dyDescent="0.35">
      <c r="A8" s="78">
        <v>282</v>
      </c>
      <c r="B8" s="211">
        <v>875</v>
      </c>
      <c r="C8" s="212">
        <f t="shared" si="0"/>
        <v>246750</v>
      </c>
      <c r="D8" s="213">
        <f t="shared" si="1"/>
        <v>475</v>
      </c>
      <c r="E8" s="212">
        <f t="shared" si="2"/>
        <v>400</v>
      </c>
      <c r="F8" s="212">
        <f t="shared" si="3"/>
        <v>112800</v>
      </c>
      <c r="G8" s="214">
        <f t="shared" si="4"/>
        <v>0.45714285714285713</v>
      </c>
      <c r="H8" s="212">
        <f t="shared" si="5"/>
        <v>117000</v>
      </c>
      <c r="I8" s="212">
        <f t="shared" si="6"/>
        <v>-4200</v>
      </c>
      <c r="J8" s="215">
        <f t="shared" si="7"/>
        <v>-1.7021276595744681E-2</v>
      </c>
    </row>
    <row r="9" spans="1:11" ht="15" hidden="1" customHeight="1" outlineLevel="1" thickBot="1" x14ac:dyDescent="0.4"/>
    <row r="10" spans="1:11" ht="14.25" customHeight="1" collapsed="1" thickBot="1" x14ac:dyDescent="0.4"/>
    <row r="11" spans="1:11" ht="15.75" customHeight="1" thickTop="1" x14ac:dyDescent="0.35">
      <c r="A11" s="216" t="s">
        <v>0</v>
      </c>
      <c r="B11" s="217" t="s">
        <v>134</v>
      </c>
      <c r="C11" s="200" t="s">
        <v>61</v>
      </c>
      <c r="D11" s="200" t="s">
        <v>135</v>
      </c>
      <c r="E11" s="200" t="s">
        <v>136</v>
      </c>
      <c r="F11" s="200" t="s">
        <v>138</v>
      </c>
      <c r="G11" s="200" t="s">
        <v>190</v>
      </c>
      <c r="H11" s="200" t="s">
        <v>139</v>
      </c>
      <c r="I11" s="200" t="s">
        <v>140</v>
      </c>
      <c r="J11" s="201" t="s">
        <v>190</v>
      </c>
    </row>
    <row r="12" spans="1:11" ht="14.65" customHeight="1" thickBot="1" x14ac:dyDescent="0.4">
      <c r="A12" s="218"/>
      <c r="B12" s="219"/>
      <c r="C12" s="204"/>
      <c r="D12" s="204"/>
      <c r="E12" s="204" t="s">
        <v>137</v>
      </c>
      <c r="F12" s="204"/>
      <c r="G12" s="204"/>
      <c r="H12" s="204"/>
      <c r="I12" s="204"/>
      <c r="J12" s="205"/>
    </row>
    <row r="13" spans="1:11" ht="14.65" customHeight="1" x14ac:dyDescent="0.35">
      <c r="A13" s="220">
        <v>760</v>
      </c>
      <c r="B13" s="7">
        <v>377</v>
      </c>
      <c r="C13" s="206">
        <f>B13*A13</f>
        <v>286520</v>
      </c>
      <c r="D13" s="16">
        <v>475</v>
      </c>
      <c r="E13" s="206">
        <f>A13-D13</f>
        <v>285</v>
      </c>
      <c r="F13" s="206">
        <f>E13*B13</f>
        <v>107445</v>
      </c>
      <c r="G13" s="207">
        <f>F13/(B13*A13)</f>
        <v>0.375</v>
      </c>
      <c r="H13" s="206">
        <v>117000</v>
      </c>
      <c r="I13" s="208">
        <f>F13-H13</f>
        <v>-9555</v>
      </c>
      <c r="J13" s="209">
        <f>I13/(B13*A13)</f>
        <v>-3.3348457350272233E-2</v>
      </c>
    </row>
    <row r="14" spans="1:11" ht="14.25" customHeight="1" x14ac:dyDescent="0.35">
      <c r="A14" s="220">
        <v>795</v>
      </c>
      <c r="B14" s="7">
        <v>367</v>
      </c>
      <c r="C14" s="210">
        <f>B14*A14</f>
        <v>291765</v>
      </c>
      <c r="D14" s="16">
        <f>D13</f>
        <v>475</v>
      </c>
      <c r="E14" s="206">
        <f>A14-D13</f>
        <v>320</v>
      </c>
      <c r="F14" s="206">
        <f>E14*B14</f>
        <v>117440</v>
      </c>
      <c r="G14" s="207">
        <f>F14/(B14*A14)</f>
        <v>0.40251572327044027</v>
      </c>
      <c r="H14" s="206">
        <f>H13</f>
        <v>117000</v>
      </c>
      <c r="I14" s="208">
        <f>F14-H14</f>
        <v>440</v>
      </c>
      <c r="J14" s="209">
        <f>I14/(B14*A14)</f>
        <v>1.5080629959042381E-3</v>
      </c>
    </row>
    <row r="15" spans="1:11" ht="14.25" customHeight="1" x14ac:dyDescent="0.35">
      <c r="A15" s="220">
        <v>835</v>
      </c>
      <c r="B15" s="7">
        <v>340</v>
      </c>
      <c r="C15" s="206">
        <f>B15*A15</f>
        <v>283900</v>
      </c>
      <c r="D15" s="16">
        <f t="shared" ref="D15:D16" si="8">D14</f>
        <v>475</v>
      </c>
      <c r="E15" s="206">
        <f>A15-D15</f>
        <v>360</v>
      </c>
      <c r="F15" s="206">
        <f>E15*B15</f>
        <v>122400</v>
      </c>
      <c r="G15" s="207">
        <f>F15/(B15*A15)</f>
        <v>0.43113772455089822</v>
      </c>
      <c r="H15" s="206">
        <f t="shared" ref="H15:H16" si="9">H14</f>
        <v>117000</v>
      </c>
      <c r="I15" s="208">
        <f t="shared" ref="I15:I16" si="10">F15-H15</f>
        <v>5400</v>
      </c>
      <c r="J15" s="209">
        <f>I15/(B15*A15)</f>
        <v>1.9020781965480803E-2</v>
      </c>
    </row>
    <row r="16" spans="1:11" ht="14.65" customHeight="1" thickBot="1" x14ac:dyDescent="0.4">
      <c r="A16" s="221">
        <v>875</v>
      </c>
      <c r="B16" s="78">
        <v>282</v>
      </c>
      <c r="C16" s="212">
        <f>B16*A16</f>
        <v>246750</v>
      </c>
      <c r="D16" s="213">
        <f t="shared" si="8"/>
        <v>475</v>
      </c>
      <c r="E16" s="212">
        <f>A16-D16</f>
        <v>400</v>
      </c>
      <c r="F16" s="212">
        <f>E16*B16</f>
        <v>112800</v>
      </c>
      <c r="G16" s="214">
        <f>F16/(B16*A16)</f>
        <v>0.45714285714285713</v>
      </c>
      <c r="H16" s="212">
        <f t="shared" si="9"/>
        <v>117000</v>
      </c>
      <c r="I16" s="212">
        <f t="shared" si="10"/>
        <v>-4200</v>
      </c>
      <c r="J16" s="215">
        <f>I16/(B16*A16)</f>
        <v>-1.7021276595744681E-2</v>
      </c>
    </row>
    <row r="18" spans="1:7" ht="15" thickBot="1" x14ac:dyDescent="0.4"/>
    <row r="19" spans="1:7" ht="16" thickBot="1" x14ac:dyDescent="0.4">
      <c r="A19" s="87"/>
      <c r="B19" s="88" t="s">
        <v>191</v>
      </c>
      <c r="C19" s="88" t="s">
        <v>192</v>
      </c>
      <c r="D19" s="88" t="s">
        <v>193</v>
      </c>
      <c r="E19" s="88" t="s">
        <v>194</v>
      </c>
    </row>
    <row r="20" spans="1:7" ht="16.5" thickTop="1" thickBot="1" x14ac:dyDescent="0.4">
      <c r="A20" s="89" t="s">
        <v>195</v>
      </c>
      <c r="B20" s="90">
        <f>'[1]Rent produits'!B17</f>
        <v>1125</v>
      </c>
      <c r="C20" s="90">
        <f>'[1]Rent produits'!C17</f>
        <v>1325</v>
      </c>
      <c r="D20" s="222">
        <f>VLOOKUP(D21,A13:B16,2,TRUE)</f>
        <v>367</v>
      </c>
      <c r="E20" s="90"/>
    </row>
    <row r="21" spans="1:7" ht="16" thickBot="1" x14ac:dyDescent="0.4">
      <c r="A21" s="92" t="s">
        <v>196</v>
      </c>
      <c r="B21" s="93">
        <f>'[1]Rent produits'!B18</f>
        <v>285</v>
      </c>
      <c r="C21" s="223">
        <f>'[1]Rent produits'!C18</f>
        <v>390</v>
      </c>
      <c r="D21" s="224">
        <v>795</v>
      </c>
      <c r="E21" s="225"/>
      <c r="G21" t="s">
        <v>298</v>
      </c>
    </row>
    <row r="22" spans="1:7" ht="16" thickBot="1" x14ac:dyDescent="0.4">
      <c r="A22" s="95" t="s">
        <v>197</v>
      </c>
      <c r="B22" s="96">
        <f>B21*B20</f>
        <v>320625</v>
      </c>
      <c r="C22" s="96">
        <f t="shared" ref="C22:D22" si="11">C21*C20</f>
        <v>516750</v>
      </c>
      <c r="D22" s="226">
        <f t="shared" si="11"/>
        <v>291765</v>
      </c>
      <c r="E22" s="96">
        <f>SUM(B22:D22)</f>
        <v>1129140</v>
      </c>
      <c r="G22" t="s">
        <v>299</v>
      </c>
    </row>
    <row r="23" spans="1:7" ht="16" thickBot="1" x14ac:dyDescent="0.4">
      <c r="A23" s="102" t="s">
        <v>135</v>
      </c>
      <c r="B23" s="103">
        <f>(SUM('[1]Rent produits'!B8:B11)/'[1]Rent produits'!B5)*B20</f>
        <v>241875</v>
      </c>
      <c r="C23" s="103">
        <f>(SUM('[1]Rent produits'!C8:C11)/'[1]Rent produits'!C5)*C20</f>
        <v>357750</v>
      </c>
      <c r="D23" s="103">
        <f>(SUM('[1]Rent produits'!D8:D11)/'[1]Rent produits'!D5)*D20</f>
        <v>174325</v>
      </c>
      <c r="E23" s="103">
        <f>SUM(B23:D23)</f>
        <v>773950</v>
      </c>
    </row>
    <row r="24" spans="1:7" ht="16" thickBot="1" x14ac:dyDescent="0.4">
      <c r="A24" s="95" t="s">
        <v>202</v>
      </c>
      <c r="B24" s="96">
        <f>B22-B23</f>
        <v>78750</v>
      </c>
      <c r="C24" s="96">
        <f t="shared" ref="C24:E24" si="12">C22-C23</f>
        <v>159000</v>
      </c>
      <c r="D24" s="96">
        <f t="shared" si="12"/>
        <v>117440</v>
      </c>
      <c r="E24" s="96">
        <f t="shared" si="12"/>
        <v>355190</v>
      </c>
      <c r="G24" s="16"/>
    </row>
    <row r="25" spans="1:7" ht="31.5" thickBot="1" x14ac:dyDescent="0.4">
      <c r="A25" s="102" t="s">
        <v>204</v>
      </c>
      <c r="B25" s="103">
        <f>'[1]Rent produits'!B21</f>
        <v>15000</v>
      </c>
      <c r="C25" s="103">
        <f>'[1]Rent produits'!C21</f>
        <v>45000</v>
      </c>
      <c r="D25" s="103">
        <f>'[1]Rent produits'!D21</f>
        <v>70000</v>
      </c>
      <c r="E25" s="103">
        <f>'[1]Rent produits'!E21</f>
        <v>130000</v>
      </c>
    </row>
    <row r="26" spans="1:7" ht="31.5" thickBot="1" x14ac:dyDescent="0.4">
      <c r="A26" s="104" t="s">
        <v>205</v>
      </c>
      <c r="B26" s="105">
        <f>'[1]Rent produits'!B22</f>
        <v>32500</v>
      </c>
      <c r="C26" s="105">
        <f>'[1]Rent produits'!C22</f>
        <v>37500</v>
      </c>
      <c r="D26" s="105">
        <f>'[1]Rent produits'!D22</f>
        <v>47000</v>
      </c>
      <c r="E26" s="105">
        <f>'[1]Rent produits'!E22</f>
        <v>117000</v>
      </c>
    </row>
    <row r="27" spans="1:7" ht="31.5" thickBot="1" x14ac:dyDescent="0.4">
      <c r="A27" s="95" t="s">
        <v>206</v>
      </c>
      <c r="B27" s="108">
        <f>B24-B25-B26</f>
        <v>31250</v>
      </c>
      <c r="C27" s="108">
        <f t="shared" ref="C27:E27" si="13">C24-C25-C26</f>
        <v>76500</v>
      </c>
      <c r="D27" s="108">
        <f t="shared" si="13"/>
        <v>440</v>
      </c>
      <c r="E27" s="108">
        <f t="shared" si="13"/>
        <v>108190</v>
      </c>
    </row>
    <row r="28" spans="1:7" ht="31.5" thickBot="1" x14ac:dyDescent="0.4">
      <c r="A28" s="104" t="s">
        <v>207</v>
      </c>
      <c r="B28" s="106"/>
      <c r="C28" s="106"/>
      <c r="D28" s="106"/>
      <c r="E28" s="105">
        <f>'[1]Rent produits'!E24</f>
        <v>83000</v>
      </c>
    </row>
    <row r="29" spans="1:7" ht="31.5" thickBot="1" x14ac:dyDescent="0.4">
      <c r="A29" s="95" t="s">
        <v>208</v>
      </c>
      <c r="B29" s="107"/>
      <c r="C29" s="107"/>
      <c r="D29" s="107"/>
      <c r="E29" s="96">
        <f>E27-E28</f>
        <v>25190</v>
      </c>
    </row>
    <row r="31" spans="1:7" x14ac:dyDescent="0.35">
      <c r="A31" s="73" t="s">
        <v>300</v>
      </c>
    </row>
    <row r="32" spans="1:7" ht="15" thickBot="1" x14ac:dyDescent="0.4"/>
    <row r="33" spans="1:4" ht="31.5" thickBot="1" x14ac:dyDescent="0.4">
      <c r="A33" s="88" t="s">
        <v>193</v>
      </c>
      <c r="B33" s="88"/>
    </row>
    <row r="34" spans="1:4" ht="16.5" thickTop="1" thickBot="1" x14ac:dyDescent="0.4">
      <c r="A34" s="90" t="s">
        <v>240</v>
      </c>
      <c r="B34" s="227">
        <v>835</v>
      </c>
    </row>
    <row r="35" spans="1:4" ht="16.5" thickTop="1" thickBot="1" x14ac:dyDescent="0.4">
      <c r="A35" s="90" t="s">
        <v>1</v>
      </c>
      <c r="B35" s="90">
        <f>VLOOKUP(B34,A13:B16,2,TRUE)</f>
        <v>340</v>
      </c>
    </row>
    <row r="36" spans="1:4" ht="16.5" thickTop="1" thickBot="1" x14ac:dyDescent="0.4">
      <c r="A36" s="90" t="s">
        <v>239</v>
      </c>
      <c r="B36" s="110">
        <f>D5</f>
        <v>475</v>
      </c>
    </row>
    <row r="37" spans="1:4" ht="16.5" thickTop="1" thickBot="1" x14ac:dyDescent="0.4">
      <c r="A37" s="90" t="s">
        <v>241</v>
      </c>
      <c r="B37" s="110">
        <f>D25+D26</f>
        <v>117000</v>
      </c>
    </row>
    <row r="40" spans="1:4" ht="15.5" x14ac:dyDescent="0.35">
      <c r="A40" s="228" t="s">
        <v>245</v>
      </c>
      <c r="B40" s="228" t="s">
        <v>242</v>
      </c>
      <c r="C40" t="s">
        <v>243</v>
      </c>
      <c r="D40" t="s">
        <v>244</v>
      </c>
    </row>
    <row r="41" spans="1:4" x14ac:dyDescent="0.35">
      <c r="A41">
        <v>0</v>
      </c>
      <c r="B41">
        <v>0</v>
      </c>
      <c r="C41" s="16">
        <f>D41</f>
        <v>117000</v>
      </c>
      <c r="D41" s="16">
        <f>$B$37</f>
        <v>117000</v>
      </c>
    </row>
    <row r="42" spans="1:4" x14ac:dyDescent="0.35">
      <c r="A42">
        <v>250</v>
      </c>
      <c r="B42">
        <f>A42*$B$34</f>
        <v>208750</v>
      </c>
      <c r="C42" s="16">
        <f>($B$36*A42)+D42</f>
        <v>235750</v>
      </c>
      <c r="D42" s="16">
        <f t="shared" ref="D42:D43" si="14">$B$37</f>
        <v>117000</v>
      </c>
    </row>
    <row r="43" spans="1:4" x14ac:dyDescent="0.35">
      <c r="A43">
        <v>500</v>
      </c>
      <c r="B43">
        <f>A43*$B$34</f>
        <v>417500</v>
      </c>
      <c r="C43" s="16">
        <f>($B$36*A43)+D43</f>
        <v>354500</v>
      </c>
      <c r="D43" s="16">
        <f t="shared" si="14"/>
        <v>117000</v>
      </c>
    </row>
    <row r="46" spans="1:4" x14ac:dyDescent="0.35">
      <c r="A46" s="73" t="s">
        <v>246</v>
      </c>
      <c r="B46" s="126">
        <f>B37/(B34-B36)</f>
        <v>325</v>
      </c>
      <c r="C46" s="129">
        <f>B46*$B$34</f>
        <v>271375</v>
      </c>
      <c r="D46" s="73"/>
    </row>
    <row r="47" spans="1:4" x14ac:dyDescent="0.35">
      <c r="A47" s="73" t="s">
        <v>247</v>
      </c>
      <c r="B47" s="127">
        <f>B35-B46</f>
        <v>15</v>
      </c>
      <c r="C47" s="129">
        <f>B47*$B$34</f>
        <v>12525</v>
      </c>
      <c r="D47" s="128">
        <f>B47/B35</f>
        <v>4.4117647058823532E-2</v>
      </c>
    </row>
  </sheetData>
  <mergeCells count="7">
    <mergeCell ref="A2:D2"/>
    <mergeCell ref="A3:A4"/>
    <mergeCell ref="B3:B4"/>
    <mergeCell ref="D3:D4"/>
    <mergeCell ref="F3:F4"/>
    <mergeCell ref="H3:H4"/>
    <mergeCell ref="I3:I4"/>
  </mergeCells>
  <dataValidations count="2">
    <dataValidation type="list" errorStyle="information" allowBlank="1" showInputMessage="1" showErrorMessage="1" sqref="D21" xr:uid="{9BD4E0FF-A73B-4A8A-A8D3-DA57C2CBB87C}">
      <formula1>$A$13:$A$16</formula1>
    </dataValidation>
    <dataValidation type="list" errorStyle="warning" allowBlank="1" showInputMessage="1" showErrorMessage="1" sqref="B34" xr:uid="{6EFE5955-6D9E-4F55-BB4A-49662C3B278A}">
      <formula1>$A$13:$A$16</formula1>
    </dataValidation>
  </dataValidation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6"/>
  <sheetViews>
    <sheetView topLeftCell="A28" zoomScale="85" zoomScaleNormal="85" workbookViewId="0">
      <selection activeCell="C43" sqref="C43"/>
    </sheetView>
  </sheetViews>
  <sheetFormatPr baseColWidth="10" defaultRowHeight="14.5" x14ac:dyDescent="0.35"/>
  <cols>
    <col min="1" max="1" width="24.81640625" customWidth="1"/>
    <col min="2" max="4" width="15.08984375" bestFit="1" customWidth="1"/>
    <col min="5" max="5" width="16.81640625" customWidth="1"/>
    <col min="7" max="7" width="13.453125" customWidth="1"/>
    <col min="8" max="8" width="13.81640625" bestFit="1" customWidth="1"/>
  </cols>
  <sheetData>
    <row r="1" spans="1:10" ht="16" thickBot="1" x14ac:dyDescent="0.4">
      <c r="A1" s="229" t="s">
        <v>266</v>
      </c>
    </row>
    <row r="2" spans="1:10" ht="16" thickBot="1" x14ac:dyDescent="0.4">
      <c r="A2" s="87"/>
      <c r="B2" s="88" t="s">
        <v>191</v>
      </c>
      <c r="C2" s="88" t="s">
        <v>192</v>
      </c>
      <c r="D2" s="88" t="s">
        <v>193</v>
      </c>
      <c r="E2" s="88" t="s">
        <v>194</v>
      </c>
    </row>
    <row r="3" spans="1:10" ht="16.5" thickTop="1" thickBot="1" x14ac:dyDescent="0.4">
      <c r="A3" s="89" t="s">
        <v>195</v>
      </c>
      <c r="B3" s="90">
        <f>'[1]Rent produits'!B5</f>
        <v>1125</v>
      </c>
      <c r="C3" s="90">
        <f>'[1]Rent produits'!C5</f>
        <v>1325</v>
      </c>
      <c r="D3" s="90">
        <f>'[1]Rent produits'!D5</f>
        <v>365</v>
      </c>
      <c r="E3" s="90"/>
    </row>
    <row r="4" spans="1:10" ht="16.5" thickTop="1" thickBot="1" x14ac:dyDescent="0.4">
      <c r="A4" s="92" t="s">
        <v>196</v>
      </c>
      <c r="B4" s="110">
        <f>'[1]Rent produits'!B6</f>
        <v>285</v>
      </c>
      <c r="C4" s="110">
        <f>'[1]Rent produits'!C6</f>
        <v>390</v>
      </c>
      <c r="D4" s="110">
        <f>'[1]Rent produits'!D6</f>
        <v>795</v>
      </c>
      <c r="E4" s="93"/>
    </row>
    <row r="5" spans="1:10" ht="16" thickBot="1" x14ac:dyDescent="0.4">
      <c r="A5" s="95" t="s">
        <v>197</v>
      </c>
      <c r="B5" s="96">
        <f>B4*B3</f>
        <v>320625</v>
      </c>
      <c r="C5" s="96">
        <f t="shared" ref="C5:D5" si="0">C4*C3</f>
        <v>516750</v>
      </c>
      <c r="D5" s="96">
        <f t="shared" si="0"/>
        <v>290175</v>
      </c>
      <c r="E5" s="96">
        <f>SUM(B5:D5)</f>
        <v>1127550</v>
      </c>
      <c r="I5" s="16"/>
    </row>
    <row r="6" spans="1:10" ht="16" thickBot="1" x14ac:dyDescent="0.4">
      <c r="A6" s="102" t="s">
        <v>135</v>
      </c>
      <c r="B6" s="103">
        <f>(SUM('[1]Rent produits'!B8:B11)/'[1]Rent produits'!B5)*B3</f>
        <v>241875</v>
      </c>
      <c r="C6" s="103">
        <f>(SUM('[1]Rent produits'!C8:C11)/'[1]Rent produits'!C5)*C3</f>
        <v>357750</v>
      </c>
      <c r="D6" s="103">
        <f>(SUM('[1]Rent produits'!D8:D11)/'[1]Rent produits'!D5)*D3</f>
        <v>173375</v>
      </c>
      <c r="E6" s="103">
        <f>SUM(B6:D6)</f>
        <v>773000</v>
      </c>
      <c r="F6" s="109"/>
      <c r="G6" s="16"/>
    </row>
    <row r="7" spans="1:10" ht="16" thickBot="1" x14ac:dyDescent="0.4">
      <c r="A7" s="95" t="s">
        <v>202</v>
      </c>
      <c r="B7" s="96">
        <f>B5-B6</f>
        <v>78750</v>
      </c>
      <c r="C7" s="96">
        <f t="shared" ref="C7:E7" si="1">C5-C6</f>
        <v>159000</v>
      </c>
      <c r="D7" s="96">
        <f t="shared" si="1"/>
        <v>116800</v>
      </c>
      <c r="E7" s="96">
        <f t="shared" si="1"/>
        <v>354550</v>
      </c>
      <c r="F7" s="109"/>
      <c r="H7" s="111"/>
    </row>
    <row r="8" spans="1:10" ht="16" thickBot="1" x14ac:dyDescent="0.4">
      <c r="A8" s="102" t="s">
        <v>204</v>
      </c>
      <c r="B8" s="103">
        <f>'[1]PV comp'!B25</f>
        <v>15000</v>
      </c>
      <c r="C8" s="103">
        <f>'[1]PV comp'!C25</f>
        <v>45000</v>
      </c>
      <c r="D8" s="103">
        <f>'[1]PV comp'!D25</f>
        <v>70000</v>
      </c>
      <c r="E8" s="103">
        <f>SUM(B8:D8)</f>
        <v>130000</v>
      </c>
      <c r="F8" s="109"/>
      <c r="G8" s="16"/>
    </row>
    <row r="9" spans="1:10" ht="16" thickBot="1" x14ac:dyDescent="0.4">
      <c r="A9" s="104" t="s">
        <v>205</v>
      </c>
      <c r="B9" s="103">
        <f>'[1]PV comp'!B26</f>
        <v>32500</v>
      </c>
      <c r="C9" s="103">
        <f>'[1]PV comp'!C26</f>
        <v>37500</v>
      </c>
      <c r="D9" s="103">
        <f>'[1]PV comp'!D26</f>
        <v>47000</v>
      </c>
      <c r="E9" s="103">
        <f>SUM(B9:D9)</f>
        <v>117000</v>
      </c>
      <c r="F9" s="109"/>
      <c r="G9" s="16"/>
    </row>
    <row r="10" spans="1:10" ht="16" thickBot="1" x14ac:dyDescent="0.4">
      <c r="A10" s="95" t="s">
        <v>206</v>
      </c>
      <c r="B10" s="108">
        <f>B7-B8-B9</f>
        <v>31250</v>
      </c>
      <c r="C10" s="108">
        <f t="shared" ref="C10:E10" si="2">C7-C8-C9</f>
        <v>76500</v>
      </c>
      <c r="D10" s="108">
        <f t="shared" si="2"/>
        <v>-200</v>
      </c>
      <c r="E10" s="108">
        <f t="shared" si="2"/>
        <v>107550</v>
      </c>
      <c r="F10" s="109"/>
      <c r="H10" s="111"/>
    </row>
    <row r="11" spans="1:10" ht="16" thickBot="1" x14ac:dyDescent="0.4">
      <c r="A11" s="104" t="s">
        <v>207</v>
      </c>
      <c r="B11" s="106"/>
      <c r="C11" s="106"/>
      <c r="D11" s="106"/>
      <c r="E11" s="105">
        <f>'[1]PV comp'!E28</f>
        <v>83000</v>
      </c>
      <c r="F11" s="109"/>
      <c r="G11" s="16"/>
    </row>
    <row r="12" spans="1:10" ht="16" thickBot="1" x14ac:dyDescent="0.4">
      <c r="A12" s="104" t="s">
        <v>276</v>
      </c>
      <c r="B12" s="106"/>
      <c r="C12" s="106"/>
      <c r="D12" s="106"/>
      <c r="E12" s="105"/>
      <c r="F12" s="109"/>
      <c r="G12" s="16"/>
      <c r="H12" s="16"/>
    </row>
    <row r="13" spans="1:10" ht="16" thickBot="1" x14ac:dyDescent="0.4">
      <c r="A13" s="95" t="s">
        <v>208</v>
      </c>
      <c r="B13" s="107"/>
      <c r="C13" s="107"/>
      <c r="D13" s="107"/>
      <c r="E13" s="96">
        <f>E10-E11</f>
        <v>24550</v>
      </c>
      <c r="F13" s="109"/>
      <c r="H13" s="9"/>
      <c r="J13" s="16"/>
    </row>
    <row r="15" spans="1:10" ht="15" thickBot="1" x14ac:dyDescent="0.4"/>
    <row r="16" spans="1:10" ht="16" thickBot="1" x14ac:dyDescent="0.4">
      <c r="A16" s="87"/>
      <c r="B16" s="88" t="str">
        <f t="shared" ref="B16:E17" si="3">B2</f>
        <v xml:space="preserve">Randonnée </v>
      </c>
      <c r="C16" s="88" t="str">
        <f t="shared" si="3"/>
        <v xml:space="preserve">Montagne </v>
      </c>
      <c r="D16" s="88" t="str">
        <f t="shared" si="3"/>
        <v xml:space="preserve">Compétition </v>
      </c>
      <c r="E16" s="88" t="str">
        <f t="shared" si="3"/>
        <v xml:space="preserve">Total </v>
      </c>
    </row>
    <row r="17" spans="1:10" ht="16.5" thickTop="1" thickBot="1" x14ac:dyDescent="0.4">
      <c r="A17" s="89" t="str">
        <f>A3</f>
        <v xml:space="preserve">Volume </v>
      </c>
      <c r="B17" s="90">
        <f t="shared" si="3"/>
        <v>1125</v>
      </c>
      <c r="C17" s="90">
        <f t="shared" si="3"/>
        <v>1325</v>
      </c>
      <c r="D17" s="90">
        <f t="shared" si="3"/>
        <v>365</v>
      </c>
      <c r="E17" s="90"/>
    </row>
    <row r="18" spans="1:10" ht="16.5" thickTop="1" thickBot="1" x14ac:dyDescent="0.4">
      <c r="A18" s="92" t="str">
        <f t="shared" ref="A18:E25" si="4">A4</f>
        <v xml:space="preserve">Prix </v>
      </c>
      <c r="B18" s="110">
        <f>B34</f>
        <v>319.93153666504071</v>
      </c>
      <c r="C18" s="110">
        <f t="shared" ref="C18" si="5">C34</f>
        <v>415.11827405051685</v>
      </c>
      <c r="D18" s="110">
        <f>795</f>
        <v>795</v>
      </c>
      <c r="E18" s="93"/>
    </row>
    <row r="19" spans="1:10" ht="16" thickBot="1" x14ac:dyDescent="0.4">
      <c r="A19" s="95" t="str">
        <f t="shared" si="4"/>
        <v xml:space="preserve">Ventes </v>
      </c>
      <c r="B19" s="96">
        <f>B18*B17</f>
        <v>359922.97874817078</v>
      </c>
      <c r="C19" s="96">
        <f t="shared" ref="C19:D19" si="6">C18*C17</f>
        <v>550031.71311693487</v>
      </c>
      <c r="D19" s="96">
        <f t="shared" si="6"/>
        <v>290175</v>
      </c>
      <c r="E19" s="96">
        <f>SUM(B19:D19)</f>
        <v>1200129.6918651056</v>
      </c>
      <c r="G19" s="130"/>
    </row>
    <row r="20" spans="1:10" ht="16" thickBot="1" x14ac:dyDescent="0.4">
      <c r="A20" s="102" t="str">
        <f t="shared" si="4"/>
        <v>CV</v>
      </c>
      <c r="B20" s="103">
        <f>B6/B3*B17</f>
        <v>241875</v>
      </c>
      <c r="C20" s="103">
        <f t="shared" ref="C20:D20" si="7">C6/C3*C17</f>
        <v>357750</v>
      </c>
      <c r="D20" s="103">
        <f t="shared" si="7"/>
        <v>173375</v>
      </c>
      <c r="E20" s="103">
        <f>SUM(B20:D20)</f>
        <v>773000</v>
      </c>
      <c r="J20" s="9"/>
    </row>
    <row r="21" spans="1:10" ht="16" thickBot="1" x14ac:dyDescent="0.4">
      <c r="A21" s="95" t="str">
        <f t="shared" si="4"/>
        <v xml:space="preserve">MCV </v>
      </c>
      <c r="B21" s="96">
        <f>B19-B20</f>
        <v>118047.97874817078</v>
      </c>
      <c r="C21" s="96">
        <f t="shared" ref="C21:D21" si="8">C19-C20</f>
        <v>192281.71311693487</v>
      </c>
      <c r="D21" s="96">
        <f t="shared" si="8"/>
        <v>116800</v>
      </c>
      <c r="E21" s="96">
        <f>SUM(B21:D21)</f>
        <v>427129.69186510565</v>
      </c>
      <c r="F21" s="109"/>
    </row>
    <row r="22" spans="1:10" ht="16" thickBot="1" x14ac:dyDescent="0.4">
      <c r="A22" s="102" t="str">
        <f t="shared" si="4"/>
        <v xml:space="preserve">FGF F spécifiques </v>
      </c>
      <c r="B22" s="103">
        <f t="shared" si="4"/>
        <v>15000</v>
      </c>
      <c r="C22" s="103">
        <f t="shared" si="4"/>
        <v>45000</v>
      </c>
      <c r="D22" s="103">
        <f t="shared" si="4"/>
        <v>70000</v>
      </c>
      <c r="E22" s="103">
        <f t="shared" ref="E22:E24" si="9">SUM(B22:D22)</f>
        <v>130000</v>
      </c>
    </row>
    <row r="23" spans="1:10" ht="16" thickBot="1" x14ac:dyDescent="0.4">
      <c r="A23" s="104" t="str">
        <f t="shared" si="4"/>
        <v xml:space="preserve">V&amp;A F spécifiques </v>
      </c>
      <c r="B23" s="103">
        <f t="shared" si="4"/>
        <v>32500</v>
      </c>
      <c r="C23" s="103">
        <f t="shared" si="4"/>
        <v>37500</v>
      </c>
      <c r="D23" s="103">
        <f t="shared" si="4"/>
        <v>47000</v>
      </c>
      <c r="E23" s="103">
        <f t="shared" si="9"/>
        <v>117000</v>
      </c>
    </row>
    <row r="24" spans="1:10" ht="16" thickBot="1" x14ac:dyDescent="0.4">
      <c r="A24" s="95" t="str">
        <f t="shared" si="4"/>
        <v xml:space="preserve">Marge nette </v>
      </c>
      <c r="B24" s="108">
        <f>B21-B22-B23</f>
        <v>70547.978748170775</v>
      </c>
      <c r="C24" s="108">
        <f t="shared" ref="C24:D24" si="10">C21-C22-C23</f>
        <v>109781.71311693487</v>
      </c>
      <c r="D24" s="108">
        <f t="shared" si="10"/>
        <v>-200</v>
      </c>
      <c r="E24" s="108">
        <f t="shared" si="9"/>
        <v>180129.69186510565</v>
      </c>
      <c r="F24" s="109"/>
    </row>
    <row r="25" spans="1:10" ht="16" thickBot="1" x14ac:dyDescent="0.4">
      <c r="A25" s="104" t="str">
        <f t="shared" si="4"/>
        <v xml:space="preserve">Frais communs </v>
      </c>
      <c r="B25" s="106"/>
      <c r="C25" s="106"/>
      <c r="D25" s="106"/>
      <c r="E25" s="105">
        <f t="shared" si="4"/>
        <v>83000</v>
      </c>
      <c r="F25" s="109"/>
    </row>
    <row r="26" spans="1:10" ht="16" thickBot="1" x14ac:dyDescent="0.4">
      <c r="A26" s="95" t="str">
        <f t="shared" ref="A26" si="11">A13</f>
        <v xml:space="preserve">Résultat net </v>
      </c>
      <c r="B26" s="107"/>
      <c r="C26" s="107"/>
      <c r="D26" s="107"/>
      <c r="E26" s="96">
        <f>E24-E25</f>
        <v>97129.691865105648</v>
      </c>
      <c r="F26" s="236"/>
    </row>
    <row r="30" spans="1:10" x14ac:dyDescent="0.35">
      <c r="A30" t="s">
        <v>215</v>
      </c>
      <c r="B30" s="112">
        <f>(B6+B8+B9)/B3</f>
        <v>257.22222222222223</v>
      </c>
      <c r="C30" s="112">
        <f t="shared" ref="C30:D30" si="12">(C6+C8+C9)/C3</f>
        <v>332.2641509433962</v>
      </c>
      <c r="D30" s="112">
        <f t="shared" si="12"/>
        <v>795.54794520547944</v>
      </c>
    </row>
    <row r="31" spans="1:10" x14ac:dyDescent="0.35">
      <c r="A31" t="s">
        <v>207</v>
      </c>
      <c r="B31" s="112">
        <f>($E$11*B5/$E$5)/B3</f>
        <v>20.979114008247972</v>
      </c>
      <c r="C31" s="112">
        <f t="shared" ref="C31:D31" si="13">($E$11*C5/$E$5)/C3</f>
        <v>28.708261274444592</v>
      </c>
      <c r="D31" s="112">
        <f t="shared" si="13"/>
        <v>58.520686444060125</v>
      </c>
    </row>
    <row r="32" spans="1:10" x14ac:dyDescent="0.35">
      <c r="A32" t="s">
        <v>210</v>
      </c>
      <c r="B32" s="230">
        <v>0.15</v>
      </c>
      <c r="C32" s="230">
        <v>0.15</v>
      </c>
      <c r="D32" s="230">
        <v>0.15</v>
      </c>
    </row>
    <row r="34" spans="1:5" x14ac:dyDescent="0.35">
      <c r="A34" t="s">
        <v>211</v>
      </c>
      <c r="B34" s="112">
        <f>(B30+B31)*(1+B32)</f>
        <v>319.93153666504071</v>
      </c>
      <c r="C34" s="112">
        <f>(C30+C31)*(1+C32)</f>
        <v>415.11827405051685</v>
      </c>
      <c r="D34" s="112">
        <f>(D30+D31)*(1+D32)</f>
        <v>982.1789263969705</v>
      </c>
      <c r="E34" s="231" t="s">
        <v>301</v>
      </c>
    </row>
    <row r="35" spans="1:5" x14ac:dyDescent="0.35">
      <c r="B35" s="232"/>
      <c r="C35" s="232"/>
      <c r="D35" s="232"/>
    </row>
    <row r="36" spans="1:5" x14ac:dyDescent="0.35">
      <c r="A36" s="233" t="s">
        <v>212</v>
      </c>
      <c r="B36" s="234"/>
      <c r="C36" s="234"/>
    </row>
    <row r="37" spans="1:5" x14ac:dyDescent="0.35">
      <c r="A37" s="191" t="s">
        <v>213</v>
      </c>
      <c r="B37" s="235">
        <v>275</v>
      </c>
      <c r="C37" s="235">
        <v>370</v>
      </c>
      <c r="D37" s="235">
        <v>785</v>
      </c>
    </row>
    <row r="38" spans="1:5" x14ac:dyDescent="0.35">
      <c r="A38" s="191" t="s">
        <v>214</v>
      </c>
      <c r="B38" s="112">
        <v>315</v>
      </c>
      <c r="C38" s="112">
        <v>405</v>
      </c>
      <c r="D38" s="112">
        <v>850</v>
      </c>
    </row>
    <row r="39" spans="1:5" x14ac:dyDescent="0.35">
      <c r="A39" s="233"/>
    </row>
    <row r="40" spans="1:5" x14ac:dyDescent="0.35">
      <c r="A40" t="s">
        <v>279</v>
      </c>
      <c r="B40" t="b">
        <f>AND(B34&lt;=B38,B34&gt;=B37)</f>
        <v>0</v>
      </c>
      <c r="C40" t="b">
        <f t="shared" ref="C40:D40" si="14">AND(C34&lt;=C38,C34&gt;=C37)</f>
        <v>0</v>
      </c>
      <c r="D40" t="b">
        <f t="shared" si="14"/>
        <v>0</v>
      </c>
    </row>
    <row r="43" spans="1:5" x14ac:dyDescent="0.35">
      <c r="C43" s="73" t="s">
        <v>302</v>
      </c>
    </row>
    <row r="44" spans="1:5" x14ac:dyDescent="0.35">
      <c r="C44" s="73" t="s">
        <v>303</v>
      </c>
    </row>
    <row r="52" spans="1:6" ht="15" thickBot="1" x14ac:dyDescent="0.4"/>
    <row r="53" spans="1:6" ht="16" thickBot="1" x14ac:dyDescent="0.4">
      <c r="A53" s="87">
        <f>A16</f>
        <v>0</v>
      </c>
      <c r="B53" s="88" t="str">
        <f t="shared" ref="B53:E53" si="15">B16</f>
        <v xml:space="preserve">Randonnée </v>
      </c>
      <c r="C53" s="88" t="str">
        <f t="shared" si="15"/>
        <v xml:space="preserve">Montagne </v>
      </c>
      <c r="D53" s="88" t="str">
        <f t="shared" si="15"/>
        <v xml:space="preserve">Compétition </v>
      </c>
      <c r="E53" s="88" t="str">
        <f t="shared" si="15"/>
        <v xml:space="preserve">Total </v>
      </c>
    </row>
    <row r="54" spans="1:6" ht="16.5" thickTop="1" thickBot="1" x14ac:dyDescent="0.4">
      <c r="A54" s="89" t="str">
        <f t="shared" ref="A54:E63" si="16">A17</f>
        <v xml:space="preserve">Volume </v>
      </c>
      <c r="B54" s="90">
        <f t="shared" si="16"/>
        <v>1125</v>
      </c>
      <c r="C54" s="90">
        <f t="shared" si="16"/>
        <v>1325</v>
      </c>
      <c r="D54" s="90">
        <f t="shared" si="16"/>
        <v>365</v>
      </c>
      <c r="E54" s="90">
        <f t="shared" si="16"/>
        <v>0</v>
      </c>
    </row>
    <row r="55" spans="1:6" ht="16.5" thickTop="1" thickBot="1" x14ac:dyDescent="0.4">
      <c r="A55" s="92" t="str">
        <f t="shared" si="16"/>
        <v xml:space="preserve">Prix </v>
      </c>
      <c r="B55" s="110">
        <f t="shared" si="16"/>
        <v>319.93153666504071</v>
      </c>
      <c r="C55" s="110">
        <f t="shared" si="16"/>
        <v>415.11827405051685</v>
      </c>
      <c r="D55" s="110">
        <f t="shared" si="16"/>
        <v>795</v>
      </c>
      <c r="E55" s="93">
        <f t="shared" si="16"/>
        <v>0</v>
      </c>
    </row>
    <row r="56" spans="1:6" ht="16" thickBot="1" x14ac:dyDescent="0.4">
      <c r="A56" s="95" t="str">
        <f t="shared" si="16"/>
        <v xml:space="preserve">Ventes </v>
      </c>
      <c r="B56" s="96">
        <f>B19</f>
        <v>359922.97874817078</v>
      </c>
      <c r="C56" s="96">
        <f t="shared" si="16"/>
        <v>550031.71311693487</v>
      </c>
      <c r="D56" s="96">
        <f t="shared" si="16"/>
        <v>290175</v>
      </c>
      <c r="E56" s="96">
        <f>SUM(B56:D56)</f>
        <v>1200129.6918651056</v>
      </c>
      <c r="F56" s="131">
        <f>E56/(E57+E59+E60)</f>
        <v>1.1765977371226526</v>
      </c>
    </row>
    <row r="57" spans="1:6" ht="16" thickBot="1" x14ac:dyDescent="0.4">
      <c r="A57" s="102" t="str">
        <f t="shared" si="16"/>
        <v>CV</v>
      </c>
      <c r="B57" s="103">
        <f t="shared" si="16"/>
        <v>241875</v>
      </c>
      <c r="C57" s="103">
        <f t="shared" si="16"/>
        <v>357750</v>
      </c>
      <c r="D57" s="103">
        <f t="shared" si="16"/>
        <v>173375</v>
      </c>
      <c r="E57" s="103">
        <f t="shared" si="16"/>
        <v>773000</v>
      </c>
    </row>
    <row r="58" spans="1:6" ht="16" thickBot="1" x14ac:dyDescent="0.4">
      <c r="A58" s="95" t="str">
        <f t="shared" si="16"/>
        <v xml:space="preserve">MCV </v>
      </c>
      <c r="B58" s="96">
        <f>B56-B57</f>
        <v>118047.97874817078</v>
      </c>
      <c r="C58" s="96">
        <f t="shared" ref="C58:D58" si="17">C56-C57</f>
        <v>192281.71311693487</v>
      </c>
      <c r="D58" s="96">
        <f t="shared" si="17"/>
        <v>116800</v>
      </c>
      <c r="E58" s="96">
        <f>SUM(B58:D58)</f>
        <v>427129.69186510565</v>
      </c>
      <c r="F58" s="131"/>
    </row>
    <row r="59" spans="1:6" ht="16" thickBot="1" x14ac:dyDescent="0.4">
      <c r="A59" s="102" t="str">
        <f t="shared" si="16"/>
        <v xml:space="preserve">FGF F spécifiques </v>
      </c>
      <c r="B59" s="103">
        <f t="shared" si="16"/>
        <v>15000</v>
      </c>
      <c r="C59" s="103">
        <f t="shared" si="16"/>
        <v>45000</v>
      </c>
      <c r="D59" s="103">
        <f t="shared" si="16"/>
        <v>70000</v>
      </c>
      <c r="E59" s="103">
        <f t="shared" si="16"/>
        <v>130000</v>
      </c>
    </row>
    <row r="60" spans="1:6" ht="16" thickBot="1" x14ac:dyDescent="0.4">
      <c r="A60" s="104" t="str">
        <f t="shared" si="16"/>
        <v xml:space="preserve">V&amp;A F spécifiques </v>
      </c>
      <c r="B60" s="103">
        <f t="shared" si="16"/>
        <v>32500</v>
      </c>
      <c r="C60" s="103">
        <f t="shared" si="16"/>
        <v>37500</v>
      </c>
      <c r="D60" s="103">
        <f t="shared" si="16"/>
        <v>47000</v>
      </c>
      <c r="E60" s="103">
        <f t="shared" si="16"/>
        <v>117000</v>
      </c>
    </row>
    <row r="61" spans="1:6" ht="16" thickBot="1" x14ac:dyDescent="0.4">
      <c r="A61" s="95" t="str">
        <f t="shared" si="16"/>
        <v xml:space="preserve">Marge nette </v>
      </c>
      <c r="B61" s="108">
        <f>B58-B59-B60</f>
        <v>70547.978748170775</v>
      </c>
      <c r="C61" s="108">
        <f t="shared" ref="C61:D61" si="18">C58-C59-C60</f>
        <v>109781.71311693487</v>
      </c>
      <c r="D61" s="108">
        <f t="shared" si="18"/>
        <v>-200</v>
      </c>
      <c r="E61" s="96">
        <f>SUM(B61:D61)</f>
        <v>180129.69186510565</v>
      </c>
      <c r="F61" s="109">
        <f>E61/E56</f>
        <v>0.15009185514372908</v>
      </c>
    </row>
    <row r="62" spans="1:6" ht="16" thickBot="1" x14ac:dyDescent="0.4">
      <c r="A62" s="104" t="str">
        <f t="shared" si="16"/>
        <v xml:space="preserve">Frais communs </v>
      </c>
      <c r="B62" s="106">
        <f t="shared" si="16"/>
        <v>0</v>
      </c>
      <c r="C62" s="106">
        <f t="shared" si="16"/>
        <v>0</v>
      </c>
      <c r="D62" s="106">
        <f t="shared" si="16"/>
        <v>0</v>
      </c>
      <c r="E62" s="105">
        <f t="shared" si="16"/>
        <v>83000</v>
      </c>
    </row>
    <row r="63" spans="1:6" ht="16" thickBot="1" x14ac:dyDescent="0.4">
      <c r="A63" s="95" t="str">
        <f t="shared" si="16"/>
        <v xml:space="preserve">Résultat net </v>
      </c>
      <c r="B63" s="107">
        <f t="shared" si="16"/>
        <v>0</v>
      </c>
      <c r="C63" s="107">
        <f t="shared" si="16"/>
        <v>0</v>
      </c>
      <c r="D63" s="107">
        <f t="shared" si="16"/>
        <v>0</v>
      </c>
      <c r="E63" s="96">
        <f>E61-E62</f>
        <v>97129.691865105648</v>
      </c>
      <c r="F63" s="109">
        <f>E63/E56</f>
        <v>8.0932662964248211E-2</v>
      </c>
    </row>
    <row r="65" spans="1:4" x14ac:dyDescent="0.35">
      <c r="A65" t="s">
        <v>210</v>
      </c>
      <c r="B65" s="16">
        <f>15%*(B57+B59+B60)</f>
        <v>43406.25</v>
      </c>
      <c r="C65" s="16">
        <f t="shared" ref="C65:D65" si="19">15%*(C57+C59+C60)</f>
        <v>66037.5</v>
      </c>
      <c r="D65" s="16">
        <f t="shared" si="19"/>
        <v>43556.25</v>
      </c>
    </row>
    <row r="66" spans="1:4" x14ac:dyDescent="0.35">
      <c r="A66" t="s">
        <v>211</v>
      </c>
      <c r="B66" s="112">
        <f>(B56+B65)/B54</f>
        <v>358.51486999837402</v>
      </c>
      <c r="C66" s="112">
        <f t="shared" ref="C66:D66" si="20">(C56+C65)/C54</f>
        <v>464.95789669202634</v>
      </c>
      <c r="D66" s="112">
        <f t="shared" si="20"/>
        <v>914.33219178082197</v>
      </c>
    </row>
  </sheetData>
  <mergeCells count="1">
    <mergeCell ref="B36:C36"/>
  </mergeCell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62"/>
  <sheetViews>
    <sheetView topLeftCell="A28" zoomScale="85" zoomScaleNormal="85" workbookViewId="0">
      <selection activeCell="A28" sqref="A1:XFD1048576"/>
    </sheetView>
  </sheetViews>
  <sheetFormatPr baseColWidth="10" defaultRowHeight="14.5" outlineLevelRow="1" x14ac:dyDescent="0.35"/>
  <cols>
    <col min="1" max="1" width="2.7265625" customWidth="1"/>
    <col min="2" max="2" width="16.7265625" customWidth="1"/>
    <col min="4" max="4" width="13.26953125" bestFit="1" customWidth="1"/>
  </cols>
  <sheetData>
    <row r="2" spans="2:9" ht="17" thickBot="1" x14ac:dyDescent="0.4">
      <c r="B2" s="237" t="s">
        <v>225</v>
      </c>
    </row>
    <row r="3" spans="2:9" ht="17.25" customHeight="1" x14ac:dyDescent="0.35">
      <c r="B3" s="186" t="s">
        <v>216</v>
      </c>
      <c r="C3" s="123" t="s">
        <v>37</v>
      </c>
      <c r="D3" s="123" t="s">
        <v>217</v>
      </c>
      <c r="E3" s="123" t="s">
        <v>219</v>
      </c>
      <c r="F3" s="123" t="s">
        <v>221</v>
      </c>
      <c r="G3" s="123" t="s">
        <v>222</v>
      </c>
      <c r="H3" s="123" t="s">
        <v>223</v>
      </c>
      <c r="I3" s="186" t="s">
        <v>233</v>
      </c>
    </row>
    <row r="4" spans="2:9" ht="15" thickBot="1" x14ac:dyDescent="0.4">
      <c r="B4" s="187"/>
      <c r="C4" s="124" t="s">
        <v>36</v>
      </c>
      <c r="D4" s="124" t="s">
        <v>218</v>
      </c>
      <c r="E4" s="124" t="s">
        <v>220</v>
      </c>
      <c r="F4" s="124" t="s">
        <v>277</v>
      </c>
      <c r="G4" s="124" t="s">
        <v>137</v>
      </c>
      <c r="H4" s="124" t="s">
        <v>224</v>
      </c>
      <c r="I4" s="187"/>
    </row>
    <row r="5" spans="2:9" x14ac:dyDescent="0.35">
      <c r="B5" s="118" t="s">
        <v>226</v>
      </c>
      <c r="C5" s="7">
        <v>70</v>
      </c>
      <c r="D5" s="7">
        <v>1.71</v>
      </c>
      <c r="E5" s="119">
        <v>20990</v>
      </c>
      <c r="F5" s="120">
        <f>E5/C5</f>
        <v>299.85714285714283</v>
      </c>
      <c r="G5" s="120">
        <f>F5/D5</f>
        <v>175.3550543024227</v>
      </c>
      <c r="H5" s="120">
        <v>475</v>
      </c>
      <c r="I5" s="121">
        <f>G5+H5</f>
        <v>650.35505430242267</v>
      </c>
    </row>
    <row r="6" spans="2:9" x14ac:dyDescent="0.35">
      <c r="B6" s="118" t="s">
        <v>228</v>
      </c>
      <c r="C6" s="7">
        <v>22</v>
      </c>
      <c r="D6" s="7">
        <v>9.5399999999999991</v>
      </c>
      <c r="E6" s="119">
        <v>5910</v>
      </c>
      <c r="F6" s="120">
        <f t="shared" ref="F6:G7" si="0">E6/C6</f>
        <v>268.63636363636363</v>
      </c>
      <c r="G6" s="120">
        <f t="shared" si="0"/>
        <v>28.158947970268727</v>
      </c>
      <c r="H6" s="120">
        <v>475</v>
      </c>
      <c r="I6" s="121">
        <f t="shared" ref="I6:I7" si="1">G6+H6</f>
        <v>503.15894797026874</v>
      </c>
    </row>
    <row r="7" spans="2:9" ht="15" thickBot="1" x14ac:dyDescent="0.4">
      <c r="B7" s="118" t="s">
        <v>229</v>
      </c>
      <c r="C7" s="7">
        <v>1</v>
      </c>
      <c r="D7" s="7">
        <v>35</v>
      </c>
      <c r="E7" s="122">
        <v>495</v>
      </c>
      <c r="F7" s="120">
        <f t="shared" si="0"/>
        <v>495</v>
      </c>
      <c r="G7" s="120">
        <f t="shared" si="0"/>
        <v>14.142857142857142</v>
      </c>
      <c r="H7" s="120">
        <v>475</v>
      </c>
      <c r="I7" s="121">
        <f t="shared" si="1"/>
        <v>489.14285714285717</v>
      </c>
    </row>
    <row r="8" spans="2:9" ht="15" thickBot="1" x14ac:dyDescent="0.4">
      <c r="B8" s="113"/>
      <c r="C8" s="78"/>
      <c r="D8" s="78"/>
      <c r="E8" s="122">
        <f>SUM(E5:E7)</f>
        <v>27395</v>
      </c>
      <c r="F8" s="114"/>
      <c r="G8" s="114"/>
      <c r="H8" s="114"/>
      <c r="I8" s="115"/>
    </row>
    <row r="9" spans="2:9" ht="46" x14ac:dyDescent="0.35">
      <c r="B9" s="238" t="s">
        <v>304</v>
      </c>
      <c r="C9" s="239"/>
      <c r="D9" s="239"/>
      <c r="E9" s="240"/>
      <c r="F9" s="241"/>
      <c r="G9" s="241"/>
      <c r="H9" s="241"/>
      <c r="I9" s="241"/>
    </row>
    <row r="10" spans="2:9" x14ac:dyDescent="0.35">
      <c r="B10" s="238"/>
      <c r="C10" s="239"/>
      <c r="D10" s="239"/>
      <c r="E10" s="240"/>
      <c r="F10" s="241"/>
      <c r="G10" s="241"/>
      <c r="H10" s="241"/>
      <c r="I10" s="241"/>
    </row>
    <row r="11" spans="2:9" x14ac:dyDescent="0.35">
      <c r="B11" s="242" t="s">
        <v>305</v>
      </c>
      <c r="E11" s="243"/>
      <c r="F11" s="192"/>
      <c r="G11" s="192"/>
      <c r="H11" s="241"/>
      <c r="I11" s="241"/>
    </row>
    <row r="12" spans="2:9" ht="15" outlineLevel="1" thickBot="1" x14ac:dyDescent="0.4">
      <c r="C12" s="244"/>
      <c r="D12" s="135" t="s">
        <v>248</v>
      </c>
      <c r="E12" s="136" t="s">
        <v>249</v>
      </c>
      <c r="F12" s="137" t="s">
        <v>250</v>
      </c>
      <c r="G12" s="142" t="s">
        <v>33</v>
      </c>
      <c r="I12" s="241"/>
    </row>
    <row r="13" spans="2:9" outlineLevel="1" x14ac:dyDescent="0.35">
      <c r="C13" s="245" t="s">
        <v>1</v>
      </c>
      <c r="D13" s="133">
        <v>112</v>
      </c>
      <c r="E13" s="133">
        <v>197</v>
      </c>
      <c r="F13" s="138">
        <v>31</v>
      </c>
      <c r="G13" s="246">
        <f>SUM(D13:F13)</f>
        <v>340</v>
      </c>
      <c r="I13" s="241"/>
    </row>
    <row r="14" spans="2:9" ht="14.65" customHeight="1" outlineLevel="1" x14ac:dyDescent="0.35">
      <c r="C14" s="245"/>
      <c r="D14" s="133"/>
      <c r="E14" s="133"/>
      <c r="F14" s="138"/>
      <c r="G14" s="192"/>
      <c r="I14" s="241"/>
    </row>
    <row r="15" spans="2:9" outlineLevel="1" x14ac:dyDescent="0.35">
      <c r="C15" s="139" t="s">
        <v>306</v>
      </c>
      <c r="D15" s="208">
        <f>'[1]PV comp'!$B$36</f>
        <v>475</v>
      </c>
      <c r="E15" s="208">
        <f>'[1]PV comp'!$B$36</f>
        <v>475</v>
      </c>
      <c r="F15" s="208">
        <f>'[1]PV comp'!$B$36</f>
        <v>475</v>
      </c>
      <c r="G15" s="192"/>
      <c r="I15" s="241"/>
    </row>
    <row r="16" spans="2:9" outlineLevel="1" x14ac:dyDescent="0.35">
      <c r="B16" s="190"/>
      <c r="C16" t="s">
        <v>307</v>
      </c>
      <c r="D16" s="247">
        <f>G5</f>
        <v>175.3550543024227</v>
      </c>
      <c r="E16" s="208">
        <f>G6</f>
        <v>28.158947970268727</v>
      </c>
      <c r="F16" s="208">
        <f>G7</f>
        <v>14.142857142857142</v>
      </c>
      <c r="G16" s="192"/>
      <c r="I16" s="241"/>
    </row>
    <row r="17" spans="2:9" ht="28" outlineLevel="1" x14ac:dyDescent="0.35">
      <c r="C17" s="139" t="s">
        <v>253</v>
      </c>
      <c r="D17" s="208">
        <f>$D$23/$G$13</f>
        <v>263.54411764705884</v>
      </c>
      <c r="E17" s="208">
        <f>$D$23/$G$13</f>
        <v>263.54411764705884</v>
      </c>
      <c r="F17" s="140">
        <f>$D$23/$G$13</f>
        <v>263.54411764705884</v>
      </c>
      <c r="G17" s="192"/>
      <c r="I17" s="248"/>
    </row>
    <row r="18" spans="2:9" ht="42.5" outlineLevel="1" thickBot="1" x14ac:dyDescent="0.4">
      <c r="B18" s="190"/>
      <c r="C18" s="139" t="s">
        <v>264</v>
      </c>
      <c r="D18" s="134">
        <f>D15+D17+D16</f>
        <v>913.89917194948146</v>
      </c>
      <c r="E18" s="134">
        <f>E16+E17+E15</f>
        <v>766.70306561732764</v>
      </c>
      <c r="F18" s="141">
        <f>F16+F17+F15</f>
        <v>752.68697478991601</v>
      </c>
      <c r="G18" s="192"/>
      <c r="I18" s="241"/>
    </row>
    <row r="19" spans="2:9" ht="15" outlineLevel="1" thickTop="1" x14ac:dyDescent="0.35">
      <c r="B19" s="190"/>
      <c r="C19" s="139"/>
      <c r="D19" s="208"/>
      <c r="E19" s="208"/>
      <c r="F19" s="140"/>
      <c r="G19" s="192"/>
      <c r="I19" s="241"/>
    </row>
    <row r="20" spans="2:9" outlineLevel="1" x14ac:dyDescent="0.35">
      <c r="B20" s="190"/>
      <c r="C20" s="139" t="s">
        <v>251</v>
      </c>
      <c r="D20" s="208">
        <v>835</v>
      </c>
      <c r="E20" s="208">
        <v>835</v>
      </c>
      <c r="F20" s="140">
        <v>835</v>
      </c>
      <c r="G20" s="192"/>
      <c r="I20" s="241"/>
    </row>
    <row r="21" spans="2:9" outlineLevel="1" x14ac:dyDescent="0.35">
      <c r="B21" s="190"/>
      <c r="C21" s="142" t="s">
        <v>254</v>
      </c>
      <c r="D21" s="143">
        <f>-D18+D20</f>
        <v>-78.899171949481456</v>
      </c>
      <c r="E21" s="143">
        <f t="shared" ref="E21:F21" si="2">-E18+E20</f>
        <v>68.296934382672362</v>
      </c>
      <c r="F21" s="143">
        <f t="shared" si="2"/>
        <v>82.313025210083993</v>
      </c>
      <c r="G21" s="192"/>
      <c r="I21" s="241"/>
    </row>
    <row r="22" spans="2:9" outlineLevel="1" x14ac:dyDescent="0.35">
      <c r="C22" s="190"/>
      <c r="D22" s="243"/>
      <c r="E22" s="243"/>
      <c r="F22" s="243"/>
      <c r="G22" s="192"/>
      <c r="I22" s="241"/>
    </row>
    <row r="23" spans="2:9" ht="28" outlineLevel="1" x14ac:dyDescent="0.35">
      <c r="B23" s="190"/>
      <c r="C23" s="190" t="s">
        <v>252</v>
      </c>
      <c r="D23" s="145">
        <f>117000-E8</f>
        <v>89605</v>
      </c>
      <c r="E23" s="243"/>
      <c r="F23" s="243"/>
      <c r="G23" s="192"/>
      <c r="I23" s="241"/>
    </row>
    <row r="24" spans="2:9" outlineLevel="1" x14ac:dyDescent="0.35">
      <c r="B24" s="239"/>
      <c r="C24" s="239"/>
      <c r="D24" s="240"/>
      <c r="E24" s="240"/>
      <c r="F24" s="240"/>
      <c r="G24" s="241"/>
      <c r="I24" s="241"/>
    </row>
    <row r="25" spans="2:9" x14ac:dyDescent="0.35">
      <c r="B25" s="239"/>
      <c r="C25" s="239"/>
      <c r="D25" s="240"/>
      <c r="E25" s="240"/>
      <c r="F25" s="240"/>
      <c r="G25" s="241"/>
      <c r="I25" s="241"/>
    </row>
    <row r="26" spans="2:9" x14ac:dyDescent="0.35">
      <c r="B26" s="239"/>
      <c r="C26" s="239"/>
      <c r="D26" s="240"/>
      <c r="E26" s="240"/>
      <c r="F26" s="240"/>
      <c r="G26" s="241"/>
      <c r="I26" s="241"/>
    </row>
    <row r="27" spans="2:9" x14ac:dyDescent="0.35">
      <c r="B27" s="239"/>
      <c r="C27" s="239"/>
      <c r="D27" s="240"/>
      <c r="E27" s="240"/>
      <c r="F27" s="240"/>
      <c r="G27" s="241"/>
      <c r="I27" s="241"/>
    </row>
    <row r="28" spans="2:9" x14ac:dyDescent="0.35">
      <c r="B28" s="239"/>
      <c r="C28" s="239"/>
      <c r="D28" s="240"/>
      <c r="E28" s="240"/>
      <c r="F28" s="240"/>
      <c r="G28" s="241"/>
      <c r="I28" s="241"/>
    </row>
    <row r="29" spans="2:9" x14ac:dyDescent="0.35">
      <c r="B29" s="239"/>
      <c r="C29" s="239"/>
      <c r="D29" s="240"/>
      <c r="E29" s="240"/>
      <c r="F29" s="240"/>
      <c r="G29" s="241"/>
      <c r="I29" s="241"/>
    </row>
    <row r="30" spans="2:9" x14ac:dyDescent="0.35">
      <c r="B30" s="238"/>
      <c r="C30" s="239"/>
      <c r="D30" s="239"/>
      <c r="E30" s="240"/>
      <c r="F30" s="241"/>
      <c r="G30" s="241"/>
      <c r="H30" s="241"/>
      <c r="I30" s="241"/>
    </row>
    <row r="31" spans="2:9" ht="15" thickBot="1" x14ac:dyDescent="0.4">
      <c r="B31" s="42" t="s">
        <v>34</v>
      </c>
      <c r="G31" s="241"/>
      <c r="H31" s="241"/>
      <c r="I31" s="241"/>
    </row>
    <row r="32" spans="2:9" ht="15" thickBot="1" x14ac:dyDescent="0.4">
      <c r="B32" s="181" t="s">
        <v>28</v>
      </c>
      <c r="C32" s="183" t="s">
        <v>29</v>
      </c>
      <c r="D32" s="184"/>
      <c r="E32" s="184"/>
      <c r="F32" s="185"/>
      <c r="G32" s="241"/>
      <c r="H32" s="241"/>
      <c r="I32" s="241"/>
    </row>
    <row r="33" spans="2:9" ht="15" thickBot="1" x14ac:dyDescent="0.4">
      <c r="B33" s="182"/>
      <c r="C33" s="37">
        <v>760</v>
      </c>
      <c r="D33" s="37">
        <v>795</v>
      </c>
      <c r="E33" s="249">
        <v>835</v>
      </c>
      <c r="F33" s="37">
        <v>875</v>
      </c>
      <c r="G33" s="241"/>
      <c r="H33" s="241"/>
      <c r="I33" s="241"/>
    </row>
    <row r="34" spans="2:9" ht="29.25" customHeight="1" x14ac:dyDescent="0.35">
      <c r="B34" s="116" t="s">
        <v>30</v>
      </c>
      <c r="C34" s="23">
        <v>108</v>
      </c>
      <c r="D34" s="23">
        <v>120</v>
      </c>
      <c r="E34" s="250">
        <v>112</v>
      </c>
      <c r="F34" s="23">
        <v>93</v>
      </c>
      <c r="G34" s="241"/>
      <c r="I34" s="241"/>
    </row>
    <row r="35" spans="2:9" x14ac:dyDescent="0.35">
      <c r="B35" s="116" t="s">
        <v>31</v>
      </c>
      <c r="C35" s="23">
        <v>229</v>
      </c>
      <c r="D35" s="23">
        <v>211</v>
      </c>
      <c r="E35" s="250">
        <v>197</v>
      </c>
      <c r="F35" s="23">
        <v>162</v>
      </c>
      <c r="G35" s="241"/>
      <c r="H35" s="241"/>
      <c r="I35" s="241"/>
    </row>
    <row r="36" spans="2:9" x14ac:dyDescent="0.35">
      <c r="B36" s="116" t="s">
        <v>32</v>
      </c>
      <c r="C36" s="23">
        <v>40</v>
      </c>
      <c r="D36" s="23">
        <v>36</v>
      </c>
      <c r="E36" s="250">
        <v>31</v>
      </c>
      <c r="F36" s="23">
        <v>27</v>
      </c>
      <c r="G36" s="241"/>
      <c r="H36" s="241"/>
      <c r="I36" s="241"/>
    </row>
    <row r="37" spans="2:9" ht="15" thickBot="1" x14ac:dyDescent="0.4">
      <c r="B37" s="146" t="s">
        <v>33</v>
      </c>
      <c r="C37" s="147">
        <v>377</v>
      </c>
      <c r="D37" s="147">
        <v>367</v>
      </c>
      <c r="E37" s="251">
        <v>340</v>
      </c>
      <c r="F37" s="147">
        <v>282</v>
      </c>
      <c r="G37" s="241"/>
      <c r="H37" s="241"/>
      <c r="I37" s="241"/>
    </row>
    <row r="38" spans="2:9" ht="15.75" customHeight="1" x14ac:dyDescent="0.35">
      <c r="B38" s="238"/>
      <c r="C38" s="239"/>
      <c r="D38" s="239"/>
      <c r="E38" s="240"/>
      <c r="F38" s="241"/>
      <c r="G38" s="241"/>
      <c r="H38" s="241"/>
      <c r="I38" s="241"/>
    </row>
    <row r="39" spans="2:9" ht="29.25" customHeight="1" thickBot="1" x14ac:dyDescent="0.4">
      <c r="B39" s="36" t="s">
        <v>230</v>
      </c>
    </row>
    <row r="40" spans="2:9" ht="30.75" customHeight="1" x14ac:dyDescent="0.35">
      <c r="B40" s="159" t="s">
        <v>28</v>
      </c>
      <c r="C40" s="159" t="s">
        <v>0</v>
      </c>
      <c r="D40" s="159" t="s">
        <v>231</v>
      </c>
      <c r="E40" s="159" t="s">
        <v>232</v>
      </c>
      <c r="F40" s="159" t="s">
        <v>227</v>
      </c>
      <c r="G40" s="159" t="s">
        <v>278</v>
      </c>
      <c r="H40" s="159" t="s">
        <v>234</v>
      </c>
      <c r="I40" s="252"/>
    </row>
    <row r="41" spans="2:9" x14ac:dyDescent="0.35">
      <c r="B41" s="253" t="s">
        <v>30</v>
      </c>
      <c r="C41" s="254">
        <v>760</v>
      </c>
      <c r="D41" s="255">
        <v>108</v>
      </c>
      <c r="E41" s="254">
        <f>I5</f>
        <v>650.35505430242267</v>
      </c>
      <c r="F41" s="254">
        <f>C41-E41</f>
        <v>109.64494569757733</v>
      </c>
      <c r="G41" s="254">
        <f>F41*D41</f>
        <v>11841.654135338351</v>
      </c>
      <c r="H41" s="254"/>
      <c r="I41" s="252"/>
    </row>
    <row r="42" spans="2:9" x14ac:dyDescent="0.35">
      <c r="B42" s="253"/>
      <c r="C42" s="254">
        <v>795</v>
      </c>
      <c r="D42" s="255">
        <v>120</v>
      </c>
      <c r="E42" s="254">
        <f>E41</f>
        <v>650.35505430242267</v>
      </c>
      <c r="F42" s="254">
        <f t="shared" ref="F42:F52" si="3">C42-E42</f>
        <v>144.64494569757733</v>
      </c>
      <c r="G42" s="254">
        <f t="shared" ref="G42:G52" si="4">F42*D42</f>
        <v>17357.393483709278</v>
      </c>
      <c r="H42" s="254"/>
      <c r="I42" s="190"/>
    </row>
    <row r="43" spans="2:9" x14ac:dyDescent="0.35">
      <c r="B43" s="253"/>
      <c r="C43" s="254">
        <v>835</v>
      </c>
      <c r="D43" s="255">
        <v>112</v>
      </c>
      <c r="E43" s="254">
        <f t="shared" ref="E43:E52" si="5">E42</f>
        <v>650.35505430242267</v>
      </c>
      <c r="F43" s="254">
        <f t="shared" si="3"/>
        <v>184.64494569757733</v>
      </c>
      <c r="G43" s="254">
        <f t="shared" si="4"/>
        <v>20680.233918128659</v>
      </c>
      <c r="H43" s="254"/>
      <c r="I43" s="190"/>
    </row>
    <row r="44" spans="2:9" ht="15" thickBot="1" x14ac:dyDescent="0.4">
      <c r="B44" s="256"/>
      <c r="C44" s="257">
        <v>875</v>
      </c>
      <c r="D44" s="258">
        <v>93</v>
      </c>
      <c r="E44" s="259">
        <f t="shared" si="5"/>
        <v>650.35505430242267</v>
      </c>
      <c r="F44" s="259">
        <f t="shared" si="3"/>
        <v>224.64494569757733</v>
      </c>
      <c r="G44" s="259">
        <f t="shared" si="4"/>
        <v>20891.979949874691</v>
      </c>
      <c r="H44" s="260" t="s">
        <v>235</v>
      </c>
      <c r="I44" s="117">
        <f>(C44-$D$33)/$D$33</f>
        <v>0.10062893081761007</v>
      </c>
    </row>
    <row r="45" spans="2:9" outlineLevel="1" x14ac:dyDescent="0.35">
      <c r="B45" s="261" t="s">
        <v>31</v>
      </c>
      <c r="C45" s="254">
        <v>760</v>
      </c>
      <c r="D45" s="262">
        <v>229</v>
      </c>
      <c r="E45" s="263">
        <f>I6</f>
        <v>503.15894797026874</v>
      </c>
      <c r="F45" s="263">
        <f t="shared" si="3"/>
        <v>256.84105202973126</v>
      </c>
      <c r="G45" s="263">
        <f t="shared" si="4"/>
        <v>58816.600914808456</v>
      </c>
      <c r="H45" s="263"/>
      <c r="I45" s="190"/>
    </row>
    <row r="46" spans="2:9" outlineLevel="1" x14ac:dyDescent="0.35">
      <c r="B46" s="253"/>
      <c r="C46" s="254">
        <v>795</v>
      </c>
      <c r="D46" s="255">
        <v>211</v>
      </c>
      <c r="E46" s="254">
        <f t="shared" si="5"/>
        <v>503.15894797026874</v>
      </c>
      <c r="F46" s="254">
        <f t="shared" si="3"/>
        <v>291.84105202973126</v>
      </c>
      <c r="G46" s="254">
        <f t="shared" si="4"/>
        <v>61578.461978273299</v>
      </c>
      <c r="H46" s="254"/>
      <c r="I46" s="264"/>
    </row>
    <row r="47" spans="2:9" outlineLevel="1" x14ac:dyDescent="0.35">
      <c r="B47" s="253"/>
      <c r="C47" s="265">
        <v>835</v>
      </c>
      <c r="D47" s="266">
        <v>197</v>
      </c>
      <c r="E47" s="254">
        <f t="shared" si="5"/>
        <v>503.15894797026874</v>
      </c>
      <c r="F47" s="254">
        <f t="shared" si="3"/>
        <v>331.84105202973126</v>
      </c>
      <c r="G47" s="254">
        <f t="shared" si="4"/>
        <v>65372.687249857059</v>
      </c>
      <c r="H47" s="260" t="s">
        <v>235</v>
      </c>
      <c r="I47" s="117">
        <f>(C47-$D$33)/$D$33</f>
        <v>5.0314465408805034E-2</v>
      </c>
    </row>
    <row r="48" spans="2:9" ht="15" outlineLevel="1" thickBot="1" x14ac:dyDescent="0.4">
      <c r="B48" s="256"/>
      <c r="C48" s="254">
        <v>875</v>
      </c>
      <c r="D48" s="267">
        <v>162</v>
      </c>
      <c r="E48" s="259">
        <f t="shared" si="5"/>
        <v>503.15894797026874</v>
      </c>
      <c r="F48" s="259">
        <f t="shared" si="3"/>
        <v>371.84105202973126</v>
      </c>
      <c r="G48" s="259">
        <f t="shared" si="4"/>
        <v>60238.250428816464</v>
      </c>
      <c r="H48" s="259"/>
      <c r="I48" s="264"/>
    </row>
    <row r="49" spans="2:10" outlineLevel="1" x14ac:dyDescent="0.35">
      <c r="B49" s="268" t="s">
        <v>32</v>
      </c>
      <c r="C49" s="254">
        <v>760</v>
      </c>
      <c r="D49" s="269">
        <v>40</v>
      </c>
      <c r="E49" s="270">
        <f>I7</f>
        <v>489.14285714285717</v>
      </c>
      <c r="F49" s="270">
        <f t="shared" si="3"/>
        <v>270.85714285714283</v>
      </c>
      <c r="G49" s="270">
        <f t="shared" si="4"/>
        <v>10834.285714285714</v>
      </c>
      <c r="H49" s="270"/>
      <c r="I49" s="190"/>
    </row>
    <row r="50" spans="2:10" outlineLevel="1" x14ac:dyDescent="0.35">
      <c r="B50" s="253"/>
      <c r="C50" s="271">
        <v>795</v>
      </c>
      <c r="D50" s="272">
        <v>36</v>
      </c>
      <c r="E50" s="254">
        <f t="shared" si="5"/>
        <v>489.14285714285717</v>
      </c>
      <c r="F50" s="254">
        <f t="shared" si="3"/>
        <v>305.85714285714283</v>
      </c>
      <c r="G50" s="254">
        <f t="shared" si="4"/>
        <v>11010.857142857141</v>
      </c>
      <c r="H50" s="260" t="s">
        <v>235</v>
      </c>
      <c r="I50" s="117">
        <f>(C50-$D$33)/$D$33</f>
        <v>0</v>
      </c>
    </row>
    <row r="51" spans="2:10" outlineLevel="1" x14ac:dyDescent="0.35">
      <c r="B51" s="253"/>
      <c r="C51" s="254">
        <v>835</v>
      </c>
      <c r="D51" s="255">
        <v>31</v>
      </c>
      <c r="E51" s="254">
        <f t="shared" si="5"/>
        <v>489.14285714285717</v>
      </c>
      <c r="F51" s="254">
        <f t="shared" si="3"/>
        <v>345.85714285714283</v>
      </c>
      <c r="G51" s="254">
        <f t="shared" si="4"/>
        <v>10721.571428571428</v>
      </c>
      <c r="H51" s="125"/>
      <c r="I51" s="117"/>
    </row>
    <row r="52" spans="2:10" ht="15" outlineLevel="1" thickBot="1" x14ac:dyDescent="0.4">
      <c r="B52" s="273"/>
      <c r="C52" s="254">
        <v>875</v>
      </c>
      <c r="D52" s="255">
        <v>27</v>
      </c>
      <c r="E52" s="254">
        <f t="shared" si="5"/>
        <v>489.14285714285717</v>
      </c>
      <c r="F52" s="254">
        <f t="shared" si="3"/>
        <v>385.85714285714283</v>
      </c>
      <c r="G52" s="254">
        <f t="shared" si="4"/>
        <v>10418.142857142857</v>
      </c>
      <c r="H52" s="254"/>
      <c r="I52" s="190"/>
    </row>
    <row r="53" spans="2:10" ht="15" outlineLevel="1" thickBot="1" x14ac:dyDescent="0.4">
      <c r="B53" s="148" t="s">
        <v>265</v>
      </c>
      <c r="C53" s="274">
        <f>((C44*$D$44)+(C47*$D$47)+(C50*$D$50))/$D$53</f>
        <v>841.9938650306749</v>
      </c>
      <c r="D53" s="275">
        <f>D44+D47+D50</f>
        <v>326</v>
      </c>
      <c r="E53" s="276">
        <f>((E44*$D$44)+(E47*$D$47)+(E51*$D$50))/$D$53</f>
        <v>543.60268606567831</v>
      </c>
      <c r="F53" s="276">
        <f>((F44*$D$44)+(F47*$D$47)+(F51*$D$50))/$D$53</f>
        <v>302.80835687910701</v>
      </c>
      <c r="G53" s="276">
        <f>MAX(G41:G44)+MAX(G45:G48)+MAX(G49:G52)</f>
        <v>97275.524342588891</v>
      </c>
      <c r="H53" s="192"/>
      <c r="I53" s="233"/>
    </row>
    <row r="54" spans="2:10" ht="21" outlineLevel="1" x14ac:dyDescent="0.35">
      <c r="C54" s="277" t="s">
        <v>308</v>
      </c>
      <c r="D54" s="277"/>
      <c r="E54" s="190"/>
      <c r="F54" s="192"/>
      <c r="H54" s="278"/>
      <c r="I54" s="233"/>
      <c r="J54">
        <f>70*2.2</f>
        <v>154</v>
      </c>
    </row>
    <row r="55" spans="2:10" outlineLevel="1" x14ac:dyDescent="0.35">
      <c r="B55" s="279" t="s">
        <v>33</v>
      </c>
      <c r="C55" s="277"/>
      <c r="D55" s="277"/>
      <c r="E55" s="190"/>
      <c r="F55" s="192"/>
      <c r="G55" s="254">
        <f>MAX(G41:G44)+MAX(G45:G48)+MAX(G49:G52)</f>
        <v>97275.524342588891</v>
      </c>
      <c r="H55" s="278"/>
      <c r="I55" s="233"/>
    </row>
    <row r="56" spans="2:10" outlineLevel="1" x14ac:dyDescent="0.35">
      <c r="B56" s="280" t="s">
        <v>237</v>
      </c>
      <c r="C56" s="281"/>
      <c r="D56" s="277"/>
      <c r="E56" s="277"/>
      <c r="F56" s="282"/>
      <c r="G56" s="254">
        <f>'[1]PV comp'!F14-$E$8</f>
        <v>90045</v>
      </c>
      <c r="H56" s="283"/>
      <c r="I56" s="277"/>
    </row>
    <row r="57" spans="2:10" outlineLevel="1" x14ac:dyDescent="0.35">
      <c r="B57" s="284" t="s">
        <v>236</v>
      </c>
      <c r="C57" s="281"/>
      <c r="D57" s="281"/>
      <c r="E57" s="281"/>
      <c r="F57" s="282"/>
      <c r="G57" s="254">
        <f>G55-G56</f>
        <v>7230.5243425888912</v>
      </c>
      <c r="H57" s="282"/>
      <c r="I57" s="285"/>
    </row>
    <row r="58" spans="2:10" outlineLevel="1" x14ac:dyDescent="0.35">
      <c r="B58" s="286"/>
      <c r="C58" s="277"/>
      <c r="D58" s="277"/>
      <c r="E58" s="277"/>
      <c r="F58" s="282"/>
      <c r="G58" s="282"/>
      <c r="H58" s="283"/>
      <c r="I58" s="285"/>
    </row>
    <row r="59" spans="2:10" outlineLevel="1" x14ac:dyDescent="0.35">
      <c r="B59" s="279" t="s">
        <v>33</v>
      </c>
      <c r="C59" s="277"/>
      <c r="D59" s="277"/>
      <c r="E59" s="277"/>
      <c r="F59" s="282"/>
      <c r="G59" s="254">
        <f>G55</f>
        <v>97275.524342588891</v>
      </c>
      <c r="H59" s="283"/>
      <c r="I59" s="285"/>
    </row>
    <row r="60" spans="2:10" outlineLevel="1" x14ac:dyDescent="0.35">
      <c r="B60" s="280" t="s">
        <v>238</v>
      </c>
      <c r="C60" s="281"/>
      <c r="D60" s="281"/>
      <c r="E60" s="281"/>
      <c r="F60" s="282"/>
      <c r="G60" s="254">
        <f>'[1]PV comp'!F15-$E$8</f>
        <v>95005</v>
      </c>
      <c r="H60" s="282"/>
      <c r="I60" s="277"/>
    </row>
    <row r="61" spans="2:10" outlineLevel="1" x14ac:dyDescent="0.35">
      <c r="B61" s="284" t="s">
        <v>236</v>
      </c>
      <c r="C61" s="277"/>
      <c r="D61" s="277"/>
      <c r="E61" s="277"/>
      <c r="F61" s="282"/>
      <c r="G61" s="254">
        <f>G59-G60</f>
        <v>2270.5243425888912</v>
      </c>
      <c r="H61" s="283"/>
      <c r="I61" s="277"/>
    </row>
    <row r="62" spans="2:10" outlineLevel="1" x14ac:dyDescent="0.35">
      <c r="B62" s="286"/>
      <c r="C62" s="277"/>
      <c r="D62" s="277"/>
      <c r="E62" s="277"/>
      <c r="F62" s="282"/>
      <c r="G62" s="282"/>
      <c r="H62" s="283"/>
      <c r="I62" s="277"/>
    </row>
  </sheetData>
  <mergeCells count="8">
    <mergeCell ref="I57:I59"/>
    <mergeCell ref="B3:B4"/>
    <mergeCell ref="I3:I4"/>
    <mergeCell ref="B41:B44"/>
    <mergeCell ref="B45:B48"/>
    <mergeCell ref="B32:B33"/>
    <mergeCell ref="C32:F32"/>
    <mergeCell ref="B49:B52"/>
  </mergeCells>
  <hyperlinks>
    <hyperlink ref="D12" r:id="rId1" xr:uid="{A7CA2A10-0FEA-433C-9302-F695525C2654}"/>
    <hyperlink ref="E12" r:id="rId2" xr:uid="{BB55DB10-62E9-4006-9915-498914BCEC00}"/>
    <hyperlink ref="F12" r:id="rId3" xr:uid="{E3EE8D8D-9171-45E2-830B-BAED2857E533}"/>
  </hyperlinks>
  <pageMargins left="0.7" right="0.7" top="0.75" bottom="0.75" header="0.3" footer="0.3"/>
  <pageSetup orientation="portrait" r:id="rId4"/>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6"/>
  <sheetViews>
    <sheetView tabSelected="1" zoomScaleNormal="100" workbookViewId="0">
      <selection activeCell="F5" sqref="F5"/>
    </sheetView>
  </sheetViews>
  <sheetFormatPr baseColWidth="10" defaultRowHeight="14.5" outlineLevelRow="1" x14ac:dyDescent="0.35"/>
  <cols>
    <col min="1" max="1" width="22.6328125" customWidth="1"/>
    <col min="4" max="4" width="12.36328125" customWidth="1"/>
    <col min="5" max="5" width="14.6328125" customWidth="1"/>
  </cols>
  <sheetData>
    <row r="1" spans="1:6" ht="14.25" customHeight="1" x14ac:dyDescent="0.35">
      <c r="A1" s="253" t="s">
        <v>212</v>
      </c>
      <c r="B1" s="253"/>
      <c r="C1" s="253"/>
      <c r="D1" s="253"/>
    </row>
    <row r="2" spans="1:6" x14ac:dyDescent="0.35">
      <c r="A2" s="287" t="s">
        <v>213</v>
      </c>
      <c r="B2" s="288">
        <v>275</v>
      </c>
      <c r="C2" s="288">
        <v>370</v>
      </c>
      <c r="D2" s="288">
        <v>785</v>
      </c>
    </row>
    <row r="3" spans="1:6" x14ac:dyDescent="0.35">
      <c r="A3" s="287" t="s">
        <v>214</v>
      </c>
      <c r="B3" s="289">
        <v>315</v>
      </c>
      <c r="C3" s="289">
        <v>405</v>
      </c>
      <c r="D3" s="289">
        <v>850</v>
      </c>
    </row>
    <row r="5" spans="1:6" x14ac:dyDescent="0.35">
      <c r="A5" s="188" t="s">
        <v>261</v>
      </c>
      <c r="B5" s="188"/>
    </row>
    <row r="6" spans="1:6" ht="15" thickBot="1" x14ac:dyDescent="0.4"/>
    <row r="7" spans="1:6" ht="16" thickBot="1" x14ac:dyDescent="0.4">
      <c r="A7" s="87"/>
      <c r="B7" s="88" t="s">
        <v>191</v>
      </c>
      <c r="C7" s="88" t="s">
        <v>192</v>
      </c>
      <c r="D7" s="88" t="s">
        <v>193</v>
      </c>
      <c r="E7" s="88" t="s">
        <v>194</v>
      </c>
    </row>
    <row r="8" spans="1:6" ht="16.5" thickTop="1" thickBot="1" x14ac:dyDescent="0.4">
      <c r="A8" s="89" t="s">
        <v>195</v>
      </c>
      <c r="B8" s="90">
        <f>'[1]Rent produits'!B5</f>
        <v>1125</v>
      </c>
      <c r="C8" s="90">
        <f>'[1]Rent produits'!C5</f>
        <v>1325</v>
      </c>
      <c r="D8" s="290">
        <v>340</v>
      </c>
      <c r="E8" s="90"/>
    </row>
    <row r="9" spans="1:6" ht="16" thickBot="1" x14ac:dyDescent="0.4">
      <c r="A9" s="92" t="s">
        <v>196</v>
      </c>
      <c r="B9" s="93">
        <v>315</v>
      </c>
      <c r="C9" s="93">
        <v>405</v>
      </c>
      <c r="D9" s="93">
        <v>835</v>
      </c>
      <c r="E9" s="93"/>
      <c r="F9" s="16"/>
    </row>
    <row r="10" spans="1:6" ht="16" thickBot="1" x14ac:dyDescent="0.4">
      <c r="A10" s="95" t="s">
        <v>197</v>
      </c>
      <c r="B10" s="96">
        <f>B9*B8</f>
        <v>354375</v>
      </c>
      <c r="C10" s="96">
        <f t="shared" ref="C10:D10" si="0">C9*C8</f>
        <v>536625</v>
      </c>
      <c r="D10" s="96">
        <f t="shared" si="0"/>
        <v>283900</v>
      </c>
      <c r="E10" s="96">
        <f>SUM(B10:D10)</f>
        <v>1174900</v>
      </c>
    </row>
    <row r="11" spans="1:6" ht="16" thickBot="1" x14ac:dyDescent="0.4">
      <c r="A11" s="102" t="s">
        <v>135</v>
      </c>
      <c r="B11" s="103">
        <f>('[1]PV comp'!B23/'[1]PV comp'!B20)*'[1]Proposition finale'!B8</f>
        <v>241875</v>
      </c>
      <c r="C11" s="103">
        <f>('[1]PV comp'!C23/'[1]PV comp'!C20)*'[1]Proposition finale'!C8</f>
        <v>357750</v>
      </c>
      <c r="D11" s="103">
        <f>('[1]PV comp'!D23/'[1]PV comp'!D20)*'[1]Proposition finale'!D8</f>
        <v>161500</v>
      </c>
      <c r="E11" s="103">
        <f>SUM(B11:D11)</f>
        <v>761125</v>
      </c>
    </row>
    <row r="12" spans="1:6" ht="16" thickBot="1" x14ac:dyDescent="0.4">
      <c r="A12" s="95" t="s">
        <v>202</v>
      </c>
      <c r="B12" s="96">
        <f>B10-B11</f>
        <v>112500</v>
      </c>
      <c r="C12" s="96">
        <f t="shared" ref="C12:E12" si="1">C10-C11</f>
        <v>178875</v>
      </c>
      <c r="D12" s="96">
        <f t="shared" si="1"/>
        <v>122400</v>
      </c>
      <c r="E12" s="96">
        <f t="shared" si="1"/>
        <v>413775</v>
      </c>
    </row>
    <row r="13" spans="1:6" ht="16" thickBot="1" x14ac:dyDescent="0.4">
      <c r="A13" s="102" t="s">
        <v>204</v>
      </c>
      <c r="B13" s="103">
        <f>'[1]PV comp'!B25</f>
        <v>15000</v>
      </c>
      <c r="C13" s="103">
        <f>'[1]PV comp'!C25</f>
        <v>45000</v>
      </c>
      <c r="D13" s="103">
        <f>'[1]PV comp'!D25</f>
        <v>70000</v>
      </c>
      <c r="E13" s="103">
        <f>SUM(B13:D13)</f>
        <v>130000</v>
      </c>
    </row>
    <row r="14" spans="1:6" ht="16" thickBot="1" x14ac:dyDescent="0.4">
      <c r="A14" s="104" t="s">
        <v>205</v>
      </c>
      <c r="B14" s="103">
        <f>'[1]PV comp'!B26</f>
        <v>32500</v>
      </c>
      <c r="C14" s="103">
        <f>'[1]PV comp'!C26</f>
        <v>37500</v>
      </c>
      <c r="D14" s="103">
        <f>'[1]PV comp'!D26</f>
        <v>47000</v>
      </c>
      <c r="E14" s="103">
        <f>SUM(B14:D14)</f>
        <v>117000</v>
      </c>
    </row>
    <row r="15" spans="1:6" ht="16" thickBot="1" x14ac:dyDescent="0.4">
      <c r="A15" s="95" t="s">
        <v>206</v>
      </c>
      <c r="B15" s="108">
        <f>B12-B13-B14</f>
        <v>65000</v>
      </c>
      <c r="C15" s="108">
        <f t="shared" ref="C15:D15" si="2">C12-C13-C14</f>
        <v>96375</v>
      </c>
      <c r="D15" s="108">
        <f t="shared" si="2"/>
        <v>5400</v>
      </c>
      <c r="E15" s="108">
        <f>E12-E13-E14</f>
        <v>166775</v>
      </c>
    </row>
    <row r="16" spans="1:6" ht="16" thickBot="1" x14ac:dyDescent="0.4">
      <c r="A16" s="104" t="s">
        <v>207</v>
      </c>
      <c r="B16" s="106"/>
      <c r="C16" s="106"/>
      <c r="D16" s="106"/>
      <c r="E16" s="105">
        <f>'[1]PV comp'!E28</f>
        <v>83000</v>
      </c>
    </row>
    <row r="17" spans="1:6" ht="16" thickBot="1" x14ac:dyDescent="0.4">
      <c r="A17" s="95" t="s">
        <v>208</v>
      </c>
      <c r="B17" s="107"/>
      <c r="C17" s="107"/>
      <c r="D17" s="107"/>
      <c r="E17" s="96">
        <f>E15-E16</f>
        <v>83775</v>
      </c>
      <c r="F17" s="109"/>
    </row>
    <row r="18" spans="1:6" x14ac:dyDescent="0.35">
      <c r="B18" s="109">
        <f>B15/B10</f>
        <v>0.18342151675485008</v>
      </c>
      <c r="C18" s="109">
        <f t="shared" ref="C18:D18" si="3">C15/C10</f>
        <v>0.17959468902865131</v>
      </c>
      <c r="D18" s="109">
        <f t="shared" si="3"/>
        <v>1.9020781965480803E-2</v>
      </c>
    </row>
    <row r="23" spans="1:6" x14ac:dyDescent="0.35">
      <c r="A23" s="73" t="s">
        <v>262</v>
      </c>
    </row>
    <row r="24" spans="1:6" x14ac:dyDescent="0.35">
      <c r="A24" t="s">
        <v>255</v>
      </c>
      <c r="C24" s="16">
        <v>75000</v>
      </c>
    </row>
    <row r="25" spans="1:6" x14ac:dyDescent="0.35">
      <c r="A25" t="s">
        <v>257</v>
      </c>
      <c r="C25">
        <v>400</v>
      </c>
    </row>
    <row r="27" spans="1:6" outlineLevel="1" x14ac:dyDescent="0.35"/>
    <row r="28" spans="1:6" outlineLevel="1" x14ac:dyDescent="0.35">
      <c r="A28" s="244" t="s">
        <v>136</v>
      </c>
      <c r="B28" s="291"/>
      <c r="C28" s="292">
        <v>320</v>
      </c>
      <c r="D28" s="293"/>
    </row>
    <row r="29" spans="1:6" outlineLevel="1" x14ac:dyDescent="0.35">
      <c r="A29" s="294"/>
      <c r="C29" s="16"/>
      <c r="D29" s="295"/>
    </row>
    <row r="30" spans="1:6" outlineLevel="1" x14ac:dyDescent="0.35">
      <c r="A30" s="294" t="s">
        <v>258</v>
      </c>
      <c r="C30" s="16">
        <f>C28*C25</f>
        <v>128000</v>
      </c>
      <c r="D30" s="295"/>
    </row>
    <row r="31" spans="1:6" outlineLevel="1" x14ac:dyDescent="0.35">
      <c r="A31" s="294" t="s">
        <v>256</v>
      </c>
      <c r="C31" s="296">
        <f>C24/C28</f>
        <v>234.375</v>
      </c>
      <c r="D31" s="295"/>
    </row>
    <row r="32" spans="1:6" outlineLevel="1" x14ac:dyDescent="0.35">
      <c r="A32" s="297" t="s">
        <v>259</v>
      </c>
      <c r="B32" s="298"/>
      <c r="C32" s="299">
        <f>C25-C31</f>
        <v>165.625</v>
      </c>
      <c r="D32" s="300">
        <f>C32/C25</f>
        <v>0.4140625</v>
      </c>
    </row>
    <row r="33" spans="1:1" outlineLevel="1" x14ac:dyDescent="0.35"/>
    <row r="34" spans="1:1" x14ac:dyDescent="0.35">
      <c r="A34" s="73" t="s">
        <v>263</v>
      </c>
    </row>
    <row r="36" spans="1:1" x14ac:dyDescent="0.35">
      <c r="A36" t="s">
        <v>260</v>
      </c>
    </row>
  </sheetData>
  <mergeCells count="2">
    <mergeCell ref="A1:D1"/>
    <mergeCell ref="A5:B5"/>
  </mergeCells>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88C45F76CCDB43A86359868621ABBF" ma:contentTypeVersion="8" ma:contentTypeDescription="Create a new document." ma:contentTypeScope="" ma:versionID="88cce1ec5845f43c654261a9a871cf16">
  <xsd:schema xmlns:xsd="http://www.w3.org/2001/XMLSchema" xmlns:xs="http://www.w3.org/2001/XMLSchema" xmlns:p="http://schemas.microsoft.com/office/2006/metadata/properties" xmlns:ns3="65806708-f9f3-41fb-896d-8a4e9be62363" xmlns:ns4="e46d8f65-c35b-4982-94a2-35659ae4d67c" targetNamespace="http://schemas.microsoft.com/office/2006/metadata/properties" ma:root="true" ma:fieldsID="3e37f8128cf5b1c0bfdcad3bb89caa08" ns3:_="" ns4:_="">
    <xsd:import namespace="65806708-f9f3-41fb-896d-8a4e9be62363"/>
    <xsd:import namespace="e46d8f65-c35b-4982-94a2-35659ae4d67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806708-f9f3-41fb-896d-8a4e9be623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46d8f65-c35b-4982-94a2-35659ae4d67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885616B-71BB-4F73-83F6-A05D3556B7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806708-f9f3-41fb-896d-8a4e9be62363"/>
    <ds:schemaRef ds:uri="e46d8f65-c35b-4982-94a2-35659ae4d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D3FAAC-E5AB-4C99-8020-E9E720F5AA82}">
  <ds:schemaRefs>
    <ds:schemaRef ds:uri="http://schemas.microsoft.com/sharepoint/v3/contenttype/forms"/>
  </ds:schemaRefs>
</ds:datastoreItem>
</file>

<file path=customXml/itemProps3.xml><?xml version="1.0" encoding="utf-8"?>
<ds:datastoreItem xmlns:ds="http://schemas.openxmlformats.org/officeDocument/2006/customXml" ds:itemID="{AAF3E033-A3E6-4B66-AEFE-7511D1C22F46}">
  <ds:schemaRefs>
    <ds:schemaRef ds:uri="e46d8f65-c35b-4982-94a2-35659ae4d67c"/>
    <ds:schemaRef ds:uri="http://schemas.microsoft.com/office/2006/documentManagement/types"/>
    <ds:schemaRef ds:uri="http://purl.org/dc/dcmitype/"/>
    <ds:schemaRef ds:uri="http://purl.org/dc/terms/"/>
    <ds:schemaRef ds:uri="http://purl.org/dc/elements/1.1/"/>
    <ds:schemaRef ds:uri="http://schemas.openxmlformats.org/package/2006/metadata/core-properties"/>
    <ds:schemaRef ds:uri="http://schemas.microsoft.com/office/2006/metadata/properties"/>
    <ds:schemaRef ds:uri="65806708-f9f3-41fb-896d-8a4e9be62363"/>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Décisions</vt:lpstr>
      <vt:lpstr>Questions</vt:lpstr>
      <vt:lpstr>Données cas</vt:lpstr>
      <vt:lpstr>Rent produits</vt:lpstr>
      <vt:lpstr>PV comp</vt:lpstr>
      <vt:lpstr>Majoration 15%</vt:lpstr>
      <vt:lpstr>Cout_commande</vt:lpstr>
      <vt:lpstr>Proposition finale</vt:lpstr>
    </vt:vector>
  </TitlesOfParts>
  <Company>HEC Montréal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 Vézina</dc:creator>
  <cp:lastModifiedBy>marie-eve quenneville</cp:lastModifiedBy>
  <dcterms:created xsi:type="dcterms:W3CDTF">2009-10-30T17:28:55Z</dcterms:created>
  <dcterms:modified xsi:type="dcterms:W3CDTF">2021-11-20T13:59:59Z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0x010100CF88C45F76CCDB43A86359868621ABBF</vt:lpwstr>
  </property>
</Properties>
</file>