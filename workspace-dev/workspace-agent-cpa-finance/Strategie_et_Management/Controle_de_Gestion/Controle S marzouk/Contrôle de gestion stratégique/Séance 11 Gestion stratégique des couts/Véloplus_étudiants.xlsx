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S\Contrôle de gestion stratégique\Séance 11 Gestion stratégique des couts\"/>
    </mc:Choice>
  </mc:AlternateContent>
  <xr:revisionPtr revIDLastSave="0" documentId="13_ncr:1_{AA8B3A64-1CBD-4BAE-9DA0-74673FE31776}" xr6:coauthVersionLast="47" xr6:coauthVersionMax="47" xr10:uidLastSave="{00000000-0000-0000-0000-000000000000}"/>
  <bookViews>
    <workbookView xWindow="-108" yWindow="-108" windowWidth="23256" windowHeight="13896" activeTab="8" xr2:uid="{00000000-000D-0000-FFFF-FFFF00000000}"/>
  </bookViews>
  <sheets>
    <sheet name="Décisions" sheetId="8" r:id="rId1"/>
    <sheet name="Questions" sheetId="7" r:id="rId2"/>
    <sheet name="Données cas" sheetId="1" r:id="rId3"/>
    <sheet name="Vélo de randonnée" sheetId="9" r:id="rId4"/>
    <sheet name="Vélo de compétition" sheetId="10" r:id="rId5"/>
    <sheet name="Feuil2" sheetId="11" r:id="rId6"/>
    <sheet name="Feuil3" sheetId="12" r:id="rId7"/>
    <sheet name="Feuil4" sheetId="13" r:id="rId8"/>
    <sheet name="Feuil5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4" l="1"/>
  <c r="G12" i="14"/>
  <c r="G24" i="14"/>
  <c r="G18" i="14"/>
  <c r="F26" i="14"/>
  <c r="F14" i="14"/>
  <c r="F24" i="14"/>
  <c r="F25" i="14"/>
  <c r="E23" i="14"/>
  <c r="F23" i="14" s="1"/>
  <c r="E24" i="14"/>
  <c r="E25" i="14"/>
  <c r="E18" i="14"/>
  <c r="F18" i="14" s="1"/>
  <c r="E19" i="14"/>
  <c r="F19" i="14" s="1"/>
  <c r="E17" i="14"/>
  <c r="F17" i="14" s="1"/>
  <c r="F20" i="14" s="1"/>
  <c r="F12" i="14"/>
  <c r="F13" i="14"/>
  <c r="G10" i="13"/>
  <c r="I10" i="13"/>
  <c r="E13" i="14"/>
  <c r="E12" i="14"/>
  <c r="E11" i="14"/>
  <c r="F11" i="14" s="1"/>
  <c r="F5" i="14"/>
  <c r="E6" i="14"/>
  <c r="F6" i="14" s="1"/>
  <c r="F8" i="14" s="1"/>
  <c r="E7" i="14"/>
  <c r="F7" i="14" s="1"/>
  <c r="E5" i="14"/>
  <c r="J9" i="13"/>
  <c r="G9" i="13"/>
  <c r="M11" i="13"/>
  <c r="M10" i="13"/>
  <c r="J11" i="13"/>
  <c r="L11" i="13"/>
  <c r="J10" i="13"/>
  <c r="M9" i="13"/>
  <c r="L10" i="13"/>
  <c r="L9" i="13"/>
  <c r="B14" i="13"/>
  <c r="F20" i="12"/>
  <c r="F21" i="12"/>
  <c r="E22" i="12"/>
  <c r="I11" i="13"/>
  <c r="I9" i="13"/>
  <c r="G11" i="13"/>
  <c r="F11" i="13"/>
  <c r="F10" i="13"/>
  <c r="F9" i="13"/>
  <c r="D24" i="12"/>
  <c r="D22" i="12"/>
  <c r="G24" i="12" s="1"/>
  <c r="G25" i="12" s="1"/>
  <c r="C22" i="12"/>
  <c r="B22" i="12"/>
  <c r="B24" i="12" s="1"/>
  <c r="D21" i="12"/>
  <c r="C21" i="12"/>
  <c r="B21" i="12"/>
  <c r="E20" i="12"/>
  <c r="D20" i="12"/>
  <c r="C20" i="12"/>
  <c r="B20" i="12"/>
  <c r="D16" i="12"/>
  <c r="D18" i="12" s="1"/>
  <c r="C16" i="12"/>
  <c r="C18" i="12" s="1"/>
  <c r="B16" i="12"/>
  <c r="M6" i="11"/>
  <c r="M7" i="11"/>
  <c r="M8" i="11"/>
  <c r="M5" i="11"/>
  <c r="L6" i="11"/>
  <c r="L7" i="11"/>
  <c r="L8" i="11"/>
  <c r="L5" i="11"/>
  <c r="I6" i="11"/>
  <c r="I7" i="11"/>
  <c r="I8" i="11"/>
  <c r="I5" i="11"/>
  <c r="H7" i="11"/>
  <c r="E18" i="9"/>
  <c r="E6" i="11"/>
  <c r="G6" i="11" s="1"/>
  <c r="E7" i="11"/>
  <c r="G15" i="9"/>
  <c r="G14" i="9"/>
  <c r="F6" i="11"/>
  <c r="J6" i="11" s="1"/>
  <c r="F7" i="11"/>
  <c r="J7" i="11" s="1"/>
  <c r="K7" i="11" s="1"/>
  <c r="F8" i="11"/>
  <c r="J8" i="11" s="1"/>
  <c r="F5" i="11"/>
  <c r="J5" i="11" s="1"/>
  <c r="E8" i="11"/>
  <c r="G8" i="11" s="1"/>
  <c r="E5" i="11"/>
  <c r="G5" i="11" s="1"/>
  <c r="B10" i="10"/>
  <c r="B17" i="10" s="1"/>
  <c r="B19" i="10" s="1"/>
  <c r="F20" i="9"/>
  <c r="D18" i="9"/>
  <c r="C18" i="9"/>
  <c r="D17" i="9"/>
  <c r="E17" i="9"/>
  <c r="C17" i="9"/>
  <c r="F14" i="9"/>
  <c r="E15" i="9"/>
  <c r="D15" i="9"/>
  <c r="C15" i="9"/>
  <c r="E14" i="9"/>
  <c r="D14" i="9"/>
  <c r="C14" i="9"/>
  <c r="D25" i="12" l="1"/>
  <c r="C24" i="12"/>
  <c r="C25" i="12" s="1"/>
  <c r="B25" i="12"/>
  <c r="B18" i="12"/>
  <c r="K5" i="11"/>
  <c r="K8" i="11"/>
  <c r="H5" i="11"/>
  <c r="H8" i="11"/>
  <c r="H6" i="11"/>
  <c r="K6" i="11" s="1"/>
  <c r="G7" i="11"/>
  <c r="D12" i="9" l="1"/>
  <c r="E12" i="9"/>
  <c r="D10" i="9"/>
  <c r="E10" i="9"/>
  <c r="C12" i="9"/>
  <c r="C10" i="9"/>
  <c r="E23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 Vézina</author>
  </authors>
  <commentList>
    <comment ref="A6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Michel Vézina:</t>
        </r>
        <r>
          <rPr>
            <sz val="8"/>
            <color indexed="81"/>
            <rFont val="Tahoma"/>
            <family val="2"/>
          </rPr>
          <t xml:space="preserve">
Question 1
</t>
        </r>
      </text>
    </comment>
  </commentList>
</comments>
</file>

<file path=xl/sharedStrings.xml><?xml version="1.0" encoding="utf-8"?>
<sst xmlns="http://schemas.openxmlformats.org/spreadsheetml/2006/main" count="261" uniqueCount="147">
  <si>
    <t>Prix</t>
  </si>
  <si>
    <t>Volume</t>
  </si>
  <si>
    <t>(unités)</t>
  </si>
  <si>
    <t>Probabilité</t>
  </si>
  <si>
    <t>estimé</t>
  </si>
  <si>
    <t>Chiffre</t>
  </si>
  <si>
    <t>d'affaires</t>
  </si>
  <si>
    <t>prévu</t>
  </si>
  <si>
    <t>Résultats de l'étude de marché</t>
  </si>
  <si>
    <t>Taille de commande</t>
  </si>
  <si>
    <t>Prix possibles selon étude de marché</t>
  </si>
  <si>
    <t>1 à 5 unités</t>
  </si>
  <si>
    <t>6 à 20 unités</t>
  </si>
  <si>
    <t>21 unités et +</t>
  </si>
  <si>
    <t>Total</t>
  </si>
  <si>
    <t>Variation de prix et effets sur le nombre de vélo de compétition par taille de commande</t>
  </si>
  <si>
    <t>Taille des</t>
  </si>
  <si>
    <t>commandes</t>
  </si>
  <si>
    <t>Nombre de</t>
  </si>
  <si>
    <t>Quantité moyenne</t>
  </si>
  <si>
    <t>commandée</t>
  </si>
  <si>
    <t>Coût des</t>
  </si>
  <si>
    <t>Total :</t>
  </si>
  <si>
    <t>Coût d'exécution des commandes de vélos de compétition</t>
  </si>
  <si>
    <t>en fonction du nombre d'unités commandées</t>
  </si>
  <si>
    <t>Produits</t>
  </si>
  <si>
    <t>Prix moyen sur le marché</t>
  </si>
  <si>
    <t>Randonnée</t>
  </si>
  <si>
    <t>Montagne</t>
  </si>
  <si>
    <t>Compétition</t>
  </si>
  <si>
    <t>Prix de vente unitaire :</t>
  </si>
  <si>
    <r>
      <t>Coûts unitaires variables</t>
    </r>
    <r>
      <rPr>
        <sz val="11"/>
        <color theme="1"/>
        <rFont val="Times New Roman"/>
        <family val="1"/>
      </rPr>
      <t> :</t>
    </r>
  </si>
  <si>
    <t>Matières premières</t>
  </si>
  <si>
    <t>Main-d'œuvre directe</t>
  </si>
  <si>
    <t>Frais généraux de fabrication var.</t>
  </si>
  <si>
    <t>Frais de vente et d'administration var.</t>
  </si>
  <si>
    <t>Marge sur coûts variables unitaires (MCV)</t>
  </si>
  <si>
    <t>MCV en % du prix de vente</t>
  </si>
  <si>
    <t>Calcul de la marge sur coûts variables par produit</t>
  </si>
  <si>
    <t>Ventes</t>
  </si>
  <si>
    <t>Ventes (unités)</t>
  </si>
  <si>
    <t xml:space="preserve">1 125 </t>
  </si>
  <si>
    <t xml:space="preserve">1 325 </t>
  </si>
  <si>
    <t>Coûts de fabrication :</t>
  </si>
  <si>
    <t>. Matières premières</t>
  </si>
  <si>
    <t>. Main-d'œuvre directe</t>
  </si>
  <si>
    <t>. Frais généraux de fabri-cation (note 1)</t>
  </si>
  <si>
    <t>Frais généraux de vente et d'administration (note 2)</t>
  </si>
  <si>
    <t>Bénéfice d'exploitation</t>
  </si>
  <si>
    <t>en % des ventes</t>
  </si>
  <si>
    <t>Calcul de la rentabilité par produit</t>
  </si>
  <si>
    <t>Données du cas</t>
  </si>
  <si>
    <t>Prix moyens sur le marché par catégorie de vélo</t>
  </si>
  <si>
    <t>Coût de fabrication</t>
  </si>
  <si>
    <t>Frais généraux de vente et d'administration</t>
  </si>
  <si>
    <t>Coût total</t>
  </si>
  <si>
    <t>Majoration du coût total de 15 %</t>
  </si>
  <si>
    <t>Chiffre d'affaires espéré</t>
  </si>
  <si>
    <t>Prix de vente unitaire que l'on devrait fixer</t>
  </si>
  <si>
    <t>Prix de vente unitaire avec une majoration des coûts de 15 %</t>
  </si>
  <si>
    <t>Frais généraux de</t>
  </si>
  <si>
    <t>fabrication fixes</t>
  </si>
  <si>
    <t>Main-d'œuvre indirecte</t>
  </si>
  <si>
    <t>Recherche et développement</t>
  </si>
  <si>
    <t>Contrôle de la qualité</t>
  </si>
  <si>
    <t>Total des frais généraux de fabrication spécifiques</t>
  </si>
  <si>
    <t>Entretien et réparation</t>
  </si>
  <si>
    <t>Amortissement</t>
  </si>
  <si>
    <t>Électricité et chauffage</t>
  </si>
  <si>
    <t>Divers</t>
  </si>
  <si>
    <t>Total des frais généraux de fabrication</t>
  </si>
  <si>
    <t>Détail des frais fixes par produit</t>
  </si>
  <si>
    <t>Frais de vente et</t>
  </si>
  <si>
    <t>d'administration fixes</t>
  </si>
  <si>
    <t>Coût des commandes</t>
  </si>
  <si>
    <t>Publicité et commandites</t>
  </si>
  <si>
    <t>Total des frais de vente et d'administration spécifiques</t>
  </si>
  <si>
    <t>Salaires</t>
  </si>
  <si>
    <t>Total des frais de vente et d'administration</t>
  </si>
  <si>
    <t>Questions pour susciter la discussion ou souligner certains aspects du cas.</t>
  </si>
  <si>
    <t>Devrait-on abandonner la fabrication des vélos de randonnée et mettre plutôt l'accent sur la vente des vélos de compétition ?</t>
  </si>
  <si>
    <t>Que pensez-vous du prix de vente de 795 $ pour les vélos de compétition ?</t>
  </si>
  <si>
    <t xml:space="preserve">Qu'est‑ce qui explique le fait que les prix obtenus en majorant les coûts de 15 % soient si différents de ceux des concurrents ? </t>
  </si>
  <si>
    <t>Existe-t-il un moyen pour que Véloplus puisse améliorer la rentabilité des vélos de compétition sans engendrer de réactions de ses concurrents ?</t>
  </si>
  <si>
    <t>Suite aux analyses précédentes et en tenant compte des autres facteurs pertinents, donnez votre recommandation finale quant aux prix à fixer pour chacun des produits.</t>
  </si>
  <si>
    <t>Quelle est la rentabilité prévue de Véloplus pour la prochaine année en tenant compte des nouveaux prix </t>
  </si>
  <si>
    <r>
      <t xml:space="preserve">Existe-t-il un moyen de fixer les prix de ventes des </t>
    </r>
    <r>
      <rPr>
        <b/>
        <sz val="16"/>
        <color theme="1"/>
        <rFont val="Times New Roman"/>
        <family val="1"/>
      </rPr>
      <t>vélos de compétition</t>
    </r>
    <r>
      <rPr>
        <sz val="16"/>
        <color theme="1"/>
        <rFont val="Times New Roman"/>
        <family val="1"/>
      </rPr>
      <t xml:space="preserve"> de façon à obtenir une meilleure rentabilité à un prix compétitif ? Quels seraient ce ou ces prix ? Quelle serait alors la rentabilité prévue ?</t>
    </r>
  </si>
  <si>
    <t>O+</t>
  </si>
  <si>
    <t>O</t>
  </si>
  <si>
    <t>Outil le plus approprié pour la tâche</t>
  </si>
  <si>
    <t>Outil approprié pour la tâche</t>
  </si>
  <si>
    <t>Quantités actuelles (unités)</t>
  </si>
  <si>
    <t>Quantité actuelle (unités)</t>
  </si>
  <si>
    <t>70000 $</t>
  </si>
  <si>
    <r>
      <t xml:space="preserve">relative aux vélos de </t>
    </r>
    <r>
      <rPr>
        <b/>
        <sz val="13"/>
        <color rgb="FFFF0000"/>
        <rFont val="Times New Roman"/>
        <family val="1"/>
      </rPr>
      <t>compétition</t>
    </r>
  </si>
  <si>
    <t>Unité</t>
  </si>
  <si>
    <t>Frais généraux de fabri-cation fixes</t>
  </si>
  <si>
    <t>Frais généraux de vente et d'administration fixes</t>
  </si>
  <si>
    <t>Cout commun</t>
  </si>
  <si>
    <t>Bénéfice unitaire</t>
  </si>
  <si>
    <t>Bénéfice total</t>
  </si>
  <si>
    <t>Bénéfice net total</t>
  </si>
  <si>
    <t>On constate que avec la réaprtition des frais fixes spécifique pour chaque produits les vélos de randonnés dégage un</t>
  </si>
  <si>
    <t xml:space="preserve">bénéfice d'exploitaion positif contre la vélo de compétition qui engendre une perte de 200 dollars </t>
  </si>
  <si>
    <t xml:space="preserve">Recommandation:on doit abandonner l'activité de prodution de vélos de randonnés </t>
  </si>
  <si>
    <t>[785 $ - 850 $]</t>
  </si>
  <si>
    <t>Le cout total</t>
  </si>
  <si>
    <t>Majoration</t>
  </si>
  <si>
    <t>Prix de vente prévu</t>
  </si>
  <si>
    <t xml:space="preserve">Le prix de vente actuel de 795 ne couvre pas la totalité des frais fixes et variables a ce prix vélo plus dégage une perte de 200 dollar par vélo </t>
  </si>
  <si>
    <t xml:space="preserve">meme si le prix il est a l'interieur de dourchette de prix de marché et si on ajoute les 200 on dépasse le prix de vente de concurrence </t>
  </si>
  <si>
    <t>Cout variable</t>
  </si>
  <si>
    <t>MCV</t>
  </si>
  <si>
    <t>Cout fixe spécifique</t>
  </si>
  <si>
    <t>bénéfice</t>
  </si>
  <si>
    <t>MCV Total</t>
  </si>
  <si>
    <t xml:space="preserve">Le prix de vente de 795 meme si il est a l'interieur de la fourchette de prix de concurrence ne couvre pas la </t>
  </si>
  <si>
    <t xml:space="preserve">tatalité de charges doit charges variables et charge fixes spécifixes selon l'étude de marché on constate que le </t>
  </si>
  <si>
    <t xml:space="preserve">prix de vente 835 est plus adéquat car il dégage un résultat bénéficiaire de 5400 pour un volume de vente de </t>
  </si>
  <si>
    <t xml:space="preserve">340 vélo </t>
  </si>
  <si>
    <t>MCV u</t>
  </si>
  <si>
    <t>Cfsécifique</t>
  </si>
  <si>
    <t>Seui de rentabilité</t>
  </si>
  <si>
    <t>Seui de rentabilité en $</t>
  </si>
  <si>
    <t>MCV %</t>
  </si>
  <si>
    <t>Marge sécurité</t>
  </si>
  <si>
    <t>Plus de marge de sécurité</t>
  </si>
  <si>
    <t>Cout fixes communs</t>
  </si>
  <si>
    <t xml:space="preserve">Prix de vente </t>
  </si>
  <si>
    <t>[275 $ - 315 $]</t>
  </si>
  <si>
    <t>[370 $ - 405 $]</t>
  </si>
  <si>
    <t xml:space="preserve">Ventes </t>
  </si>
  <si>
    <t xml:space="preserve">Le prix de vente pour chaque produit avec la méthode de majoration de cout complet dépassent la moyenne meme il ne sont pas </t>
  </si>
  <si>
    <t xml:space="preserve">dans la fourchette des prix de marché c'est pour cette raison il n'est pas recommander d'appliquer ce prix </t>
  </si>
  <si>
    <t>Existe-t-il un moyen de fixer les prix de ventes des vélos de compétition de façon à obtenir une meilleure rentabilité à un prix compétitif ? Quels seraient ce ou ces prix ? Quelle serait alors la rentabilité prévue ?</t>
  </si>
  <si>
    <t>Total cout variable</t>
  </si>
  <si>
    <t>Cout total</t>
  </si>
  <si>
    <t>Total cout fixes spécifique</t>
  </si>
  <si>
    <t xml:space="preserve">On fais l'hypothese que le prix de vente de 835 est accépter </t>
  </si>
  <si>
    <t>Cout de la commande</t>
  </si>
  <si>
    <t xml:space="preserve">Cout unitaitre </t>
  </si>
  <si>
    <t>Cout variable total</t>
  </si>
  <si>
    <t>Cout des commandes</t>
  </si>
  <si>
    <t>Prix de vente</t>
  </si>
  <si>
    <t>Marge</t>
  </si>
  <si>
    <t>MCV total</t>
  </si>
  <si>
    <t xml:space="preserve">le plus avantageux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</si>
</sst>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$&quot;_);[Red]\(#,##0\ &quot;$&quot;\)"/>
    <numFmt numFmtId="44" formatCode="_ * #,##0.00_)\ &quot;$&quot;_ ;_ * \(#,##0.00\)\ &quot;$&quot;_ ;_ * &quot;-&quot;??_)\ &quot;$&quot;_ ;_ @_ "/>
    <numFmt numFmtId="164" formatCode="_ * #,##0.00_)\ _$_ ;_ * \(#,##0.00\)\ _$_ ;_ * &quot;-&quot;??_)\ _$_ ;_ @_ "/>
    <numFmt numFmtId="165" formatCode="_ * #,##0_)\ &quot;$&quot;_ ;_ * \(#,##0\)\ &quot;$&quot;_ ;_ * &quot;-&quot;??_)\ &quot;$&quot;_ ;_ @_ "/>
    <numFmt numFmtId="166" formatCode="_ * #,##0_)\ _$_ ;_ * \(#,##0\)\ _$_ ;_ * &quot;-&quot;??_)\ _$_ ;_ @_ "/>
    <numFmt numFmtId="170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u val="double"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Times New Roman"/>
      <family val="1"/>
    </font>
    <font>
      <u/>
      <sz val="13.6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</font>
    <font>
      <sz val="16"/>
      <color theme="1"/>
      <name val="Times New Roman"/>
      <family val="1"/>
    </font>
    <font>
      <b/>
      <sz val="13"/>
      <color rgb="FFFF0000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gray125">
        <bgColor rgb="FFE5E5E5"/>
      </patternFill>
    </fill>
    <fill>
      <patternFill patternType="solid">
        <fgColor rgb="FFE0E0E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9" fontId="2" fillId="0" borderId="8" xfId="0" applyNumberFormat="1" applyFont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9" fontId="2" fillId="0" borderId="13" xfId="0" applyNumberFormat="1" applyFont="1" applyBorder="1" applyAlignment="1">
      <alignment horizontal="center" vertical="top" wrapText="1"/>
    </xf>
    <xf numFmtId="9" fontId="2" fillId="0" borderId="14" xfId="0" applyNumberFormat="1" applyFont="1" applyBorder="1" applyAlignment="1">
      <alignment horizontal="center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right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4" borderId="27" xfId="0" applyFont="1" applyFill="1" applyBorder="1" applyAlignment="1">
      <alignment horizontal="center" vertical="top" wrapText="1"/>
    </xf>
    <xf numFmtId="0" fontId="4" fillId="0" borderId="22" xfId="0" applyFont="1" applyBorder="1" applyAlignment="1">
      <alignment horizontal="justify" vertical="top" wrapText="1"/>
    </xf>
    <xf numFmtId="0" fontId="4" fillId="0" borderId="23" xfId="0" applyFont="1" applyBorder="1" applyAlignment="1">
      <alignment horizontal="justify" vertical="top" wrapText="1"/>
    </xf>
    <xf numFmtId="0" fontId="3" fillId="0" borderId="14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6" fontId="2" fillId="0" borderId="5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vertical="top" wrapText="1"/>
    </xf>
    <xf numFmtId="6" fontId="2" fillId="0" borderId="9" xfId="0" applyNumberFormat="1" applyFont="1" applyBorder="1" applyAlignment="1">
      <alignment horizontal="right" vertical="top" wrapText="1"/>
    </xf>
    <xf numFmtId="6" fontId="6" fillId="0" borderId="9" xfId="0" applyNumberFormat="1" applyFont="1" applyBorder="1" applyAlignment="1">
      <alignment horizontal="right" vertical="top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horizontal="center" vertical="top" wrapText="1"/>
    </xf>
    <xf numFmtId="6" fontId="4" fillId="0" borderId="31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6" fontId="2" fillId="0" borderId="32" xfId="0" applyNumberFormat="1" applyFont="1" applyBorder="1" applyAlignment="1">
      <alignment vertical="top" wrapText="1"/>
    </xf>
    <xf numFmtId="6" fontId="0" fillId="0" borderId="32" xfId="0" applyNumberFormat="1" applyBorder="1"/>
    <xf numFmtId="0" fontId="2" fillId="2" borderId="33" xfId="0" applyFont="1" applyFill="1" applyBorder="1" applyAlignment="1">
      <alignment vertical="top" wrapText="1"/>
    </xf>
    <xf numFmtId="0" fontId="4" fillId="2" borderId="34" xfId="0" applyFont="1" applyFill="1" applyBorder="1" applyAlignment="1">
      <alignment horizontal="center" vertical="top" wrapText="1"/>
    </xf>
    <xf numFmtId="0" fontId="4" fillId="2" borderId="35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 indent="2"/>
    </xf>
    <xf numFmtId="0" fontId="4" fillId="2" borderId="3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2" fillId="0" borderId="36" xfId="0" applyFont="1" applyBorder="1" applyAlignment="1">
      <alignment horizontal="left" vertical="top" wrapText="1" indent="2"/>
    </xf>
    <xf numFmtId="0" fontId="7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 indent="2"/>
    </xf>
    <xf numFmtId="0" fontId="13" fillId="0" borderId="0" xfId="0" applyFont="1"/>
    <xf numFmtId="0" fontId="14" fillId="0" borderId="0" xfId="3" applyFont="1" applyAlignment="1" applyProtection="1">
      <alignment horizontal="center" vertical="center"/>
    </xf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12" fillId="0" borderId="0" xfId="0" applyFont="1" applyAlignment="1">
      <alignment vertical="center"/>
    </xf>
    <xf numFmtId="165" fontId="4" fillId="0" borderId="6" xfId="2" applyNumberFormat="1" applyFont="1" applyBorder="1" applyAlignment="1">
      <alignment horizontal="right" vertical="top" wrapText="1"/>
    </xf>
    <xf numFmtId="44" fontId="2" fillId="0" borderId="9" xfId="2" applyFont="1" applyBorder="1" applyAlignment="1">
      <alignment horizontal="right" vertical="top" wrapText="1"/>
    </xf>
    <xf numFmtId="165" fontId="2" fillId="0" borderId="9" xfId="2" applyNumberFormat="1" applyFont="1" applyBorder="1" applyAlignment="1">
      <alignment horizontal="right" vertical="top" wrapText="1"/>
    </xf>
    <xf numFmtId="165" fontId="2" fillId="0" borderId="6" xfId="2" applyNumberFormat="1" applyFont="1" applyBorder="1" applyAlignment="1">
      <alignment horizontal="right" vertical="top" wrapText="1"/>
    </xf>
    <xf numFmtId="165" fontId="3" fillId="0" borderId="6" xfId="2" applyNumberFormat="1" applyFont="1" applyBorder="1" applyAlignment="1">
      <alignment horizontal="right" vertical="top" wrapText="1"/>
    </xf>
    <xf numFmtId="165" fontId="2" fillId="0" borderId="16" xfId="2" applyNumberFormat="1" applyFont="1" applyBorder="1" applyAlignment="1">
      <alignment horizontal="right" vertical="top" wrapText="1"/>
    </xf>
    <xf numFmtId="165" fontId="2" fillId="0" borderId="17" xfId="2" applyNumberFormat="1" applyFont="1" applyBorder="1" applyAlignment="1">
      <alignment horizontal="right" vertical="top" wrapText="1"/>
    </xf>
    <xf numFmtId="165" fontId="3" fillId="0" borderId="17" xfId="2" applyNumberFormat="1" applyFont="1" applyBorder="1" applyAlignment="1">
      <alignment horizontal="right" vertical="top" wrapText="1"/>
    </xf>
    <xf numFmtId="165" fontId="4" fillId="0" borderId="18" xfId="2" applyNumberFormat="1" applyFont="1" applyBorder="1" applyAlignment="1">
      <alignment horizontal="right" vertical="top" wrapText="1"/>
    </xf>
    <xf numFmtId="10" fontId="2" fillId="0" borderId="30" xfId="0" applyNumberFormat="1" applyFont="1" applyBorder="1" applyAlignment="1">
      <alignment horizontal="right" vertical="top" wrapText="1"/>
    </xf>
    <xf numFmtId="10" fontId="2" fillId="0" borderId="31" xfId="0" applyNumberFormat="1" applyFont="1" applyBorder="1" applyAlignment="1">
      <alignment horizontal="right" vertical="top" wrapText="1"/>
    </xf>
    <xf numFmtId="44" fontId="2" fillId="0" borderId="8" xfId="2" applyFont="1" applyBorder="1" applyAlignment="1">
      <alignment horizontal="right" vertical="top" wrapText="1"/>
    </xf>
    <xf numFmtId="165" fontId="2" fillId="0" borderId="8" xfId="2" applyNumberFormat="1" applyFont="1" applyBorder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10" fontId="2" fillId="0" borderId="37" xfId="0" applyNumberFormat="1" applyFont="1" applyBorder="1" applyAlignment="1">
      <alignment horizontal="right" vertical="top" wrapText="1"/>
    </xf>
    <xf numFmtId="10" fontId="2" fillId="0" borderId="38" xfId="0" applyNumberFormat="1" applyFont="1" applyBorder="1" applyAlignment="1">
      <alignment horizontal="right" vertical="top" wrapText="1"/>
    </xf>
    <xf numFmtId="166" fontId="2" fillId="0" borderId="8" xfId="1" applyNumberFormat="1" applyFont="1" applyBorder="1" applyAlignment="1">
      <alignment horizontal="right" vertical="top" wrapText="1"/>
    </xf>
    <xf numFmtId="166" fontId="2" fillId="0" borderId="9" xfId="1" applyNumberFormat="1" applyFont="1" applyBorder="1" applyAlignment="1">
      <alignment horizontal="right" vertical="top" wrapText="1"/>
    </xf>
    <xf numFmtId="165" fontId="3" fillId="0" borderId="8" xfId="2" applyNumberFormat="1" applyFont="1" applyBorder="1" applyAlignment="1">
      <alignment horizontal="right" vertical="top" wrapText="1"/>
    </xf>
    <xf numFmtId="165" fontId="3" fillId="0" borderId="9" xfId="2" applyNumberFormat="1" applyFont="1" applyBorder="1" applyAlignment="1">
      <alignment horizontal="right" vertical="top" wrapText="1"/>
    </xf>
    <xf numFmtId="165" fontId="2" fillId="0" borderId="30" xfId="2" applyNumberFormat="1" applyFont="1" applyBorder="1" applyAlignment="1">
      <alignment horizontal="right" vertical="top" wrapText="1"/>
    </xf>
    <xf numFmtId="165" fontId="2" fillId="0" borderId="31" xfId="2" applyNumberFormat="1" applyFont="1" applyBorder="1" applyAlignment="1">
      <alignment horizontal="right" vertical="top" wrapText="1"/>
    </xf>
    <xf numFmtId="165" fontId="2" fillId="0" borderId="8" xfId="2" applyNumberFormat="1" applyFont="1" applyBorder="1" applyAlignment="1">
      <alignment horizontal="right" wrapText="1"/>
    </xf>
    <xf numFmtId="165" fontId="2" fillId="0" borderId="9" xfId="2" applyNumberFormat="1" applyFont="1" applyBorder="1" applyAlignment="1">
      <alignment horizontal="center" wrapText="1"/>
    </xf>
    <xf numFmtId="165" fontId="6" fillId="0" borderId="38" xfId="2" applyNumberFormat="1" applyFont="1" applyBorder="1" applyAlignment="1">
      <alignment horizontal="right" vertical="top" wrapText="1"/>
    </xf>
    <xf numFmtId="165" fontId="2" fillId="0" borderId="6" xfId="2" applyNumberFormat="1" applyFont="1" applyFill="1" applyBorder="1" applyAlignment="1">
      <alignment horizontal="right" vertical="top" wrapText="1"/>
    </xf>
    <xf numFmtId="165" fontId="3" fillId="0" borderId="6" xfId="2" applyNumberFormat="1" applyFont="1" applyFill="1" applyBorder="1" applyAlignment="1">
      <alignment horizontal="right" vertical="top" wrapText="1"/>
    </xf>
    <xf numFmtId="165" fontId="4" fillId="0" borderId="6" xfId="2" applyNumberFormat="1" applyFont="1" applyFill="1" applyBorder="1" applyAlignment="1">
      <alignment horizontal="right" vertical="top" wrapText="1"/>
    </xf>
    <xf numFmtId="6" fontId="2" fillId="5" borderId="32" xfId="0" applyNumberFormat="1" applyFont="1" applyFill="1" applyBorder="1" applyAlignment="1">
      <alignment vertical="top" wrapText="1"/>
    </xf>
    <xf numFmtId="6" fontId="0" fillId="5" borderId="32" xfId="0" applyNumberFormat="1" applyFill="1" applyBorder="1"/>
    <xf numFmtId="0" fontId="2" fillId="5" borderId="8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indent="2"/>
    </xf>
    <xf numFmtId="0" fontId="0" fillId="0" borderId="2" xfId="0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0" fillId="0" borderId="0" xfId="1" applyFont="1"/>
    <xf numFmtId="164" fontId="4" fillId="2" borderId="34" xfId="1" applyFont="1" applyFill="1" applyBorder="1" applyAlignment="1">
      <alignment horizontal="center" vertical="top" wrapText="1"/>
    </xf>
    <xf numFmtId="164" fontId="2" fillId="0" borderId="4" xfId="1" applyFont="1" applyBorder="1" applyAlignment="1">
      <alignment horizontal="right" vertical="top" wrapText="1"/>
    </xf>
    <xf numFmtId="164" fontId="2" fillId="0" borderId="8" xfId="1" applyFont="1" applyBorder="1" applyAlignment="1">
      <alignment horizontal="right" vertical="top" wrapText="1"/>
    </xf>
    <xf numFmtId="164" fontId="3" fillId="0" borderId="4" xfId="1" applyFont="1" applyBorder="1" applyAlignment="1">
      <alignment horizontal="right" vertical="top" wrapText="1"/>
    </xf>
    <xf numFmtId="164" fontId="2" fillId="5" borderId="8" xfId="1" applyFont="1" applyFill="1" applyBorder="1" applyAlignment="1">
      <alignment horizontal="right" vertical="top" wrapText="1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165" fontId="2" fillId="0" borderId="24" xfId="2" applyNumberFormat="1" applyFont="1" applyBorder="1" applyAlignment="1">
      <alignment horizontal="right" vertical="top" wrapText="1"/>
    </xf>
    <xf numFmtId="165" fontId="2" fillId="0" borderId="39" xfId="2" applyNumberFormat="1" applyFont="1" applyBorder="1" applyAlignment="1">
      <alignment horizontal="right" vertical="top" wrapText="1"/>
    </xf>
    <xf numFmtId="0" fontId="2" fillId="2" borderId="19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top" wrapText="1"/>
    </xf>
    <xf numFmtId="0" fontId="2" fillId="2" borderId="22" xfId="0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3" borderId="24" xfId="0" applyFont="1" applyFill="1" applyBorder="1" applyAlignment="1">
      <alignment vertical="top" wrapText="1"/>
    </xf>
    <xf numFmtId="0" fontId="2" fillId="3" borderId="23" xfId="0" applyFont="1" applyFill="1" applyBorder="1" applyAlignment="1">
      <alignment vertical="top" wrapText="1"/>
    </xf>
    <xf numFmtId="0" fontId="2" fillId="3" borderId="28" xfId="0" applyFont="1" applyFill="1" applyBorder="1" applyAlignment="1">
      <alignment horizontal="center" vertical="top" wrapText="1"/>
    </xf>
    <xf numFmtId="0" fontId="2" fillId="3" borderId="26" xfId="0" applyFont="1" applyFill="1" applyBorder="1" applyAlignment="1">
      <alignment horizontal="center" vertical="top" wrapText="1"/>
    </xf>
    <xf numFmtId="0" fontId="2" fillId="3" borderId="2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164" fontId="0" fillId="0" borderId="0" xfId="0" applyNumberFormat="1"/>
    <xf numFmtId="164" fontId="0" fillId="5" borderId="0" xfId="0" applyNumberFormat="1" applyFill="1"/>
    <xf numFmtId="164" fontId="0" fillId="0" borderId="0" xfId="1" applyFont="1" applyAlignment="1">
      <alignment horizontal="left" vertical="top" wrapText="1"/>
    </xf>
    <xf numFmtId="164" fontId="0" fillId="5" borderId="0" xfId="1" applyFont="1" applyFill="1"/>
    <xf numFmtId="0" fontId="0" fillId="5" borderId="0" xfId="0" applyFill="1"/>
    <xf numFmtId="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70" fontId="0" fillId="0" borderId="0" xfId="4" applyNumberFormat="1" applyFont="1"/>
    <xf numFmtId="10" fontId="0" fillId="0" borderId="0" xfId="4" applyNumberFormat="1" applyFont="1"/>
    <xf numFmtId="10" fontId="0" fillId="5" borderId="0" xfId="4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64" fontId="0" fillId="0" borderId="0" xfId="1" applyFont="1" applyAlignment="1">
      <alignment horizontal="left"/>
    </xf>
    <xf numFmtId="166" fontId="0" fillId="0" borderId="0" xfId="1" applyNumberFormat="1" applyFont="1"/>
    <xf numFmtId="166" fontId="0" fillId="0" borderId="0" xfId="0" applyNumberFormat="1"/>
    <xf numFmtId="0" fontId="2" fillId="5" borderId="2" xfId="0" applyFont="1" applyFill="1" applyBorder="1" applyAlignment="1">
      <alignment horizontal="left" vertical="top" indent="2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5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6" fontId="2" fillId="0" borderId="9" xfId="0" applyNumberFormat="1" applyFont="1" applyBorder="1" applyAlignment="1">
      <alignment horizontal="right" vertical="center" wrapText="1"/>
    </xf>
    <xf numFmtId="6" fontId="6" fillId="0" borderId="9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166" fontId="0" fillId="0" borderId="0" xfId="1" applyNumberFormat="1" applyFont="1" applyFill="1" applyBorder="1"/>
    <xf numFmtId="0" fontId="0" fillId="0" borderId="0" xfId="0" applyAlignment="1"/>
    <xf numFmtId="164" fontId="0" fillId="0" borderId="0" xfId="1" applyFont="1" applyFill="1"/>
    <xf numFmtId="164" fontId="0" fillId="0" borderId="0" xfId="0" applyNumberFormat="1" applyFill="1"/>
  </cellXfs>
  <cellStyles count="5">
    <cellStyle name="Lien hypertexte" xfId="3" builtinId="8"/>
    <cellStyle name="Milliers" xfId="1" builtinId="3"/>
    <cellStyle name="Monétaire" xfId="2" builtinId="4"/>
    <cellStyle name="Normal" xfId="0" builtinId="0"/>
    <cellStyle name="Pourcentage" xfId="4" builtinId="5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Question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456284</xdr:colOff>
      <xdr:row>23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E9BC5A0-DC39-4942-B7CD-B0E3A962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150"/>
          <a:ext cx="10362284" cy="414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197828</xdr:colOff>
      <xdr:row>0</xdr:row>
      <xdr:rowOff>175846</xdr:rowOff>
    </xdr:from>
    <xdr:to>
      <xdr:col>2</xdr:col>
      <xdr:colOff>692883</xdr:colOff>
      <xdr:row>2</xdr:row>
      <xdr:rowOff>190499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7616" y="175846"/>
          <a:ext cx="498230" cy="498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4445-9A32-4CB4-BE93-50C5816B8A33}">
  <dimension ref="B27:C29"/>
  <sheetViews>
    <sheetView showGridLines="0" showRowColHeaders="0" zoomScale="85" zoomScaleNormal="85" workbookViewId="0">
      <selection activeCell="F33" sqref="F33"/>
    </sheetView>
  </sheetViews>
  <sheetFormatPr baseColWidth="10" defaultRowHeight="14.4" x14ac:dyDescent="0.3"/>
  <sheetData>
    <row r="27" spans="2:3" x14ac:dyDescent="0.3">
      <c r="B27" t="s">
        <v>87</v>
      </c>
      <c r="C27" t="s">
        <v>89</v>
      </c>
    </row>
    <row r="29" spans="2:3" x14ac:dyDescent="0.3">
      <c r="B29" t="s">
        <v>88</v>
      </c>
      <c r="C29" t="s">
        <v>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85" zoomScaleNormal="85" workbookViewId="0">
      <selection activeCell="C14" sqref="C14"/>
    </sheetView>
  </sheetViews>
  <sheetFormatPr baseColWidth="10" defaultColWidth="11.44140625" defaultRowHeight="21" x14ac:dyDescent="0.4"/>
  <cols>
    <col min="1" max="1" width="3.5546875" style="70" customWidth="1"/>
    <col min="2" max="2" width="5.44140625" style="70" customWidth="1"/>
    <col min="3" max="3" width="148.109375" style="70" customWidth="1"/>
    <col min="4" max="16384" width="11.44140625" style="70"/>
  </cols>
  <sheetData>
    <row r="1" spans="1:7" x14ac:dyDescent="0.4">
      <c r="A1" s="74" t="s">
        <v>79</v>
      </c>
      <c r="B1" s="74"/>
      <c r="C1" s="74"/>
      <c r="D1" s="74"/>
      <c r="E1" s="74"/>
      <c r="F1" s="74"/>
      <c r="G1" s="74"/>
    </row>
    <row r="2" spans="1:7" ht="42" x14ac:dyDescent="0.4">
      <c r="B2" s="71">
        <v>1</v>
      </c>
      <c r="C2" s="72" t="s">
        <v>80</v>
      </c>
    </row>
    <row r="3" spans="1:7" x14ac:dyDescent="0.4">
      <c r="B3" s="71">
        <v>2</v>
      </c>
      <c r="C3" s="72" t="s">
        <v>81</v>
      </c>
    </row>
    <row r="4" spans="1:7" ht="42" x14ac:dyDescent="0.4">
      <c r="B4" s="71">
        <v>3</v>
      </c>
      <c r="C4" s="72" t="s">
        <v>82</v>
      </c>
    </row>
    <row r="5" spans="1:7" ht="42" x14ac:dyDescent="0.4">
      <c r="B5" s="71">
        <v>4</v>
      </c>
      <c r="C5" s="72" t="s">
        <v>86</v>
      </c>
    </row>
    <row r="6" spans="1:7" ht="42" x14ac:dyDescent="0.4">
      <c r="B6" s="71">
        <v>5</v>
      </c>
      <c r="C6" s="72" t="s">
        <v>83</v>
      </c>
    </row>
    <row r="7" spans="1:7" ht="42" x14ac:dyDescent="0.4">
      <c r="B7" s="71">
        <v>6</v>
      </c>
      <c r="C7" s="72" t="s">
        <v>84</v>
      </c>
    </row>
    <row r="8" spans="1:7" x14ac:dyDescent="0.4">
      <c r="B8" s="71">
        <v>7</v>
      </c>
      <c r="C8" s="73" t="s">
        <v>85</v>
      </c>
    </row>
  </sheetData>
  <hyperlinks>
    <hyperlink ref="B2" location="'Rent produits'!A1" display="'Rent produits'!A1" xr:uid="{00000000-0004-0000-0000-000000000000}"/>
    <hyperlink ref="B3" location="'PV comp'!A1" display="'PV comp'!A1" xr:uid="{00000000-0004-0000-0000-000001000000}"/>
    <hyperlink ref="B4" location="'Majoration 15%'!A1" display="'Majoration 15%'!A1" xr:uid="{00000000-0004-0000-0000-000002000000}"/>
    <hyperlink ref="B5" location="Cout_commande!A1" display="Cout_commande!A1" xr:uid="{00000000-0004-0000-0000-000003000000}"/>
    <hyperlink ref="B6" location="Cout_commande!A1" display="Cout_commande!A1" xr:uid="{00000000-0004-0000-0000-000004000000}"/>
    <hyperlink ref="B7" location="'Proposition finale'!A1" display="'Proposition finale'!A1" xr:uid="{00000000-0004-0000-0000-000005000000}"/>
    <hyperlink ref="B8" location="'Proposition finale'!A1" display="'Proposition finale'!A1" xr:uid="{00000000-0004-0000-00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9"/>
  <sheetViews>
    <sheetView zoomScaleNormal="100" workbookViewId="0">
      <selection activeCell="J21" sqref="J21"/>
    </sheetView>
  </sheetViews>
  <sheetFormatPr baseColWidth="10" defaultRowHeight="14.4" x14ac:dyDescent="0.3"/>
  <cols>
    <col min="1" max="1" width="37.77734375" customWidth="1"/>
    <col min="2" max="3" width="15" bestFit="1" customWidth="1"/>
    <col min="4" max="4" width="14.21875" customWidth="1"/>
    <col min="5" max="5" width="14.5546875" bestFit="1" customWidth="1"/>
  </cols>
  <sheetData>
    <row r="1" spans="1:5" ht="23.4" x14ac:dyDescent="0.45">
      <c r="A1" s="62" t="s">
        <v>51</v>
      </c>
    </row>
    <row r="3" spans="1:5" ht="16.8" x14ac:dyDescent="0.3">
      <c r="A3" s="29" t="s">
        <v>8</v>
      </c>
    </row>
    <row r="4" spans="1:5" ht="17.399999999999999" thickBot="1" x14ac:dyDescent="0.35">
      <c r="A4" s="29" t="s">
        <v>94</v>
      </c>
    </row>
    <row r="5" spans="1:5" ht="15" thickTop="1" x14ac:dyDescent="0.3">
      <c r="A5" s="122" t="s">
        <v>0</v>
      </c>
      <c r="B5" s="2" t="s">
        <v>1</v>
      </c>
      <c r="C5" s="125" t="s">
        <v>3</v>
      </c>
      <c r="D5" s="2" t="s">
        <v>1</v>
      </c>
      <c r="E5" s="5" t="s">
        <v>5</v>
      </c>
    </row>
    <row r="6" spans="1:5" x14ac:dyDescent="0.3">
      <c r="A6" s="123"/>
      <c r="B6" s="3" t="s">
        <v>2</v>
      </c>
      <c r="C6" s="126"/>
      <c r="D6" s="3" t="s">
        <v>4</v>
      </c>
      <c r="E6" s="6" t="s">
        <v>6</v>
      </c>
    </row>
    <row r="7" spans="1:5" ht="15" thickBot="1" x14ac:dyDescent="0.35">
      <c r="A7" s="124"/>
      <c r="B7" s="4"/>
      <c r="C7" s="127"/>
      <c r="D7" s="4"/>
      <c r="E7" s="6" t="s">
        <v>7</v>
      </c>
    </row>
    <row r="8" spans="1:5" x14ac:dyDescent="0.3">
      <c r="A8" s="128">
        <v>760</v>
      </c>
      <c r="B8" s="7">
        <v>345</v>
      </c>
      <c r="C8" s="10">
        <v>0.25</v>
      </c>
      <c r="D8" s="12">
        <v>86</v>
      </c>
      <c r="E8" s="77">
        <v>65360</v>
      </c>
    </row>
    <row r="9" spans="1:5" x14ac:dyDescent="0.3">
      <c r="A9" s="129"/>
      <c r="B9" s="8">
        <v>375</v>
      </c>
      <c r="C9" s="11">
        <v>0.45</v>
      </c>
      <c r="D9" s="13">
        <v>169</v>
      </c>
      <c r="E9" s="78">
        <v>128440</v>
      </c>
    </row>
    <row r="10" spans="1:5" x14ac:dyDescent="0.3">
      <c r="A10" s="129"/>
      <c r="B10" s="8">
        <v>405</v>
      </c>
      <c r="C10" s="11">
        <v>0.3</v>
      </c>
      <c r="D10" s="14">
        <v>122</v>
      </c>
      <c r="E10" s="79">
        <v>92720</v>
      </c>
    </row>
    <row r="11" spans="1:5" ht="15" thickBot="1" x14ac:dyDescent="0.35">
      <c r="A11" s="130"/>
      <c r="B11" s="9"/>
      <c r="C11" s="9"/>
      <c r="D11" s="15">
        <v>377</v>
      </c>
      <c r="E11" s="75">
        <v>286520</v>
      </c>
    </row>
    <row r="12" spans="1:5" x14ac:dyDescent="0.3">
      <c r="A12" s="131">
        <v>795</v>
      </c>
      <c r="B12" s="7">
        <v>345</v>
      </c>
      <c r="C12" s="10">
        <v>0.45</v>
      </c>
      <c r="D12" s="12">
        <v>155</v>
      </c>
      <c r="E12" s="77">
        <v>123225</v>
      </c>
    </row>
    <row r="13" spans="1:5" x14ac:dyDescent="0.3">
      <c r="A13" s="132"/>
      <c r="B13" s="8">
        <v>375</v>
      </c>
      <c r="C13" s="11">
        <v>0.35</v>
      </c>
      <c r="D13" s="13">
        <v>131</v>
      </c>
      <c r="E13" s="101">
        <v>104145</v>
      </c>
    </row>
    <row r="14" spans="1:5" x14ac:dyDescent="0.3">
      <c r="A14" s="132"/>
      <c r="B14" s="8">
        <v>405</v>
      </c>
      <c r="C14" s="11">
        <v>0.2</v>
      </c>
      <c r="D14" s="14">
        <v>81</v>
      </c>
      <c r="E14" s="102">
        <v>64395</v>
      </c>
    </row>
    <row r="15" spans="1:5" ht="15" thickBot="1" x14ac:dyDescent="0.35">
      <c r="A15" s="133"/>
      <c r="B15" s="9"/>
      <c r="C15" s="9"/>
      <c r="D15" s="15">
        <v>367</v>
      </c>
      <c r="E15" s="103">
        <v>291765</v>
      </c>
    </row>
    <row r="16" spans="1:5" x14ac:dyDescent="0.3">
      <c r="A16" s="128">
        <v>835</v>
      </c>
      <c r="B16" s="7">
        <v>315</v>
      </c>
      <c r="C16" s="10">
        <v>0.35</v>
      </c>
      <c r="D16" s="12">
        <v>110</v>
      </c>
      <c r="E16" s="77">
        <v>91850</v>
      </c>
    </row>
    <row r="17" spans="1:5" x14ac:dyDescent="0.3">
      <c r="A17" s="129"/>
      <c r="B17" s="8">
        <v>345</v>
      </c>
      <c r="C17" s="11">
        <v>0.45</v>
      </c>
      <c r="D17" s="13">
        <v>155</v>
      </c>
      <c r="E17" s="78">
        <v>129425</v>
      </c>
    </row>
    <row r="18" spans="1:5" x14ac:dyDescent="0.3">
      <c r="A18" s="129"/>
      <c r="B18" s="8">
        <v>375</v>
      </c>
      <c r="C18" s="11">
        <v>0.2</v>
      </c>
      <c r="D18" s="14">
        <v>75</v>
      </c>
      <c r="E18" s="79">
        <v>62625</v>
      </c>
    </row>
    <row r="19" spans="1:5" ht="15" thickBot="1" x14ac:dyDescent="0.35">
      <c r="A19" s="130"/>
      <c r="B19" s="9"/>
      <c r="C19" s="9"/>
      <c r="D19" s="15">
        <v>340</v>
      </c>
      <c r="E19" s="75">
        <f>SUM(E16:E18)</f>
        <v>283900</v>
      </c>
    </row>
    <row r="20" spans="1:5" x14ac:dyDescent="0.3">
      <c r="A20" s="128">
        <v>875</v>
      </c>
      <c r="B20" s="19">
        <v>255</v>
      </c>
      <c r="C20" s="22">
        <v>0.35</v>
      </c>
      <c r="D20" s="24">
        <v>89</v>
      </c>
      <c r="E20" s="80">
        <v>77875</v>
      </c>
    </row>
    <row r="21" spans="1:5" x14ac:dyDescent="0.3">
      <c r="A21" s="129"/>
      <c r="B21" s="20">
        <v>285</v>
      </c>
      <c r="C21" s="23">
        <v>0.4</v>
      </c>
      <c r="D21" s="25">
        <v>114</v>
      </c>
      <c r="E21" s="81">
        <v>99750</v>
      </c>
    </row>
    <row r="22" spans="1:5" x14ac:dyDescent="0.3">
      <c r="A22" s="129"/>
      <c r="B22" s="20">
        <v>315</v>
      </c>
      <c r="C22" s="23">
        <v>0.25</v>
      </c>
      <c r="D22" s="26">
        <v>79</v>
      </c>
      <c r="E22" s="82">
        <v>69125</v>
      </c>
    </row>
    <row r="23" spans="1:5" ht="15" thickBot="1" x14ac:dyDescent="0.35">
      <c r="A23" s="134"/>
      <c r="B23" s="21"/>
      <c r="C23" s="21"/>
      <c r="D23" s="27">
        <v>282</v>
      </c>
      <c r="E23" s="83">
        <f>SUM(E20:E22)</f>
        <v>246750</v>
      </c>
    </row>
    <row r="24" spans="1:5" ht="15" thickTop="1" x14ac:dyDescent="0.3"/>
    <row r="26" spans="1:5" ht="15" thickBot="1" x14ac:dyDescent="0.35">
      <c r="A26" s="35" t="s">
        <v>15</v>
      </c>
    </row>
    <row r="27" spans="1:5" ht="15" thickBot="1" x14ac:dyDescent="0.35">
      <c r="A27" s="135" t="s">
        <v>9</v>
      </c>
      <c r="B27" s="137" t="s">
        <v>10</v>
      </c>
      <c r="C27" s="138"/>
      <c r="D27" s="138"/>
      <c r="E27" s="139"/>
    </row>
    <row r="28" spans="1:5" ht="15" thickBot="1" x14ac:dyDescent="0.35">
      <c r="A28" s="136"/>
      <c r="B28" s="30">
        <v>760</v>
      </c>
      <c r="C28" s="30">
        <v>795</v>
      </c>
      <c r="D28" s="30">
        <v>835</v>
      </c>
      <c r="E28" s="30">
        <v>875</v>
      </c>
    </row>
    <row r="29" spans="1:5" x14ac:dyDescent="0.3">
      <c r="A29" s="31" t="s">
        <v>11</v>
      </c>
      <c r="B29" s="20">
        <v>108</v>
      </c>
      <c r="C29" s="20">
        <v>120</v>
      </c>
      <c r="D29" s="20">
        <v>112</v>
      </c>
      <c r="E29" s="20">
        <v>93</v>
      </c>
    </row>
    <row r="30" spans="1:5" x14ac:dyDescent="0.3">
      <c r="A30" s="31" t="s">
        <v>12</v>
      </c>
      <c r="B30" s="20">
        <v>229</v>
      </c>
      <c r="C30" s="20">
        <v>211</v>
      </c>
      <c r="D30" s="20">
        <v>197</v>
      </c>
      <c r="E30" s="20">
        <v>162</v>
      </c>
    </row>
    <row r="31" spans="1:5" x14ac:dyDescent="0.3">
      <c r="A31" s="31" t="s">
        <v>13</v>
      </c>
      <c r="B31" s="33">
        <v>40</v>
      </c>
      <c r="C31" s="33">
        <v>36</v>
      </c>
      <c r="D31" s="33">
        <v>31</v>
      </c>
      <c r="E31" s="33">
        <v>27</v>
      </c>
    </row>
    <row r="32" spans="1:5" ht="15" thickBot="1" x14ac:dyDescent="0.35">
      <c r="A32" s="32" t="s">
        <v>14</v>
      </c>
      <c r="B32" s="34">
        <v>377</v>
      </c>
      <c r="C32" s="34">
        <v>367</v>
      </c>
      <c r="D32" s="34">
        <v>340</v>
      </c>
      <c r="E32" s="34">
        <v>282</v>
      </c>
    </row>
    <row r="33" spans="1:5" x14ac:dyDescent="0.3">
      <c r="A33" s="46"/>
      <c r="B33" s="47"/>
      <c r="C33" s="47"/>
      <c r="D33" s="47"/>
      <c r="E33" s="47"/>
    </row>
    <row r="34" spans="1:5" ht="16.8" x14ac:dyDescent="0.3">
      <c r="A34" s="29" t="s">
        <v>23</v>
      </c>
    </row>
    <row r="35" spans="1:5" ht="17.399999999999999" thickBot="1" x14ac:dyDescent="0.35">
      <c r="A35" s="29" t="s">
        <v>24</v>
      </c>
    </row>
    <row r="36" spans="1:5" ht="28.2" thickTop="1" x14ac:dyDescent="0.3">
      <c r="A36" s="1" t="s">
        <v>16</v>
      </c>
      <c r="B36" s="2" t="s">
        <v>18</v>
      </c>
      <c r="C36" s="2" t="s">
        <v>19</v>
      </c>
      <c r="D36" s="5" t="s">
        <v>21</v>
      </c>
    </row>
    <row r="37" spans="1:5" ht="15" thickBot="1" x14ac:dyDescent="0.35">
      <c r="A37" s="36" t="s">
        <v>17</v>
      </c>
      <c r="B37" s="3" t="s">
        <v>17</v>
      </c>
      <c r="C37" s="3" t="s">
        <v>20</v>
      </c>
      <c r="D37" s="6" t="s">
        <v>17</v>
      </c>
    </row>
    <row r="38" spans="1:5" ht="15.6" thickTop="1" thickBot="1" x14ac:dyDescent="0.35">
      <c r="A38" s="37" t="s">
        <v>11</v>
      </c>
      <c r="B38" s="38">
        <v>70</v>
      </c>
      <c r="C38" s="38">
        <v>1.71</v>
      </c>
      <c r="D38" s="39">
        <v>20990</v>
      </c>
    </row>
    <row r="39" spans="1:5" ht="15" thickBot="1" x14ac:dyDescent="0.35">
      <c r="A39" s="40" t="s">
        <v>12</v>
      </c>
      <c r="B39" s="7">
        <v>22</v>
      </c>
      <c r="C39" s="7">
        <v>9.5399999999999991</v>
      </c>
      <c r="D39" s="41">
        <v>5910</v>
      </c>
    </row>
    <row r="40" spans="1:5" ht="15" thickBot="1" x14ac:dyDescent="0.35">
      <c r="A40" s="40" t="s">
        <v>13</v>
      </c>
      <c r="B40" s="7">
        <v>1</v>
      </c>
      <c r="C40" s="7">
        <v>35</v>
      </c>
      <c r="D40" s="42">
        <v>495</v>
      </c>
    </row>
    <row r="41" spans="1:5" ht="15" thickBot="1" x14ac:dyDescent="0.35">
      <c r="A41" s="43" t="s">
        <v>22</v>
      </c>
      <c r="B41" s="44"/>
      <c r="C41" s="44"/>
      <c r="D41" s="45">
        <v>27395</v>
      </c>
    </row>
    <row r="42" spans="1:5" ht="15" thickTop="1" x14ac:dyDescent="0.3"/>
    <row r="44" spans="1:5" ht="17.399999999999999" thickBot="1" x14ac:dyDescent="0.35">
      <c r="A44" s="29" t="s">
        <v>52</v>
      </c>
    </row>
    <row r="45" spans="1:5" ht="46.5" customHeight="1" thickTop="1" x14ac:dyDescent="0.3">
      <c r="A45" s="48" t="s">
        <v>25</v>
      </c>
      <c r="B45" s="140" t="s">
        <v>26</v>
      </c>
      <c r="C45" s="141"/>
    </row>
    <row r="46" spans="1:5" x14ac:dyDescent="0.3">
      <c r="A46" s="49" t="s">
        <v>27</v>
      </c>
      <c r="B46" s="104">
        <v>275</v>
      </c>
      <c r="C46" s="105">
        <v>315</v>
      </c>
    </row>
    <row r="47" spans="1:5" x14ac:dyDescent="0.3">
      <c r="A47" s="49" t="s">
        <v>28</v>
      </c>
      <c r="B47" s="50">
        <v>370</v>
      </c>
      <c r="C47" s="51">
        <v>405</v>
      </c>
    </row>
    <row r="48" spans="1:5" x14ac:dyDescent="0.3">
      <c r="A48" s="49" t="s">
        <v>29</v>
      </c>
      <c r="B48" s="50">
        <v>785</v>
      </c>
      <c r="C48" s="51">
        <v>850</v>
      </c>
    </row>
    <row r="50" spans="1:5" ht="17.399999999999999" thickBot="1" x14ac:dyDescent="0.35">
      <c r="A50" s="29" t="s">
        <v>38</v>
      </c>
    </row>
    <row r="51" spans="1:5" ht="15.6" thickTop="1" thickBot="1" x14ac:dyDescent="0.35">
      <c r="A51" s="52"/>
      <c r="B51" s="53" t="s">
        <v>27</v>
      </c>
      <c r="C51" s="53" t="s">
        <v>28</v>
      </c>
      <c r="D51" s="54" t="s">
        <v>29</v>
      </c>
    </row>
    <row r="52" spans="1:5" ht="15" thickBot="1" x14ac:dyDescent="0.35">
      <c r="A52" s="56" t="s">
        <v>30</v>
      </c>
      <c r="B52" s="13">
        <v>285</v>
      </c>
      <c r="C52" s="13">
        <v>390</v>
      </c>
      <c r="D52" s="17">
        <v>795</v>
      </c>
    </row>
    <row r="53" spans="1:5" x14ac:dyDescent="0.3">
      <c r="A53" s="57" t="s">
        <v>31</v>
      </c>
      <c r="B53" s="12"/>
      <c r="C53" s="12"/>
      <c r="D53" s="16"/>
    </row>
    <row r="54" spans="1:5" x14ac:dyDescent="0.3">
      <c r="A54" s="58" t="s">
        <v>32</v>
      </c>
      <c r="B54" s="13">
        <v>105</v>
      </c>
      <c r="C54" s="13">
        <v>135</v>
      </c>
      <c r="D54" s="17">
        <v>300</v>
      </c>
    </row>
    <row r="55" spans="1:5" x14ac:dyDescent="0.3">
      <c r="A55" s="58" t="s">
        <v>33</v>
      </c>
      <c r="B55" s="13">
        <v>65</v>
      </c>
      <c r="C55" s="13">
        <v>75</v>
      </c>
      <c r="D55" s="17">
        <v>85</v>
      </c>
    </row>
    <row r="56" spans="1:5" x14ac:dyDescent="0.3">
      <c r="A56" s="58" t="s">
        <v>34</v>
      </c>
      <c r="B56" s="13">
        <v>30</v>
      </c>
      <c r="C56" s="13">
        <v>40</v>
      </c>
      <c r="D56" s="17">
        <v>50</v>
      </c>
    </row>
    <row r="57" spans="1:5" x14ac:dyDescent="0.3">
      <c r="A57" s="58" t="s">
        <v>35</v>
      </c>
      <c r="B57" s="14">
        <v>15</v>
      </c>
      <c r="C57" s="14">
        <v>20</v>
      </c>
      <c r="D57" s="18">
        <v>40</v>
      </c>
    </row>
    <row r="58" spans="1:5" x14ac:dyDescent="0.3">
      <c r="A58" s="55"/>
      <c r="B58" s="13">
        <v>215</v>
      </c>
      <c r="C58" s="13">
        <v>270</v>
      </c>
      <c r="D58" s="17">
        <v>475</v>
      </c>
    </row>
    <row r="59" spans="1:5" ht="15" thickBot="1" x14ac:dyDescent="0.35">
      <c r="A59" s="55"/>
      <c r="B59" s="13"/>
      <c r="C59" s="13"/>
      <c r="D59" s="17"/>
    </row>
    <row r="60" spans="1:5" ht="15" thickBot="1" x14ac:dyDescent="0.35">
      <c r="A60" s="40" t="s">
        <v>36</v>
      </c>
      <c r="B60" s="106">
        <v>70</v>
      </c>
      <c r="C60" s="12">
        <v>120</v>
      </c>
      <c r="D60" s="16">
        <v>320</v>
      </c>
    </row>
    <row r="61" spans="1:5" ht="15" thickBot="1" x14ac:dyDescent="0.35">
      <c r="A61" s="43" t="s">
        <v>37</v>
      </c>
      <c r="B61" s="84">
        <v>0.246</v>
      </c>
      <c r="C61" s="84">
        <v>0.308</v>
      </c>
      <c r="D61" s="85">
        <v>0.40300000000000002</v>
      </c>
    </row>
    <row r="62" spans="1:5" ht="15" thickTop="1" x14ac:dyDescent="0.3"/>
    <row r="63" spans="1:5" ht="17.399999999999999" thickBot="1" x14ac:dyDescent="0.35">
      <c r="A63" s="29" t="s">
        <v>50</v>
      </c>
    </row>
    <row r="64" spans="1:5" ht="15.6" thickTop="1" thickBot="1" x14ac:dyDescent="0.35">
      <c r="A64" s="48"/>
      <c r="B64" s="59" t="s">
        <v>27</v>
      </c>
      <c r="C64" s="59" t="s">
        <v>28</v>
      </c>
      <c r="D64" s="59" t="s">
        <v>29</v>
      </c>
      <c r="E64" s="60" t="s">
        <v>14</v>
      </c>
    </row>
    <row r="65" spans="1:5" ht="15" thickBot="1" x14ac:dyDescent="0.35">
      <c r="A65" s="40" t="s">
        <v>39</v>
      </c>
      <c r="B65" s="87">
        <v>320625</v>
      </c>
      <c r="C65" s="87">
        <v>516750</v>
      </c>
      <c r="D65" s="87">
        <v>290175</v>
      </c>
      <c r="E65" s="77">
        <v>1127550</v>
      </c>
    </row>
    <row r="66" spans="1:5" ht="15" thickBot="1" x14ac:dyDescent="0.35">
      <c r="A66" s="40" t="s">
        <v>40</v>
      </c>
      <c r="B66" s="12" t="s">
        <v>41</v>
      </c>
      <c r="C66" s="12" t="s">
        <v>42</v>
      </c>
      <c r="D66" s="12">
        <v>365</v>
      </c>
      <c r="E66" s="16"/>
    </row>
    <row r="67" spans="1:5" x14ac:dyDescent="0.3">
      <c r="A67" s="57" t="s">
        <v>43</v>
      </c>
      <c r="B67" s="86"/>
      <c r="C67" s="86"/>
      <c r="D67" s="86"/>
      <c r="E67" s="76"/>
    </row>
    <row r="68" spans="1:5" x14ac:dyDescent="0.3">
      <c r="A68" s="58" t="s">
        <v>44</v>
      </c>
      <c r="B68" s="88">
        <v>118125</v>
      </c>
      <c r="C68" s="88">
        <v>178875</v>
      </c>
      <c r="D68" s="88">
        <v>109500</v>
      </c>
      <c r="E68" s="78">
        <v>406500</v>
      </c>
    </row>
    <row r="69" spans="1:5" x14ac:dyDescent="0.3">
      <c r="A69" s="58" t="s">
        <v>45</v>
      </c>
      <c r="B69" s="88">
        <v>73125</v>
      </c>
      <c r="C69" s="88">
        <v>99375</v>
      </c>
      <c r="D69" s="88">
        <v>31025</v>
      </c>
      <c r="E69" s="78">
        <v>203525</v>
      </c>
    </row>
    <row r="70" spans="1:5" x14ac:dyDescent="0.3">
      <c r="A70" s="58" t="s">
        <v>46</v>
      </c>
      <c r="B70" s="88"/>
      <c r="C70" s="88"/>
      <c r="D70" s="88"/>
      <c r="E70" s="78"/>
    </row>
    <row r="71" spans="1:5" x14ac:dyDescent="0.3">
      <c r="A71" s="55"/>
      <c r="B71" s="89">
        <v>89750</v>
      </c>
      <c r="C71" s="89">
        <v>109000</v>
      </c>
      <c r="D71" s="89">
        <v>74250</v>
      </c>
      <c r="E71" s="79">
        <v>273000</v>
      </c>
    </row>
    <row r="72" spans="1:5" ht="15" thickBot="1" x14ac:dyDescent="0.35">
      <c r="A72" s="55"/>
      <c r="B72" s="88">
        <v>281000</v>
      </c>
      <c r="C72" s="88">
        <v>387250</v>
      </c>
      <c r="D72" s="88">
        <v>214775</v>
      </c>
      <c r="E72" s="78">
        <v>883025</v>
      </c>
    </row>
    <row r="73" spans="1:5" x14ac:dyDescent="0.3">
      <c r="A73" s="118" t="s">
        <v>47</v>
      </c>
      <c r="B73" s="87"/>
      <c r="C73" s="87"/>
      <c r="D73" s="87"/>
      <c r="E73" s="77"/>
    </row>
    <row r="74" spans="1:5" ht="15" thickBot="1" x14ac:dyDescent="0.35">
      <c r="A74" s="142"/>
      <c r="B74" s="89">
        <v>70875</v>
      </c>
      <c r="C74" s="89">
        <v>80500</v>
      </c>
      <c r="D74" s="89">
        <v>68600</v>
      </c>
      <c r="E74" s="79">
        <v>219975</v>
      </c>
    </row>
    <row r="75" spans="1:5" x14ac:dyDescent="0.3">
      <c r="A75" s="40" t="s">
        <v>48</v>
      </c>
      <c r="B75" s="87">
        <v>-31250</v>
      </c>
      <c r="C75" s="87">
        <v>49000</v>
      </c>
      <c r="D75" s="87">
        <v>6800</v>
      </c>
      <c r="E75" s="77">
        <v>24550</v>
      </c>
    </row>
    <row r="76" spans="1:5" x14ac:dyDescent="0.3">
      <c r="A76" s="56" t="s">
        <v>48</v>
      </c>
      <c r="B76" s="13"/>
      <c r="C76" s="13"/>
      <c r="D76" s="13"/>
      <c r="E76" s="17"/>
    </row>
    <row r="77" spans="1:5" ht="15" thickBot="1" x14ac:dyDescent="0.35">
      <c r="A77" s="61" t="s">
        <v>49</v>
      </c>
      <c r="B77" s="90">
        <v>-9.7000000000000003E-2</v>
      </c>
      <c r="C77" s="90">
        <v>9.5000000000000001E-2</v>
      </c>
      <c r="D77" s="90">
        <v>2.3E-2</v>
      </c>
      <c r="E77" s="91">
        <v>2.1999999999999999E-2</v>
      </c>
    </row>
    <row r="78" spans="1:5" ht="15" thickTop="1" x14ac:dyDescent="0.3">
      <c r="A78" s="69"/>
      <c r="B78" s="68"/>
      <c r="C78" s="68"/>
      <c r="D78" s="68"/>
      <c r="E78" s="68"/>
    </row>
    <row r="79" spans="1:5" x14ac:dyDescent="0.3">
      <c r="A79" s="69"/>
      <c r="B79" s="68"/>
      <c r="C79" s="68"/>
      <c r="D79" s="68"/>
      <c r="E79" s="68"/>
    </row>
    <row r="80" spans="1:5" x14ac:dyDescent="0.3">
      <c r="A80" s="69"/>
      <c r="B80" s="68"/>
      <c r="C80" s="68"/>
      <c r="D80" s="68"/>
      <c r="E80" s="68"/>
    </row>
    <row r="82" spans="1:5" ht="17.399999999999999" thickBot="1" x14ac:dyDescent="0.35">
      <c r="A82" s="29" t="s">
        <v>59</v>
      </c>
    </row>
    <row r="83" spans="1:5" ht="15.6" thickTop="1" thickBot="1" x14ac:dyDescent="0.35">
      <c r="A83" s="48"/>
      <c r="B83" s="59" t="s">
        <v>27</v>
      </c>
      <c r="C83" s="59" t="s">
        <v>28</v>
      </c>
      <c r="D83" s="60" t="s">
        <v>29</v>
      </c>
    </row>
    <row r="84" spans="1:5" ht="15" thickBot="1" x14ac:dyDescent="0.35">
      <c r="A84" s="40" t="s">
        <v>91</v>
      </c>
      <c r="B84" s="92">
        <v>1125</v>
      </c>
      <c r="C84" s="92">
        <v>1325</v>
      </c>
      <c r="D84" s="93">
        <v>365</v>
      </c>
    </row>
    <row r="85" spans="1:5" ht="15" thickBot="1" x14ac:dyDescent="0.35">
      <c r="A85" s="40" t="s">
        <v>53</v>
      </c>
      <c r="B85" s="87">
        <v>281000</v>
      </c>
      <c r="C85" s="87">
        <v>387250</v>
      </c>
      <c r="D85" s="77">
        <v>214775</v>
      </c>
    </row>
    <row r="86" spans="1:5" ht="15" thickBot="1" x14ac:dyDescent="0.35">
      <c r="A86" s="40" t="s">
        <v>54</v>
      </c>
      <c r="B86" s="94">
        <v>70875</v>
      </c>
      <c r="C86" s="94">
        <v>80500</v>
      </c>
      <c r="D86" s="95">
        <v>68600</v>
      </c>
    </row>
    <row r="87" spans="1:5" ht="15" thickBot="1" x14ac:dyDescent="0.35">
      <c r="A87" s="40" t="s">
        <v>55</v>
      </c>
      <c r="B87" s="87">
        <v>351875</v>
      </c>
      <c r="C87" s="87">
        <v>467750</v>
      </c>
      <c r="D87" s="77">
        <v>283375</v>
      </c>
    </row>
    <row r="88" spans="1:5" ht="15" thickBot="1" x14ac:dyDescent="0.35">
      <c r="A88" s="40" t="s">
        <v>56</v>
      </c>
      <c r="B88" s="87">
        <v>52781</v>
      </c>
      <c r="C88" s="87">
        <v>70163</v>
      </c>
      <c r="D88" s="77">
        <v>42506</v>
      </c>
    </row>
    <row r="89" spans="1:5" ht="15" thickBot="1" x14ac:dyDescent="0.35">
      <c r="A89" s="40" t="s">
        <v>57</v>
      </c>
      <c r="B89" s="87">
        <v>404656</v>
      </c>
      <c r="C89" s="87">
        <v>537913</v>
      </c>
      <c r="D89" s="77">
        <v>325881</v>
      </c>
    </row>
    <row r="90" spans="1:5" ht="15" thickBot="1" x14ac:dyDescent="0.35">
      <c r="A90" s="40" t="s">
        <v>92</v>
      </c>
      <c r="B90" s="92">
        <v>1125</v>
      </c>
      <c r="C90" s="92">
        <v>1325</v>
      </c>
      <c r="D90" s="93">
        <v>365</v>
      </c>
    </row>
    <row r="91" spans="1:5" ht="15" thickBot="1" x14ac:dyDescent="0.35">
      <c r="A91" s="43" t="s">
        <v>58</v>
      </c>
      <c r="B91" s="96">
        <v>360</v>
      </c>
      <c r="C91" s="96">
        <v>406</v>
      </c>
      <c r="D91" s="97">
        <v>893</v>
      </c>
    </row>
    <row r="92" spans="1:5" ht="15" thickTop="1" x14ac:dyDescent="0.3"/>
    <row r="93" spans="1:5" ht="17.399999999999999" thickBot="1" x14ac:dyDescent="0.35">
      <c r="A93" s="28" t="s">
        <v>71</v>
      </c>
    </row>
    <row r="94" spans="1:5" ht="15" thickTop="1" x14ac:dyDescent="0.3">
      <c r="A94" s="63" t="s">
        <v>60</v>
      </c>
      <c r="B94" s="59"/>
      <c r="C94" s="59"/>
      <c r="D94" s="59"/>
      <c r="E94" s="60"/>
    </row>
    <row r="95" spans="1:5" ht="15" thickBot="1" x14ac:dyDescent="0.35">
      <c r="A95" s="64" t="s">
        <v>61</v>
      </c>
      <c r="B95" s="65" t="s">
        <v>27</v>
      </c>
      <c r="C95" s="65" t="s">
        <v>28</v>
      </c>
      <c r="D95" s="65" t="s">
        <v>29</v>
      </c>
      <c r="E95" s="66" t="s">
        <v>14</v>
      </c>
    </row>
    <row r="96" spans="1:5" ht="15" thickBot="1" x14ac:dyDescent="0.35">
      <c r="A96" s="40" t="s">
        <v>62</v>
      </c>
      <c r="B96" s="87">
        <v>7500</v>
      </c>
      <c r="C96" s="87">
        <v>25500</v>
      </c>
      <c r="D96" s="87">
        <v>35000</v>
      </c>
      <c r="E96" s="77"/>
    </row>
    <row r="97" spans="1:5" ht="15" thickBot="1" x14ac:dyDescent="0.35">
      <c r="A97" s="67" t="s">
        <v>63</v>
      </c>
      <c r="B97" s="98">
        <v>5000</v>
      </c>
      <c r="C97" s="98">
        <v>12500</v>
      </c>
      <c r="D97" s="98">
        <v>25000</v>
      </c>
      <c r="E97" s="99"/>
    </row>
    <row r="98" spans="1:5" ht="15" thickBot="1" x14ac:dyDescent="0.35">
      <c r="A98" s="40" t="s">
        <v>64</v>
      </c>
      <c r="B98" s="94">
        <v>2500</v>
      </c>
      <c r="C98" s="94">
        <v>7000</v>
      </c>
      <c r="D98" s="94">
        <v>10000</v>
      </c>
      <c r="E98" s="77"/>
    </row>
    <row r="99" spans="1:5" x14ac:dyDescent="0.3">
      <c r="A99" s="118" t="s">
        <v>65</v>
      </c>
      <c r="B99" s="87"/>
      <c r="C99" s="87"/>
      <c r="D99" s="87"/>
      <c r="E99" s="77"/>
    </row>
    <row r="100" spans="1:5" ht="15" thickBot="1" x14ac:dyDescent="0.35">
      <c r="A100" s="142"/>
      <c r="B100" s="88">
        <v>15000</v>
      </c>
      <c r="C100" s="88">
        <v>45000</v>
      </c>
      <c r="D100" s="88" t="s">
        <v>93</v>
      </c>
      <c r="E100" s="78">
        <v>130000</v>
      </c>
    </row>
    <row r="101" spans="1:5" ht="15" thickBot="1" x14ac:dyDescent="0.35">
      <c r="A101" s="40" t="s">
        <v>66</v>
      </c>
      <c r="B101" s="87"/>
      <c r="C101" s="87"/>
      <c r="D101" s="87"/>
      <c r="E101" s="77">
        <v>5500</v>
      </c>
    </row>
    <row r="102" spans="1:5" ht="15" thickBot="1" x14ac:dyDescent="0.35">
      <c r="A102" s="40" t="s">
        <v>67</v>
      </c>
      <c r="B102" s="87"/>
      <c r="C102" s="87"/>
      <c r="D102" s="87"/>
      <c r="E102" s="77">
        <v>17500</v>
      </c>
    </row>
    <row r="103" spans="1:5" ht="15" thickBot="1" x14ac:dyDescent="0.35">
      <c r="A103" s="40" t="s">
        <v>68</v>
      </c>
      <c r="B103" s="87"/>
      <c r="C103" s="87"/>
      <c r="D103" s="87"/>
      <c r="E103" s="77">
        <v>13500</v>
      </c>
    </row>
    <row r="104" spans="1:5" ht="15" thickBot="1" x14ac:dyDescent="0.35">
      <c r="A104" s="40" t="s">
        <v>69</v>
      </c>
      <c r="B104" s="87"/>
      <c r="C104" s="87"/>
      <c r="D104" s="87"/>
      <c r="E104" s="95">
        <v>1500</v>
      </c>
    </row>
    <row r="105" spans="1:5" x14ac:dyDescent="0.3">
      <c r="A105" s="118" t="s">
        <v>70</v>
      </c>
      <c r="B105" s="120"/>
      <c r="C105" s="120"/>
      <c r="D105" s="120"/>
      <c r="E105" s="77"/>
    </row>
    <row r="106" spans="1:5" ht="15" thickBot="1" x14ac:dyDescent="0.35">
      <c r="A106" s="119"/>
      <c r="B106" s="121"/>
      <c r="C106" s="121"/>
      <c r="D106" s="121"/>
      <c r="E106" s="100">
        <v>168000</v>
      </c>
    </row>
    <row r="107" spans="1:5" ht="15" thickTop="1" x14ac:dyDescent="0.3"/>
    <row r="108" spans="1:5" ht="15" thickBot="1" x14ac:dyDescent="0.35"/>
    <row r="109" spans="1:5" ht="15" thickTop="1" x14ac:dyDescent="0.3">
      <c r="A109" s="63" t="s">
        <v>72</v>
      </c>
      <c r="B109" s="59"/>
      <c r="C109" s="59"/>
      <c r="D109" s="59"/>
      <c r="E109" s="60"/>
    </row>
    <row r="110" spans="1:5" ht="15" thickBot="1" x14ac:dyDescent="0.35">
      <c r="A110" s="64" t="s">
        <v>73</v>
      </c>
      <c r="B110" s="65" t="s">
        <v>27</v>
      </c>
      <c r="C110" s="65" t="s">
        <v>28</v>
      </c>
      <c r="D110" s="65" t="s">
        <v>29</v>
      </c>
      <c r="E110" s="66" t="s">
        <v>14</v>
      </c>
    </row>
    <row r="111" spans="1:5" ht="15" thickBot="1" x14ac:dyDescent="0.35">
      <c r="A111" s="40" t="s">
        <v>74</v>
      </c>
      <c r="B111" s="87">
        <v>30750</v>
      </c>
      <c r="C111" s="87">
        <v>35000</v>
      </c>
      <c r="D111" s="87">
        <v>27395</v>
      </c>
      <c r="E111" s="77"/>
    </row>
    <row r="112" spans="1:5" ht="15" thickBot="1" x14ac:dyDescent="0.35">
      <c r="A112" s="40" t="s">
        <v>75</v>
      </c>
      <c r="B112" s="94">
        <v>1750</v>
      </c>
      <c r="C112" s="94">
        <v>2500</v>
      </c>
      <c r="D112" s="94">
        <v>19605</v>
      </c>
      <c r="E112" s="77"/>
    </row>
    <row r="113" spans="1:5" x14ac:dyDescent="0.3">
      <c r="A113" s="118" t="s">
        <v>76</v>
      </c>
      <c r="B113" s="87"/>
      <c r="C113" s="87"/>
      <c r="D113" s="87"/>
      <c r="E113" s="77"/>
    </row>
    <row r="114" spans="1:5" ht="15" thickBot="1" x14ac:dyDescent="0.35">
      <c r="A114" s="142"/>
      <c r="B114" s="88">
        <v>32500</v>
      </c>
      <c r="C114" s="88">
        <v>37500</v>
      </c>
      <c r="D114" s="88">
        <v>47000</v>
      </c>
      <c r="E114" s="78">
        <v>117000</v>
      </c>
    </row>
    <row r="115" spans="1:5" ht="15" thickBot="1" x14ac:dyDescent="0.35">
      <c r="A115" s="40" t="s">
        <v>77</v>
      </c>
      <c r="B115" s="87"/>
      <c r="C115" s="87"/>
      <c r="D115" s="87"/>
      <c r="E115" s="77">
        <v>43500</v>
      </c>
    </row>
    <row r="116" spans="1:5" ht="15" thickBot="1" x14ac:dyDescent="0.35">
      <c r="A116" s="40" t="s">
        <v>69</v>
      </c>
      <c r="B116" s="87"/>
      <c r="C116" s="87"/>
      <c r="D116" s="87"/>
      <c r="E116" s="95">
        <v>1500</v>
      </c>
    </row>
    <row r="117" spans="1:5" x14ac:dyDescent="0.3">
      <c r="A117" s="118" t="s">
        <v>78</v>
      </c>
      <c r="B117" s="120"/>
      <c r="C117" s="120"/>
      <c r="D117" s="120"/>
      <c r="E117" s="77"/>
    </row>
    <row r="118" spans="1:5" ht="15" thickBot="1" x14ac:dyDescent="0.35">
      <c r="A118" s="119"/>
      <c r="B118" s="121"/>
      <c r="C118" s="121"/>
      <c r="D118" s="121"/>
      <c r="E118" s="100">
        <v>162000</v>
      </c>
    </row>
    <row r="119" spans="1:5" ht="15" thickTop="1" x14ac:dyDescent="0.3"/>
  </sheetData>
  <mergeCells count="20">
    <mergeCell ref="A113:A114"/>
    <mergeCell ref="A117:A118"/>
    <mergeCell ref="B117:B118"/>
    <mergeCell ref="C117:C118"/>
    <mergeCell ref="D117:D118"/>
    <mergeCell ref="A105:A106"/>
    <mergeCell ref="B105:B106"/>
    <mergeCell ref="C105:C106"/>
    <mergeCell ref="D105:D106"/>
    <mergeCell ref="A5:A7"/>
    <mergeCell ref="C5:C7"/>
    <mergeCell ref="A8:A11"/>
    <mergeCell ref="A12:A15"/>
    <mergeCell ref="A16:A19"/>
    <mergeCell ref="A20:A23"/>
    <mergeCell ref="A27:A28"/>
    <mergeCell ref="B27:E27"/>
    <mergeCell ref="B45:C45"/>
    <mergeCell ref="A73:A74"/>
    <mergeCell ref="A99:A100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1C5-957D-4E04-A8D2-935E38314ECA}">
  <dimension ref="B2:G24"/>
  <sheetViews>
    <sheetView workbookViewId="0">
      <selection activeCell="B2" sqref="B2:G15"/>
    </sheetView>
  </sheetViews>
  <sheetFormatPr baseColWidth="10" defaultRowHeight="14.4" x14ac:dyDescent="0.3"/>
  <cols>
    <col min="2" max="2" width="40.6640625" bestFit="1" customWidth="1"/>
    <col min="3" max="3" width="11.77734375" style="112" bestFit="1" customWidth="1"/>
    <col min="6" max="6" width="12.44140625" bestFit="1" customWidth="1"/>
  </cols>
  <sheetData>
    <row r="2" spans="2:7" ht="15" thickBot="1" x14ac:dyDescent="0.35">
      <c r="B2" t="s">
        <v>95</v>
      </c>
      <c r="C2" s="112">
        <v>1125</v>
      </c>
      <c r="D2">
        <v>1325</v>
      </c>
      <c r="E2">
        <v>365</v>
      </c>
      <c r="F2" t="s">
        <v>98</v>
      </c>
    </row>
    <row r="3" spans="2:7" ht="28.8" thickTop="1" thickBot="1" x14ac:dyDescent="0.35">
      <c r="B3" s="52"/>
      <c r="C3" s="113" t="s">
        <v>27</v>
      </c>
      <c r="D3" s="53" t="s">
        <v>28</v>
      </c>
      <c r="E3" s="54" t="s">
        <v>29</v>
      </c>
    </row>
    <row r="4" spans="2:7" ht="15" thickBot="1" x14ac:dyDescent="0.35">
      <c r="B4" s="107" t="s">
        <v>30</v>
      </c>
      <c r="C4" s="114">
        <v>285</v>
      </c>
      <c r="D4" s="13">
        <v>390</v>
      </c>
      <c r="E4" s="17">
        <v>795</v>
      </c>
    </row>
    <row r="5" spans="2:7" x14ac:dyDescent="0.3">
      <c r="B5" s="108" t="s">
        <v>31</v>
      </c>
      <c r="C5" s="115"/>
      <c r="D5" s="12"/>
      <c r="E5" s="16"/>
    </row>
    <row r="6" spans="2:7" x14ac:dyDescent="0.3">
      <c r="B6" s="109" t="s">
        <v>32</v>
      </c>
      <c r="C6" s="114">
        <v>105</v>
      </c>
      <c r="D6" s="13">
        <v>135</v>
      </c>
      <c r="E6" s="17">
        <v>300</v>
      </c>
    </row>
    <row r="7" spans="2:7" x14ac:dyDescent="0.3">
      <c r="B7" s="109" t="s">
        <v>33</v>
      </c>
      <c r="C7" s="114">
        <v>65</v>
      </c>
      <c r="D7" s="13">
        <v>75</v>
      </c>
      <c r="E7" s="17">
        <v>85</v>
      </c>
    </row>
    <row r="8" spans="2:7" x14ac:dyDescent="0.3">
      <c r="B8" s="109" t="s">
        <v>34</v>
      </c>
      <c r="C8" s="114">
        <v>30</v>
      </c>
      <c r="D8" s="13">
        <v>40</v>
      </c>
      <c r="E8" s="17">
        <v>50</v>
      </c>
    </row>
    <row r="9" spans="2:7" x14ac:dyDescent="0.3">
      <c r="B9" s="109" t="s">
        <v>35</v>
      </c>
      <c r="C9" s="116">
        <v>15</v>
      </c>
      <c r="D9" s="14">
        <v>20</v>
      </c>
      <c r="E9" s="18">
        <v>40</v>
      </c>
    </row>
    <row r="10" spans="2:7" x14ac:dyDescent="0.3">
      <c r="B10" s="110"/>
      <c r="C10" s="114">
        <f>+SUM(C6:C9)</f>
        <v>215</v>
      </c>
      <c r="D10" s="114">
        <f t="shared" ref="D10:E10" si="0">+SUM(D6:D9)</f>
        <v>270</v>
      </c>
      <c r="E10" s="114">
        <f t="shared" si="0"/>
        <v>475</v>
      </c>
    </row>
    <row r="11" spans="2:7" ht="15" thickBot="1" x14ac:dyDescent="0.35">
      <c r="B11" s="110"/>
      <c r="C11" s="114"/>
      <c r="D11" s="13"/>
      <c r="E11" s="17"/>
    </row>
    <row r="12" spans="2:7" x14ac:dyDescent="0.3">
      <c r="B12" s="111" t="s">
        <v>36</v>
      </c>
      <c r="C12" s="117">
        <f>+C4-C10</f>
        <v>70</v>
      </c>
      <c r="D12" s="117">
        <f t="shared" ref="D12:E12" si="1">+D4-D10</f>
        <v>120</v>
      </c>
      <c r="E12" s="117">
        <f t="shared" si="1"/>
        <v>320</v>
      </c>
    </row>
    <row r="14" spans="2:7" x14ac:dyDescent="0.3">
      <c r="B14" t="s">
        <v>96</v>
      </c>
      <c r="C14" s="112">
        <f>15000/C2</f>
        <v>13.333333333333334</v>
      </c>
      <c r="D14" s="112">
        <f>45000/D2</f>
        <v>33.962264150943398</v>
      </c>
      <c r="E14" s="112">
        <f>70000/E2</f>
        <v>191.78082191780823</v>
      </c>
      <c r="F14" s="112">
        <f>5500+17500+13500+1500</f>
        <v>38000</v>
      </c>
      <c r="G14">
        <f>+E14*E2</f>
        <v>70000</v>
      </c>
    </row>
    <row r="15" spans="2:7" x14ac:dyDescent="0.3">
      <c r="B15" t="s">
        <v>97</v>
      </c>
      <c r="C15" s="112">
        <f>32500/C2</f>
        <v>28.888888888888889</v>
      </c>
      <c r="D15" s="112">
        <f>37500/D2</f>
        <v>28.30188679245283</v>
      </c>
      <c r="E15" s="112">
        <f>47000/E2</f>
        <v>128.76712328767124</v>
      </c>
      <c r="F15" s="112">
        <v>45000</v>
      </c>
      <c r="G15">
        <f>+E15*E2</f>
        <v>47000</v>
      </c>
    </row>
    <row r="17" spans="2:6" x14ac:dyDescent="0.3">
      <c r="B17" t="s">
        <v>99</v>
      </c>
      <c r="C17" s="112">
        <f>+C12-C14-C15</f>
        <v>27.777777777777775</v>
      </c>
      <c r="D17" s="112">
        <f t="shared" ref="D17:E17" si="2">+D12-D14-D15</f>
        <v>57.735849056603769</v>
      </c>
      <c r="E17" s="112">
        <f t="shared" si="2"/>
        <v>-0.5479452054794649</v>
      </c>
    </row>
    <row r="18" spans="2:6" x14ac:dyDescent="0.3">
      <c r="B18" t="s">
        <v>100</v>
      </c>
      <c r="C18" s="112">
        <f>+C17*C2</f>
        <v>31249.999999999996</v>
      </c>
      <c r="D18" s="112">
        <f t="shared" ref="D18:E18" si="3">+D17*D2</f>
        <v>76500</v>
      </c>
      <c r="E18" s="112">
        <f>+E17*E2</f>
        <v>-200.00000000000469</v>
      </c>
    </row>
    <row r="20" spans="2:6" x14ac:dyDescent="0.3">
      <c r="B20" t="s">
        <v>101</v>
      </c>
      <c r="F20" s="144">
        <f>+C18+D18+E18-F14-F15</f>
        <v>24550</v>
      </c>
    </row>
    <row r="22" spans="2:6" x14ac:dyDescent="0.3">
      <c r="B22" t="s">
        <v>102</v>
      </c>
    </row>
    <row r="23" spans="2:6" x14ac:dyDescent="0.3">
      <c r="B23" t="s">
        <v>103</v>
      </c>
    </row>
    <row r="24" spans="2:6" x14ac:dyDescent="0.3">
      <c r="B24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3635-67C4-4FE7-83D5-B9D9653B899C}">
  <dimension ref="A1:D24"/>
  <sheetViews>
    <sheetView workbookViewId="0">
      <selection activeCell="H14" sqref="H14"/>
    </sheetView>
  </sheetViews>
  <sheetFormatPr baseColWidth="10" defaultRowHeight="14.4" x14ac:dyDescent="0.3"/>
  <cols>
    <col min="1" max="1" width="39.44140625" customWidth="1"/>
    <col min="2" max="2" width="13.6640625" style="112" bestFit="1" customWidth="1"/>
    <col min="4" max="4" width="12.77734375" bestFit="1" customWidth="1"/>
  </cols>
  <sheetData>
    <row r="1" spans="1:3" x14ac:dyDescent="0.3">
      <c r="A1" t="s">
        <v>81</v>
      </c>
    </row>
    <row r="2" spans="1:3" ht="15" thickBot="1" x14ac:dyDescent="0.35"/>
    <row r="3" spans="1:3" ht="15.6" thickTop="1" thickBot="1" x14ac:dyDescent="0.35">
      <c r="A3" s="52"/>
      <c r="B3" s="112" t="s">
        <v>29</v>
      </c>
    </row>
    <row r="4" spans="1:3" ht="28.2" thickBot="1" x14ac:dyDescent="0.35">
      <c r="A4" s="107" t="s">
        <v>30</v>
      </c>
      <c r="B4" s="112">
        <v>795</v>
      </c>
    </row>
    <row r="5" spans="1:3" x14ac:dyDescent="0.3">
      <c r="A5" s="108" t="s">
        <v>31</v>
      </c>
    </row>
    <row r="6" spans="1:3" x14ac:dyDescent="0.3">
      <c r="A6" s="109" t="s">
        <v>32</v>
      </c>
      <c r="B6" s="112">
        <v>300</v>
      </c>
    </row>
    <row r="7" spans="1:3" x14ac:dyDescent="0.3">
      <c r="A7" s="109" t="s">
        <v>33</v>
      </c>
      <c r="B7" s="112">
        <v>85</v>
      </c>
    </row>
    <row r="8" spans="1:3" x14ac:dyDescent="0.3">
      <c r="A8" s="109" t="s">
        <v>34</v>
      </c>
      <c r="B8" s="112">
        <v>50</v>
      </c>
    </row>
    <row r="9" spans="1:3" x14ac:dyDescent="0.3">
      <c r="A9" s="162" t="s">
        <v>35</v>
      </c>
      <c r="B9" s="146">
        <v>40</v>
      </c>
    </row>
    <row r="10" spans="1:3" x14ac:dyDescent="0.3">
      <c r="A10" s="110"/>
      <c r="B10" s="112">
        <f>SUM(B6:B9)</f>
        <v>475</v>
      </c>
    </row>
    <row r="11" spans="1:3" ht="15" thickBot="1" x14ac:dyDescent="0.35">
      <c r="A11" s="110"/>
    </row>
    <row r="12" spans="1:3" x14ac:dyDescent="0.3">
      <c r="A12" s="111" t="s">
        <v>36</v>
      </c>
      <c r="B12" s="112">
        <v>320</v>
      </c>
    </row>
    <row r="14" spans="1:3" x14ac:dyDescent="0.3">
      <c r="A14" t="s">
        <v>96</v>
      </c>
      <c r="B14" s="112">
        <v>191.780821917808</v>
      </c>
    </row>
    <row r="15" spans="1:3" x14ac:dyDescent="0.3">
      <c r="A15" t="s">
        <v>97</v>
      </c>
      <c r="B15" s="112">
        <v>128.76712328767124</v>
      </c>
      <c r="C15" s="143"/>
    </row>
    <row r="17" spans="1:4" x14ac:dyDescent="0.3">
      <c r="A17" t="s">
        <v>106</v>
      </c>
      <c r="B17" s="112">
        <f>+B15+B14+B10</f>
        <v>795.54794520547921</v>
      </c>
      <c r="D17" s="143"/>
    </row>
    <row r="18" spans="1:4" x14ac:dyDescent="0.3">
      <c r="A18" t="s">
        <v>107</v>
      </c>
      <c r="B18" s="112">
        <v>0.15</v>
      </c>
      <c r="D18" s="112"/>
    </row>
    <row r="19" spans="1:4" x14ac:dyDescent="0.3">
      <c r="A19" t="s">
        <v>108</v>
      </c>
      <c r="B19" s="146">
        <f>+B17*(1+B18)</f>
        <v>914.88013698630107</v>
      </c>
      <c r="C19" s="147"/>
    </row>
    <row r="20" spans="1:4" ht="28.8" x14ac:dyDescent="0.3">
      <c r="B20" s="145" t="s">
        <v>26</v>
      </c>
    </row>
    <row r="21" spans="1:4" x14ac:dyDescent="0.3">
      <c r="A21" t="s">
        <v>29</v>
      </c>
      <c r="B21" s="112" t="s">
        <v>105</v>
      </c>
    </row>
    <row r="23" spans="1:4" x14ac:dyDescent="0.3">
      <c r="A23" t="s">
        <v>109</v>
      </c>
    </row>
    <row r="24" spans="1:4" x14ac:dyDescent="0.3">
      <c r="A24" t="s">
        <v>110</v>
      </c>
      <c r="D24" s="1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2477-8B92-4D04-A4CF-93AABAB7D893}">
  <dimension ref="A2:N16"/>
  <sheetViews>
    <sheetView workbookViewId="0">
      <selection activeCell="G24" sqref="G24"/>
    </sheetView>
  </sheetViews>
  <sheetFormatPr baseColWidth="10" defaultRowHeight="14.4" x14ac:dyDescent="0.3"/>
  <cols>
    <col min="3" max="3" width="12.77734375" bestFit="1" customWidth="1"/>
    <col min="5" max="5" width="12.77734375" bestFit="1" customWidth="1"/>
    <col min="10" max="10" width="12.77734375" bestFit="1" customWidth="1"/>
    <col min="12" max="12" width="12.77734375" bestFit="1" customWidth="1"/>
    <col min="13" max="13" width="12.33203125" bestFit="1" customWidth="1"/>
    <col min="14" max="14" width="21.77734375" bestFit="1" customWidth="1"/>
  </cols>
  <sheetData>
    <row r="2" spans="1:14" x14ac:dyDescent="0.3">
      <c r="A2" t="s">
        <v>0</v>
      </c>
      <c r="B2" t="s">
        <v>1</v>
      </c>
      <c r="C2" t="s">
        <v>5</v>
      </c>
      <c r="D2" s="151" t="s">
        <v>111</v>
      </c>
      <c r="E2" s="151" t="s">
        <v>115</v>
      </c>
      <c r="F2" s="153" t="s">
        <v>113</v>
      </c>
      <c r="G2" s="151" t="s">
        <v>114</v>
      </c>
      <c r="H2" s="151" t="s">
        <v>120</v>
      </c>
      <c r="I2" s="151" t="s">
        <v>124</v>
      </c>
      <c r="J2" s="151" t="s">
        <v>121</v>
      </c>
      <c r="K2" s="152" t="s">
        <v>122</v>
      </c>
      <c r="L2" s="152" t="s">
        <v>123</v>
      </c>
      <c r="M2" s="152" t="s">
        <v>125</v>
      </c>
    </row>
    <row r="3" spans="1:14" x14ac:dyDescent="0.3">
      <c r="B3" t="s">
        <v>4</v>
      </c>
      <c r="C3" t="s">
        <v>6</v>
      </c>
      <c r="D3" s="151"/>
      <c r="E3" s="151"/>
      <c r="F3" s="153"/>
      <c r="G3" s="151"/>
      <c r="H3" s="151"/>
      <c r="I3" s="151"/>
      <c r="J3" s="151"/>
      <c r="K3" s="152"/>
      <c r="L3" s="152"/>
      <c r="M3" s="152"/>
    </row>
    <row r="4" spans="1:14" x14ac:dyDescent="0.3">
      <c r="C4" t="s">
        <v>7</v>
      </c>
      <c r="D4" s="151"/>
      <c r="E4" s="151"/>
      <c r="F4" s="153"/>
      <c r="G4" s="151"/>
      <c r="H4" s="151"/>
      <c r="I4" s="151"/>
      <c r="J4" s="151"/>
      <c r="K4" s="152"/>
      <c r="L4" s="152"/>
      <c r="M4" s="152"/>
    </row>
    <row r="5" spans="1:14" x14ac:dyDescent="0.3">
      <c r="A5" s="112">
        <v>760</v>
      </c>
      <c r="B5">
        <v>377</v>
      </c>
      <c r="C5" s="112">
        <v>286520</v>
      </c>
      <c r="D5" s="112">
        <v>475</v>
      </c>
      <c r="E5" s="143">
        <f>+(A5-D5)*B5</f>
        <v>107445</v>
      </c>
      <c r="F5">
        <f>70000+47000</f>
        <v>117000</v>
      </c>
      <c r="G5" s="143">
        <f>+E5-F5</f>
        <v>-9555</v>
      </c>
      <c r="H5">
        <f>+E5/B5</f>
        <v>285</v>
      </c>
      <c r="I5" s="155">
        <f>+H5/A5</f>
        <v>0.375</v>
      </c>
      <c r="J5" s="112">
        <f>+F5</f>
        <v>117000</v>
      </c>
      <c r="K5" s="112">
        <f>+J5/H5</f>
        <v>410.5263157894737</v>
      </c>
      <c r="L5" s="112">
        <f>+J5/I5</f>
        <v>312000</v>
      </c>
      <c r="M5" s="143">
        <f>+C5-L5</f>
        <v>-25480</v>
      </c>
    </row>
    <row r="6" spans="1:14" x14ac:dyDescent="0.3">
      <c r="A6" s="112">
        <v>795</v>
      </c>
      <c r="B6">
        <v>365</v>
      </c>
      <c r="C6" s="112">
        <v>291765</v>
      </c>
      <c r="D6" s="112">
        <v>475</v>
      </c>
      <c r="E6" s="143">
        <f>+(A6-D6)*B6</f>
        <v>116800</v>
      </c>
      <c r="F6">
        <f t="shared" ref="F6:F8" si="0">70000+47000</f>
        <v>117000</v>
      </c>
      <c r="G6" s="143">
        <f>+E6-F6</f>
        <v>-200</v>
      </c>
      <c r="H6">
        <f t="shared" ref="H6:H8" si="1">+E6/B6</f>
        <v>320</v>
      </c>
      <c r="I6" s="155">
        <f t="shared" ref="I6:I8" si="2">+H6/A6</f>
        <v>0.40251572327044027</v>
      </c>
      <c r="J6" s="112">
        <f t="shared" ref="J6:J8" si="3">+F6</f>
        <v>117000</v>
      </c>
      <c r="K6" s="112">
        <f>+J6/H6</f>
        <v>365.625</v>
      </c>
      <c r="L6" s="112">
        <f t="shared" ref="L6:L8" si="4">+J6/I6</f>
        <v>290671.875</v>
      </c>
      <c r="M6" s="143">
        <f>+C6-L6</f>
        <v>1093.125</v>
      </c>
    </row>
    <row r="7" spans="1:14" x14ac:dyDescent="0.3">
      <c r="A7" s="146">
        <v>835</v>
      </c>
      <c r="B7" s="147">
        <v>340</v>
      </c>
      <c r="C7" s="146">
        <v>283900</v>
      </c>
      <c r="D7" s="146">
        <v>475</v>
      </c>
      <c r="E7" s="144">
        <f>+(A7-D7)*B7</f>
        <v>122400</v>
      </c>
      <c r="F7" s="147">
        <f t="shared" si="0"/>
        <v>117000</v>
      </c>
      <c r="G7" s="144">
        <f t="shared" ref="G7:G8" si="5">+E7-F7</f>
        <v>5400</v>
      </c>
      <c r="H7" s="147">
        <f t="shared" si="1"/>
        <v>360</v>
      </c>
      <c r="I7" s="156">
        <f t="shared" si="2"/>
        <v>0.43113772455089822</v>
      </c>
      <c r="J7" s="146">
        <f t="shared" si="3"/>
        <v>117000</v>
      </c>
      <c r="K7" s="146">
        <f>+J7/H7</f>
        <v>325</v>
      </c>
      <c r="L7" s="146">
        <f t="shared" si="4"/>
        <v>271375</v>
      </c>
      <c r="M7" s="144">
        <f t="shared" ref="M6:M8" si="6">+C7-L7</f>
        <v>12525</v>
      </c>
      <c r="N7" t="s">
        <v>126</v>
      </c>
    </row>
    <row r="8" spans="1:14" x14ac:dyDescent="0.3">
      <c r="A8" s="112">
        <v>875</v>
      </c>
      <c r="B8">
        <v>282</v>
      </c>
      <c r="C8" s="112">
        <v>246750</v>
      </c>
      <c r="D8" s="112">
        <v>475</v>
      </c>
      <c r="E8" s="143">
        <f>+(A8-D8)*B8</f>
        <v>112800</v>
      </c>
      <c r="F8">
        <f t="shared" si="0"/>
        <v>117000</v>
      </c>
      <c r="G8" s="143">
        <f t="shared" si="5"/>
        <v>-4200</v>
      </c>
      <c r="H8">
        <f t="shared" si="1"/>
        <v>400</v>
      </c>
      <c r="I8" s="155">
        <f t="shared" si="2"/>
        <v>0.45714285714285713</v>
      </c>
      <c r="J8" s="112">
        <f t="shared" si="3"/>
        <v>117000</v>
      </c>
      <c r="K8" s="112">
        <f>+J8/H8</f>
        <v>292.5</v>
      </c>
      <c r="L8" s="112">
        <f t="shared" si="4"/>
        <v>255937.5</v>
      </c>
      <c r="M8" s="143">
        <f t="shared" si="6"/>
        <v>-9187.5</v>
      </c>
    </row>
    <row r="11" spans="1:14" x14ac:dyDescent="0.3">
      <c r="A11" t="s">
        <v>81</v>
      </c>
    </row>
    <row r="13" spans="1:14" x14ac:dyDescent="0.3">
      <c r="A13" t="s">
        <v>116</v>
      </c>
    </row>
    <row r="14" spans="1:14" x14ac:dyDescent="0.3">
      <c r="A14" t="s">
        <v>117</v>
      </c>
    </row>
    <row r="15" spans="1:14" x14ac:dyDescent="0.3">
      <c r="A15" t="s">
        <v>118</v>
      </c>
    </row>
    <row r="16" spans="1:14" x14ac:dyDescent="0.3">
      <c r="A16" t="s">
        <v>119</v>
      </c>
    </row>
  </sheetData>
  <mergeCells count="10">
    <mergeCell ref="K2:K4"/>
    <mergeCell ref="L2:L4"/>
    <mergeCell ref="I2:I4"/>
    <mergeCell ref="M2:M4"/>
    <mergeCell ref="D2:D4"/>
    <mergeCell ref="E2:E4"/>
    <mergeCell ref="F2:F4"/>
    <mergeCell ref="G2:G4"/>
    <mergeCell ref="H2:H4"/>
    <mergeCell ref="J2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6E2C-F426-42E4-8ED9-284253F9FB89}">
  <dimension ref="A1:H30"/>
  <sheetViews>
    <sheetView topLeftCell="A7" workbookViewId="0">
      <selection activeCell="H28" sqref="H28"/>
    </sheetView>
  </sheetViews>
  <sheetFormatPr baseColWidth="10" defaultRowHeight="14.4" x14ac:dyDescent="0.3"/>
  <cols>
    <col min="1" max="1" width="44" customWidth="1"/>
    <col min="2" max="2" width="13.33203125" customWidth="1"/>
    <col min="3" max="3" width="13.6640625" customWidth="1"/>
    <col min="4" max="4" width="13.33203125" customWidth="1"/>
    <col min="5" max="5" width="14.21875" bestFit="1" customWidth="1"/>
    <col min="6" max="6" width="11.77734375" bestFit="1" customWidth="1"/>
    <col min="7" max="7" width="12.77734375" bestFit="1" customWidth="1"/>
  </cols>
  <sheetData>
    <row r="1" spans="1:8" x14ac:dyDescent="0.3">
      <c r="A1" s="157" t="s">
        <v>82</v>
      </c>
      <c r="B1" s="157"/>
      <c r="C1" s="157"/>
      <c r="D1" s="157"/>
      <c r="E1" s="157"/>
      <c r="F1" s="157"/>
      <c r="G1" s="157"/>
      <c r="H1" s="157"/>
    </row>
    <row r="2" spans="1:8" x14ac:dyDescent="0.3">
      <c r="A2" s="158"/>
      <c r="B2" s="158"/>
      <c r="C2" s="158"/>
      <c r="D2" s="158"/>
      <c r="E2" s="158"/>
      <c r="F2" s="158"/>
      <c r="G2" s="158"/>
      <c r="H2" s="158"/>
    </row>
    <row r="3" spans="1:8" x14ac:dyDescent="0.3">
      <c r="A3" s="158"/>
      <c r="B3" s="158"/>
      <c r="C3" s="158"/>
      <c r="D3" s="158"/>
      <c r="E3" s="158"/>
      <c r="F3" s="158"/>
      <c r="G3" s="158"/>
      <c r="H3" s="158"/>
    </row>
    <row r="4" spans="1:8" x14ac:dyDescent="0.3">
      <c r="A4" s="158"/>
      <c r="B4" s="158"/>
      <c r="C4" s="158"/>
      <c r="D4" s="158"/>
      <c r="E4" s="158"/>
      <c r="F4" s="158"/>
      <c r="G4" s="158"/>
      <c r="H4" s="158"/>
    </row>
    <row r="5" spans="1:8" x14ac:dyDescent="0.3">
      <c r="A5" s="158" t="s">
        <v>131</v>
      </c>
      <c r="B5" s="159">
        <v>320625</v>
      </c>
      <c r="C5" s="159">
        <v>516750</v>
      </c>
      <c r="D5" s="159">
        <v>290175</v>
      </c>
      <c r="E5" s="159">
        <v>1127550</v>
      </c>
      <c r="F5" s="158"/>
      <c r="G5" s="158"/>
      <c r="H5" s="158"/>
    </row>
    <row r="6" spans="1:8" x14ac:dyDescent="0.3">
      <c r="A6" s="158"/>
      <c r="B6" s="158"/>
      <c r="C6" s="158"/>
      <c r="D6" s="158"/>
      <c r="E6" s="158"/>
      <c r="F6" s="158"/>
      <c r="G6" s="158"/>
      <c r="H6" s="158"/>
    </row>
    <row r="8" spans="1:8" ht="15" thickBot="1" x14ac:dyDescent="0.35">
      <c r="A8" t="s">
        <v>95</v>
      </c>
      <c r="B8" s="112">
        <v>1125</v>
      </c>
      <c r="C8">
        <v>1325</v>
      </c>
      <c r="D8">
        <v>365</v>
      </c>
      <c r="E8" t="s">
        <v>98</v>
      </c>
    </row>
    <row r="9" spans="1:8" ht="28.8" thickTop="1" thickBot="1" x14ac:dyDescent="0.35">
      <c r="A9" s="52"/>
      <c r="B9" s="113" t="s">
        <v>27</v>
      </c>
      <c r="C9" s="53" t="s">
        <v>28</v>
      </c>
      <c r="D9" s="54" t="s">
        <v>29</v>
      </c>
    </row>
    <row r="10" spans="1:8" ht="28.2" thickBot="1" x14ac:dyDescent="0.35">
      <c r="A10" s="107" t="s">
        <v>30</v>
      </c>
      <c r="B10" s="114">
        <v>285</v>
      </c>
      <c r="C10" s="13">
        <v>390</v>
      </c>
      <c r="D10" s="17">
        <v>795</v>
      </c>
    </row>
    <row r="11" spans="1:8" x14ac:dyDescent="0.3">
      <c r="A11" s="108" t="s">
        <v>31</v>
      </c>
      <c r="B11" s="115"/>
      <c r="C11" s="12"/>
      <c r="D11" s="16"/>
    </row>
    <row r="12" spans="1:8" x14ac:dyDescent="0.3">
      <c r="A12" s="109" t="s">
        <v>32</v>
      </c>
      <c r="B12" s="114">
        <v>105</v>
      </c>
      <c r="C12" s="13">
        <v>135</v>
      </c>
      <c r="D12" s="17">
        <v>300</v>
      </c>
    </row>
    <row r="13" spans="1:8" x14ac:dyDescent="0.3">
      <c r="A13" s="109" t="s">
        <v>33</v>
      </c>
      <c r="B13" s="114">
        <v>65</v>
      </c>
      <c r="C13" s="13">
        <v>75</v>
      </c>
      <c r="D13" s="17">
        <v>85</v>
      </c>
    </row>
    <row r="14" spans="1:8" x14ac:dyDescent="0.3">
      <c r="A14" s="109" t="s">
        <v>34</v>
      </c>
      <c r="B14" s="114">
        <v>30</v>
      </c>
      <c r="C14" s="13">
        <v>40</v>
      </c>
      <c r="D14" s="17">
        <v>50</v>
      </c>
    </row>
    <row r="15" spans="1:8" x14ac:dyDescent="0.3">
      <c r="A15" s="109" t="s">
        <v>35</v>
      </c>
      <c r="B15" s="116">
        <v>15</v>
      </c>
      <c r="C15" s="14">
        <v>20</v>
      </c>
      <c r="D15" s="18">
        <v>40</v>
      </c>
    </row>
    <row r="16" spans="1:8" x14ac:dyDescent="0.3">
      <c r="A16" s="110" t="s">
        <v>135</v>
      </c>
      <c r="B16" s="114">
        <f>+SUM(B12:B15)</f>
        <v>215</v>
      </c>
      <c r="C16" s="114">
        <f t="shared" ref="C16:D16" si="0">+SUM(C12:C15)</f>
        <v>270</v>
      </c>
      <c r="D16" s="114">
        <f t="shared" si="0"/>
        <v>475</v>
      </c>
    </row>
    <row r="17" spans="1:7" ht="15" thickBot="1" x14ac:dyDescent="0.35">
      <c r="A17" s="110"/>
      <c r="B17" s="114"/>
      <c r="C17" s="13"/>
      <c r="D17" s="17"/>
    </row>
    <row r="18" spans="1:7" x14ac:dyDescent="0.3">
      <c r="A18" s="111" t="s">
        <v>36</v>
      </c>
      <c r="B18" s="117">
        <f>+B10-B16</f>
        <v>70</v>
      </c>
      <c r="C18" s="117">
        <f t="shared" ref="C18:D18" si="1">+C10-C16</f>
        <v>120</v>
      </c>
      <c r="D18" s="117">
        <f t="shared" si="1"/>
        <v>320</v>
      </c>
    </row>
    <row r="19" spans="1:7" x14ac:dyDescent="0.3">
      <c r="B19" s="112"/>
    </row>
    <row r="20" spans="1:7" x14ac:dyDescent="0.3">
      <c r="A20" t="s">
        <v>96</v>
      </c>
      <c r="B20" s="112">
        <f>15000/B8</f>
        <v>13.333333333333334</v>
      </c>
      <c r="C20" s="112">
        <f>45000/C8</f>
        <v>33.962264150943398</v>
      </c>
      <c r="D20" s="112">
        <f>70000/D8</f>
        <v>191.78082191780823</v>
      </c>
      <c r="E20" s="112">
        <f>5500+17500+13500+1500</f>
        <v>38000</v>
      </c>
      <c r="F20" s="143">
        <f>+D20+D21</f>
        <v>320.54794520547944</v>
      </c>
    </row>
    <row r="21" spans="1:7" x14ac:dyDescent="0.3">
      <c r="A21" t="s">
        <v>97</v>
      </c>
      <c r="B21" s="112">
        <f>32500/B8</f>
        <v>28.888888888888889</v>
      </c>
      <c r="C21" s="112">
        <f>37500/C8</f>
        <v>28.30188679245283</v>
      </c>
      <c r="D21" s="146">
        <f>47000/D8</f>
        <v>128.76712328767124</v>
      </c>
      <c r="E21" s="112">
        <v>45000</v>
      </c>
      <c r="F21">
        <f>+F20*D8</f>
        <v>117000</v>
      </c>
    </row>
    <row r="22" spans="1:7" x14ac:dyDescent="0.3">
      <c r="A22" t="s">
        <v>127</v>
      </c>
      <c r="B22" s="143">
        <f>+(B5/E5)*E22/B8</f>
        <v>20.979114008247972</v>
      </c>
      <c r="C22" s="143">
        <f>+(C5/E5)*E22/C8</f>
        <v>28.708261274444592</v>
      </c>
      <c r="D22" s="143">
        <f>+(D5/E5)*E22/D8</f>
        <v>58.520686444060139</v>
      </c>
      <c r="E22" s="143">
        <f>+SUM(E20:E21)</f>
        <v>83000</v>
      </c>
    </row>
    <row r="23" spans="1:7" x14ac:dyDescent="0.3">
      <c r="E23" s="143"/>
      <c r="F23" s="143"/>
      <c r="G23" t="s">
        <v>137</v>
      </c>
    </row>
    <row r="24" spans="1:7" x14ac:dyDescent="0.3">
      <c r="A24" t="s">
        <v>136</v>
      </c>
      <c r="B24" s="143">
        <f>+B16+B20+B21+B22</f>
        <v>278.20133623047019</v>
      </c>
      <c r="C24" s="143">
        <f t="shared" ref="C24:D24" si="2">+C16+C20+C21+C22</f>
        <v>360.97241221784077</v>
      </c>
      <c r="D24" s="143">
        <f>+D16+D20+D21+D22</f>
        <v>854.06863164953961</v>
      </c>
      <c r="G24" s="143">
        <f>+D22+D21+D20</f>
        <v>379.06863164953961</v>
      </c>
    </row>
    <row r="25" spans="1:7" x14ac:dyDescent="0.3">
      <c r="A25" s="147" t="s">
        <v>128</v>
      </c>
      <c r="B25" s="147">
        <f>+B24*1.15</f>
        <v>319.93153666504071</v>
      </c>
      <c r="C25" s="147">
        <f>+C24*1.15</f>
        <v>415.11827405051685</v>
      </c>
      <c r="D25" s="147">
        <f>+D24*1.15</f>
        <v>982.1789263969705</v>
      </c>
      <c r="G25" s="112">
        <f>+G24*D8</f>
        <v>138360.05055208196</v>
      </c>
    </row>
    <row r="27" spans="1:7" x14ac:dyDescent="0.3">
      <c r="A27" t="s">
        <v>26</v>
      </c>
      <c r="B27" t="s">
        <v>129</v>
      </c>
      <c r="C27" t="s">
        <v>130</v>
      </c>
      <c r="D27" t="s">
        <v>105</v>
      </c>
    </row>
    <row r="29" spans="1:7" x14ac:dyDescent="0.3">
      <c r="A29" t="s">
        <v>132</v>
      </c>
    </row>
    <row r="30" spans="1:7" x14ac:dyDescent="0.3">
      <c r="A30" t="s">
        <v>133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AE13-219C-4B20-BDBA-2B4BCF42080C}">
  <dimension ref="A1:N18"/>
  <sheetViews>
    <sheetView workbookViewId="0">
      <selection activeCell="I26" sqref="I26"/>
    </sheetView>
  </sheetViews>
  <sheetFormatPr baseColWidth="10" defaultRowHeight="14.4" x14ac:dyDescent="0.3"/>
  <cols>
    <col min="1" max="1" width="17.44140625" bestFit="1" customWidth="1"/>
    <col min="8" max="8" width="14.44140625" bestFit="1" customWidth="1"/>
    <col min="9" max="9" width="16.21875" bestFit="1" customWidth="1"/>
  </cols>
  <sheetData>
    <row r="1" spans="1:14" x14ac:dyDescent="0.3">
      <c r="A1" s="150" t="s">
        <v>134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 x14ac:dyDescent="0.3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x14ac:dyDescent="0.3">
      <c r="A3" s="149" t="s">
        <v>138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</row>
    <row r="5" spans="1:14" ht="15" thickBot="1" x14ac:dyDescent="0.35">
      <c r="A5" t="s">
        <v>9</v>
      </c>
      <c r="B5" t="s">
        <v>10</v>
      </c>
    </row>
    <row r="6" spans="1:14" ht="28.2" thickTop="1" x14ac:dyDescent="0.3">
      <c r="C6" s="163" t="s">
        <v>18</v>
      </c>
      <c r="D6" s="163" t="s">
        <v>19</v>
      </c>
      <c r="E6" s="165" t="s">
        <v>21</v>
      </c>
      <c r="F6" s="173" t="s">
        <v>139</v>
      </c>
      <c r="G6" s="172" t="s">
        <v>140</v>
      </c>
      <c r="H6" s="172" t="s">
        <v>142</v>
      </c>
      <c r="I6" s="172" t="s">
        <v>141</v>
      </c>
      <c r="J6" s="150" t="s">
        <v>136</v>
      </c>
      <c r="K6" s="150" t="s">
        <v>143</v>
      </c>
      <c r="L6" s="150" t="s">
        <v>144</v>
      </c>
      <c r="M6" s="150" t="s">
        <v>112</v>
      </c>
    </row>
    <row r="7" spans="1:14" x14ac:dyDescent="0.3">
      <c r="C7" s="164" t="s">
        <v>17</v>
      </c>
      <c r="D7" s="164" t="s">
        <v>20</v>
      </c>
      <c r="E7" s="166" t="s">
        <v>17</v>
      </c>
      <c r="F7" s="173"/>
      <c r="G7" s="172"/>
      <c r="H7" s="172"/>
      <c r="I7" s="172"/>
      <c r="J7" s="150"/>
      <c r="K7" s="150"/>
      <c r="L7" s="150"/>
      <c r="M7" s="150"/>
    </row>
    <row r="8" spans="1:14" ht="15" thickBot="1" x14ac:dyDescent="0.35">
      <c r="B8" s="160">
        <v>835</v>
      </c>
      <c r="F8" s="161"/>
    </row>
    <row r="9" spans="1:14" ht="15.6" thickTop="1" thickBot="1" x14ac:dyDescent="0.35">
      <c r="A9" t="s">
        <v>11</v>
      </c>
      <c r="B9" s="160">
        <v>112</v>
      </c>
      <c r="C9" s="167">
        <v>70</v>
      </c>
      <c r="D9" s="167">
        <v>1.71</v>
      </c>
      <c r="E9" s="168">
        <v>20990</v>
      </c>
      <c r="F9" s="161">
        <f>+E9/C9</f>
        <v>299.85714285714283</v>
      </c>
      <c r="G9" s="112">
        <f>+F9/D9</f>
        <v>175.3550543024227</v>
      </c>
      <c r="H9">
        <v>475</v>
      </c>
      <c r="I9" s="143">
        <f>+G9+H9</f>
        <v>650.35505430242267</v>
      </c>
      <c r="J9" s="161">
        <f>+I9+B14</f>
        <v>913.90137783183445</v>
      </c>
      <c r="K9">
        <v>835</v>
      </c>
      <c r="L9" s="161">
        <f>+K9-J9</f>
        <v>-78.901377831834452</v>
      </c>
      <c r="M9" s="143">
        <f>+K9-I9</f>
        <v>184.64494569757733</v>
      </c>
    </row>
    <row r="10" spans="1:14" ht="15" thickBot="1" x14ac:dyDescent="0.35">
      <c r="A10" t="s">
        <v>12</v>
      </c>
      <c r="B10" s="160">
        <v>197</v>
      </c>
      <c r="C10" s="169">
        <v>22</v>
      </c>
      <c r="D10" s="169">
        <v>9.5399999999999991</v>
      </c>
      <c r="E10" s="170">
        <v>5910</v>
      </c>
      <c r="F10" s="161">
        <f t="shared" ref="F10:F11" si="0">+E10/C10</f>
        <v>268.63636363636363</v>
      </c>
      <c r="G10" s="112">
        <f>+F10/D10</f>
        <v>28.158947970268727</v>
      </c>
      <c r="H10">
        <v>475</v>
      </c>
      <c r="I10" s="143">
        <f>+G10+H10</f>
        <v>503.15894797026874</v>
      </c>
      <c r="J10" s="161">
        <f>+I10+B14</f>
        <v>766.70527149968052</v>
      </c>
      <c r="K10">
        <v>835</v>
      </c>
      <c r="L10" s="161">
        <f t="shared" ref="L10:L11" si="1">+K10-J10</f>
        <v>68.294728500319479</v>
      </c>
      <c r="M10" s="144">
        <f>+K10-I10</f>
        <v>331.84105202973126</v>
      </c>
    </row>
    <row r="11" spans="1:14" x14ac:dyDescent="0.3">
      <c r="A11" t="s">
        <v>13</v>
      </c>
      <c r="B11" s="160">
        <v>31</v>
      </c>
      <c r="C11" s="169">
        <v>1</v>
      </c>
      <c r="D11" s="169">
        <v>35</v>
      </c>
      <c r="E11" s="171">
        <v>495</v>
      </c>
      <c r="F11" s="161">
        <f>+E11/C11</f>
        <v>495</v>
      </c>
      <c r="G11" s="112">
        <f>+F11/D11</f>
        <v>14.142857142857142</v>
      </c>
      <c r="H11">
        <v>475</v>
      </c>
      <c r="I11" s="143">
        <f t="shared" ref="I10:I11" si="2">+G11+H11</f>
        <v>489.14285714285717</v>
      </c>
      <c r="J11" s="161">
        <f>+I11+B14</f>
        <v>752.689180672269</v>
      </c>
      <c r="K11">
        <v>835</v>
      </c>
      <c r="L11" s="161">
        <f t="shared" si="1"/>
        <v>82.310819327730997</v>
      </c>
      <c r="M11" s="144">
        <f>+K11-I11</f>
        <v>345.85714285714283</v>
      </c>
    </row>
    <row r="14" spans="1:14" x14ac:dyDescent="0.3">
      <c r="A14" t="s">
        <v>113</v>
      </c>
      <c r="B14" s="174">
        <f>(320.55*365-E9-E10-E11)/340</f>
        <v>263.54632352941178</v>
      </c>
    </row>
    <row r="15" spans="1:14" x14ac:dyDescent="0.3">
      <c r="D15" s="148"/>
    </row>
    <row r="16" spans="1:14" x14ac:dyDescent="0.3">
      <c r="D16" s="148"/>
    </row>
    <row r="17" spans="4:4" x14ac:dyDescent="0.3">
      <c r="D17" s="148"/>
    </row>
    <row r="18" spans="4:4" x14ac:dyDescent="0.3">
      <c r="D18" s="148"/>
    </row>
  </sheetData>
  <mergeCells count="9">
    <mergeCell ref="A1:N1"/>
    <mergeCell ref="F6:F7"/>
    <mergeCell ref="G6:G7"/>
    <mergeCell ref="H6:H7"/>
    <mergeCell ref="I6:I7"/>
    <mergeCell ref="J6:J7"/>
    <mergeCell ref="K6:K7"/>
    <mergeCell ref="L6:L7"/>
    <mergeCell ref="M6:M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27B1-86D7-440A-9744-632F8FBA78B9}">
  <dimension ref="A3:K26"/>
  <sheetViews>
    <sheetView tabSelected="1" workbookViewId="0">
      <selection activeCell="M22" sqref="M22"/>
    </sheetView>
  </sheetViews>
  <sheetFormatPr baseColWidth="10" defaultRowHeight="14.4" x14ac:dyDescent="0.3"/>
  <cols>
    <col min="1" max="1" width="17.44140625" bestFit="1" customWidth="1"/>
    <col min="6" max="6" width="11.77734375" bestFit="1" customWidth="1"/>
  </cols>
  <sheetData>
    <row r="3" spans="1:11" x14ac:dyDescent="0.3">
      <c r="A3" t="s">
        <v>9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</row>
    <row r="4" spans="1:11" x14ac:dyDescent="0.3">
      <c r="C4" t="s">
        <v>0</v>
      </c>
      <c r="D4" t="s">
        <v>111</v>
      </c>
      <c r="E4" t="s">
        <v>112</v>
      </c>
      <c r="F4" t="s">
        <v>145</v>
      </c>
    </row>
    <row r="5" spans="1:11" x14ac:dyDescent="0.3">
      <c r="A5" t="s">
        <v>11</v>
      </c>
      <c r="B5">
        <v>108</v>
      </c>
      <c r="C5">
        <v>760</v>
      </c>
      <c r="D5" s="112">
        <v>650.35505430242267</v>
      </c>
      <c r="E5" s="143">
        <f>+C5-D5</f>
        <v>109.64494569757733</v>
      </c>
      <c r="F5" s="112">
        <f>+E5*B5</f>
        <v>11841.654135338351</v>
      </c>
    </row>
    <row r="6" spans="1:11" x14ac:dyDescent="0.3">
      <c r="A6" s="147" t="s">
        <v>12</v>
      </c>
      <c r="B6" s="147">
        <v>229</v>
      </c>
      <c r="C6" s="147">
        <v>760</v>
      </c>
      <c r="D6" s="146">
        <v>503.15894797026874</v>
      </c>
      <c r="E6" s="144">
        <f t="shared" ref="E6:E7" si="0">+C6-D6</f>
        <v>256.84105202973126</v>
      </c>
      <c r="F6" s="146">
        <f t="shared" ref="F6:F7" si="1">+E6*B6</f>
        <v>58816.600914808456</v>
      </c>
      <c r="G6" s="154">
        <f>95.5974842767296%-100%</f>
        <v>-4.4025157232703949E-2</v>
      </c>
    </row>
    <row r="7" spans="1:11" x14ac:dyDescent="0.3">
      <c r="A7" t="s">
        <v>13</v>
      </c>
      <c r="B7">
        <v>40</v>
      </c>
      <c r="C7">
        <v>760</v>
      </c>
      <c r="D7" s="112">
        <v>489.14285714285717</v>
      </c>
      <c r="E7" s="143">
        <f t="shared" si="0"/>
        <v>270.85714285714283</v>
      </c>
      <c r="F7" s="112">
        <f t="shared" si="1"/>
        <v>10834.285714285714</v>
      </c>
    </row>
    <row r="8" spans="1:11" x14ac:dyDescent="0.3">
      <c r="F8" s="143">
        <f>SUM(F5:F7)</f>
        <v>81492.540764432517</v>
      </c>
    </row>
    <row r="9" spans="1:11" x14ac:dyDescent="0.3">
      <c r="F9" s="143"/>
    </row>
    <row r="10" spans="1:11" x14ac:dyDescent="0.3">
      <c r="C10" t="s">
        <v>0</v>
      </c>
      <c r="D10" t="s">
        <v>111</v>
      </c>
      <c r="E10" t="s">
        <v>112</v>
      </c>
      <c r="F10" t="s">
        <v>145</v>
      </c>
    </row>
    <row r="11" spans="1:11" x14ac:dyDescent="0.3">
      <c r="A11" t="s">
        <v>11</v>
      </c>
      <c r="B11">
        <v>120</v>
      </c>
      <c r="C11">
        <v>795</v>
      </c>
      <c r="D11" s="112">
        <v>650.35505430242301</v>
      </c>
      <c r="E11" s="143">
        <f>+C11-D11</f>
        <v>144.64494569757699</v>
      </c>
      <c r="F11" s="112">
        <f>+E11*B11</f>
        <v>17357.393483709238</v>
      </c>
    </row>
    <row r="12" spans="1:11" x14ac:dyDescent="0.3">
      <c r="A12" s="147" t="s">
        <v>12</v>
      </c>
      <c r="B12" s="147">
        <v>211</v>
      </c>
      <c r="C12" s="147">
        <v>795</v>
      </c>
      <c r="D12" s="146">
        <v>503.15894797026874</v>
      </c>
      <c r="E12" s="144">
        <f t="shared" ref="E12:E13" si="2">+C12-D12</f>
        <v>291.84105202973126</v>
      </c>
      <c r="F12" s="146">
        <f t="shared" ref="F12:F13" si="3">+E12*B12</f>
        <v>61578.461978273299</v>
      </c>
      <c r="G12">
        <f>795/C12-1</f>
        <v>0</v>
      </c>
    </row>
    <row r="13" spans="1:11" x14ac:dyDescent="0.3">
      <c r="A13" t="s">
        <v>13</v>
      </c>
      <c r="B13">
        <v>36</v>
      </c>
      <c r="C13">
        <v>795</v>
      </c>
      <c r="D13" s="112">
        <v>489.14285714285717</v>
      </c>
      <c r="E13" s="143">
        <f t="shared" si="2"/>
        <v>305.85714285714283</v>
      </c>
      <c r="F13" s="112">
        <f t="shared" si="3"/>
        <v>11010.857142857141</v>
      </c>
    </row>
    <row r="14" spans="1:11" x14ac:dyDescent="0.3">
      <c r="F14" s="143">
        <f>SUM(F11:F13)</f>
        <v>89946.712604839689</v>
      </c>
    </row>
    <row r="16" spans="1:11" x14ac:dyDescent="0.3">
      <c r="C16" t="s">
        <v>0</v>
      </c>
      <c r="D16" t="s">
        <v>111</v>
      </c>
      <c r="E16" t="s">
        <v>112</v>
      </c>
      <c r="F16" t="s">
        <v>145</v>
      </c>
    </row>
    <row r="17" spans="1:7" x14ac:dyDescent="0.3">
      <c r="A17" t="s">
        <v>11</v>
      </c>
      <c r="B17">
        <v>112</v>
      </c>
      <c r="C17">
        <v>835</v>
      </c>
      <c r="D17" s="112">
        <v>650.35505430242301</v>
      </c>
      <c r="E17" s="177">
        <f>+C17-D17</f>
        <v>184.64494569757699</v>
      </c>
      <c r="F17" s="176">
        <f>+E17*B17</f>
        <v>20680.233918128622</v>
      </c>
    </row>
    <row r="18" spans="1:7" x14ac:dyDescent="0.3">
      <c r="A18" s="147" t="s">
        <v>12</v>
      </c>
      <c r="B18" s="147">
        <v>197</v>
      </c>
      <c r="C18" s="147">
        <v>835</v>
      </c>
      <c r="D18" s="146">
        <v>503.15894797026874</v>
      </c>
      <c r="E18" s="144">
        <f t="shared" ref="E18:E19" si="4">+C18-D18</f>
        <v>331.84105202973126</v>
      </c>
      <c r="F18" s="146">
        <f t="shared" ref="F18:F19" si="5">+E18*B18</f>
        <v>65372.687249857059</v>
      </c>
      <c r="G18" s="155">
        <f>+C18/795-1</f>
        <v>5.031446540880502E-2</v>
      </c>
    </row>
    <row r="19" spans="1:7" x14ac:dyDescent="0.3">
      <c r="A19" t="s">
        <v>13</v>
      </c>
      <c r="B19">
        <v>31</v>
      </c>
      <c r="C19">
        <v>835</v>
      </c>
      <c r="D19" s="112">
        <v>489.14285714285717</v>
      </c>
      <c r="E19" s="177">
        <f t="shared" si="4"/>
        <v>345.85714285714283</v>
      </c>
      <c r="F19" s="176">
        <f t="shared" si="5"/>
        <v>10721.571428571428</v>
      </c>
    </row>
    <row r="20" spans="1:7" x14ac:dyDescent="0.3">
      <c r="F20" s="144">
        <f>SUM(F17:F19)</f>
        <v>96774.492596557102</v>
      </c>
      <c r="G20" t="s">
        <v>146</v>
      </c>
    </row>
    <row r="22" spans="1:7" x14ac:dyDescent="0.3">
      <c r="C22" t="s">
        <v>0</v>
      </c>
      <c r="D22" t="s">
        <v>111</v>
      </c>
      <c r="E22" t="s">
        <v>112</v>
      </c>
      <c r="F22" t="s">
        <v>145</v>
      </c>
    </row>
    <row r="23" spans="1:7" x14ac:dyDescent="0.3">
      <c r="A23" t="s">
        <v>11</v>
      </c>
      <c r="B23">
        <v>93</v>
      </c>
      <c r="C23">
        <v>875</v>
      </c>
      <c r="D23" s="112">
        <v>650.35505430242301</v>
      </c>
      <c r="E23" s="143">
        <f>+C23-D23</f>
        <v>224.64494569757699</v>
      </c>
      <c r="F23" s="112">
        <f>+E23*B23</f>
        <v>20891.979949874658</v>
      </c>
    </row>
    <row r="24" spans="1:7" x14ac:dyDescent="0.3">
      <c r="A24" s="147" t="s">
        <v>12</v>
      </c>
      <c r="B24" s="147">
        <v>162</v>
      </c>
      <c r="C24" s="147">
        <v>875</v>
      </c>
      <c r="D24" s="146">
        <v>503.15894797026874</v>
      </c>
      <c r="E24" s="144">
        <f t="shared" ref="E24:E25" si="6">+C24-D24</f>
        <v>371.84105202973126</v>
      </c>
      <c r="F24" s="146">
        <f t="shared" ref="F24:F25" si="7">+E24*B24</f>
        <v>60238.250428816464</v>
      </c>
      <c r="G24" s="154">
        <f>+C24/795-1</f>
        <v>0.10062893081761004</v>
      </c>
    </row>
    <row r="25" spans="1:7" x14ac:dyDescent="0.3">
      <c r="A25" t="s">
        <v>13</v>
      </c>
      <c r="B25">
        <v>27</v>
      </c>
      <c r="C25">
        <v>875</v>
      </c>
      <c r="D25" s="112">
        <v>489.14285714285717</v>
      </c>
      <c r="E25" s="143">
        <f t="shared" si="6"/>
        <v>385.85714285714283</v>
      </c>
      <c r="F25" s="112">
        <f t="shared" si="7"/>
        <v>10418.142857142857</v>
      </c>
    </row>
    <row r="26" spans="1:7" x14ac:dyDescent="0.3">
      <c r="F26" s="143">
        <f>SUM(F23:F25)</f>
        <v>91548.373235833977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88C45F76CCDB43A86359868621ABBF" ma:contentTypeVersion="8" ma:contentTypeDescription="Create a new document." ma:contentTypeScope="" ma:versionID="88cce1ec5845f43c654261a9a871cf16">
  <xsd:schema xmlns:xsd="http://www.w3.org/2001/XMLSchema" xmlns:xs="http://www.w3.org/2001/XMLSchema" xmlns:p="http://schemas.microsoft.com/office/2006/metadata/properties" xmlns:ns3="65806708-f9f3-41fb-896d-8a4e9be62363" xmlns:ns4="e46d8f65-c35b-4982-94a2-35659ae4d67c" targetNamespace="http://schemas.microsoft.com/office/2006/metadata/properties" ma:root="true" ma:fieldsID="3e37f8128cf5b1c0bfdcad3bb89caa08" ns3:_="" ns4:_="">
    <xsd:import namespace="65806708-f9f3-41fb-896d-8a4e9be62363"/>
    <xsd:import namespace="e46d8f65-c35b-4982-94a2-35659ae4d6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06708-f9f3-41fb-896d-8a4e9be623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d8f65-c35b-4982-94a2-35659ae4d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ACB78D-D771-4AEF-B6AD-3AF4FAA14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806708-f9f3-41fb-896d-8a4e9be62363"/>
    <ds:schemaRef ds:uri="e46d8f65-c35b-4982-94a2-35659ae4d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B6E1D0-D666-4C65-A65C-BDF23EE02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21A9BE-1EC4-492E-AA94-80A0F9A271AD}">
  <ds:schemaRefs>
    <ds:schemaRef ds:uri="e46d8f65-c35b-4982-94a2-35659ae4d67c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65806708-f9f3-41fb-896d-8a4e9be6236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Décisions</vt:lpstr>
      <vt:lpstr>Questions</vt:lpstr>
      <vt:lpstr>Données cas</vt:lpstr>
      <vt:lpstr>Vélo de randonnée</vt:lpstr>
      <vt:lpstr>Vélo de compétition</vt:lpstr>
      <vt:lpstr>Feuil2</vt:lpstr>
      <vt:lpstr>Feuil3</vt:lpstr>
      <vt:lpstr>Feuil4</vt:lpstr>
      <vt:lpstr>Feuil5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Vézina</dc:creator>
  <cp:lastModifiedBy>SOKRI Marzouk</cp:lastModifiedBy>
  <dcterms:created xsi:type="dcterms:W3CDTF">2009-10-30T17:28:55Z</dcterms:created>
  <dcterms:modified xsi:type="dcterms:W3CDTF">2025-04-07T01:45:25Z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0x010100CF88C45F76CCDB43A86359868621ABBF</vt:lpwstr>
  </property>
</Properties>
</file>