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filterPrivacy="1" defaultThemeVersion="166925"/>
  <xr:revisionPtr revIDLastSave="34" documentId="8_{1C39F672-7B52-43F2-A6B7-425312312C16}" xr6:coauthVersionLast="47" xr6:coauthVersionMax="47" xr10:uidLastSave="{C94C24BB-6224-4560-B0B2-83F5114DD61F}"/>
  <bookViews>
    <workbookView xWindow="57480" yWindow="-120" windowWidth="29040" windowHeight="15840" tabRatio="987" firstSheet="5" activeTab="5" xr2:uid="{00000000-000D-0000-FFFF-FFFF00000000}"/>
    <workbookView xWindow="28680" yWindow="-1380" windowWidth="29040" windowHeight="15840" firstSheet="5" xr2:uid="{B4F4BF8A-ECD5-491E-8BFB-9D99242EAC83}"/>
  </bookViews>
  <sheets>
    <sheet name="Info recyclage" sheetId="14" r:id="rId1"/>
    <sheet name="ANN III – Info sectorielle" sheetId="3" r:id="rId2"/>
    <sheet name="ANN IV – Données réf. sector." sheetId="13" r:id="rId3"/>
    <sheet name="États financiers - Analyse" sheetId="2" r:id="rId4"/>
    <sheet name="résumé FF" sheetId="15" r:id="rId5"/>
    <sheet name="Ratios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3" i="2"/>
  <c r="G12" i="2"/>
  <c r="E19" i="2"/>
  <c r="H15" i="2"/>
  <c r="E15" i="2"/>
  <c r="J22" i="2"/>
  <c r="D111" i="2"/>
  <c r="I86" i="2"/>
  <c r="H86" i="2"/>
  <c r="I82" i="2"/>
  <c r="H82" i="2"/>
  <c r="I80" i="2"/>
  <c r="H80" i="2"/>
  <c r="H73" i="2"/>
  <c r="I73" i="2"/>
  <c r="H74" i="2"/>
  <c r="I74" i="2"/>
  <c r="H75" i="2"/>
  <c r="I75" i="2"/>
  <c r="H77" i="2"/>
  <c r="I77" i="2"/>
  <c r="H63" i="2"/>
  <c r="I63" i="2"/>
  <c r="H64" i="2"/>
  <c r="I64" i="2"/>
  <c r="I62" i="2"/>
  <c r="H62" i="2"/>
  <c r="I30" i="2"/>
  <c r="H30" i="2"/>
  <c r="I25" i="2"/>
  <c r="I24" i="2"/>
  <c r="I23" i="2"/>
  <c r="I22" i="2"/>
  <c r="I21" i="2"/>
  <c r="I20" i="2"/>
  <c r="I19" i="2"/>
  <c r="H21" i="2"/>
  <c r="I13" i="2"/>
  <c r="I14" i="2"/>
  <c r="I15" i="2"/>
  <c r="I12" i="2"/>
  <c r="B12" i="2"/>
  <c r="B47" i="1" s="1"/>
  <c r="B13" i="2"/>
  <c r="H13" i="2" s="1"/>
  <c r="B14" i="2"/>
  <c r="B49" i="1" s="1"/>
  <c r="B15" i="2"/>
  <c r="B50" i="1" s="1"/>
  <c r="G9" i="3"/>
  <c r="G10" i="3"/>
  <c r="B20" i="2" s="1"/>
  <c r="J13" i="14" s="1"/>
  <c r="G11" i="3"/>
  <c r="B21" i="2" s="1"/>
  <c r="G12" i="3"/>
  <c r="B22" i="2" s="1"/>
  <c r="B95" i="2" s="1"/>
  <c r="B110" i="2" s="1"/>
  <c r="G13" i="3"/>
  <c r="B24" i="2" s="1"/>
  <c r="H24" i="2" s="1"/>
  <c r="B25" i="2"/>
  <c r="H25" i="2" s="1"/>
  <c r="B31" i="2"/>
  <c r="G20" i="3" s="1"/>
  <c r="F16" i="2"/>
  <c r="D15" i="1" s="1"/>
  <c r="F26" i="2"/>
  <c r="F31" i="2"/>
  <c r="D16" i="2"/>
  <c r="C23" i="1" s="1"/>
  <c r="D26" i="2"/>
  <c r="D31" i="2"/>
  <c r="G6" i="3"/>
  <c r="G21" i="3"/>
  <c r="D125" i="2"/>
  <c r="D126" i="2" s="1"/>
  <c r="B125" i="2"/>
  <c r="B126" i="2" s="1"/>
  <c r="B111" i="2"/>
  <c r="B115" i="2"/>
  <c r="B116" i="2"/>
  <c r="B117" i="2"/>
  <c r="B118" i="2"/>
  <c r="B119" i="2"/>
  <c r="D95" i="2"/>
  <c r="D110" i="2" s="1"/>
  <c r="D115" i="2"/>
  <c r="D116" i="2"/>
  <c r="D117" i="2"/>
  <c r="D118" i="2"/>
  <c r="D119" i="2"/>
  <c r="D129" i="2"/>
  <c r="D133" i="2" s="1"/>
  <c r="B129" i="2"/>
  <c r="B131" i="2"/>
  <c r="F95" i="2"/>
  <c r="F96" i="2" s="1"/>
  <c r="F78" i="2"/>
  <c r="F83" i="2" s="1"/>
  <c r="D78" i="2"/>
  <c r="D83" i="2" s="1"/>
  <c r="B78" i="2"/>
  <c r="B83" i="2" s="1"/>
  <c r="F40" i="1"/>
  <c r="F38" i="1"/>
  <c r="F37" i="1"/>
  <c r="F36" i="1"/>
  <c r="F35" i="1"/>
  <c r="F24" i="1"/>
  <c r="F29" i="1"/>
  <c r="F23" i="1"/>
  <c r="F22" i="1"/>
  <c r="F20" i="1"/>
  <c r="F19" i="1"/>
  <c r="F18" i="1"/>
  <c r="F16" i="1"/>
  <c r="F15" i="1"/>
  <c r="F14" i="1"/>
  <c r="F13" i="1"/>
  <c r="F12" i="1"/>
  <c r="G8" i="14"/>
  <c r="J8" i="14"/>
  <c r="J10" i="14" s="1"/>
  <c r="G9" i="14"/>
  <c r="J9" i="14"/>
  <c r="F15" i="3"/>
  <c r="E15" i="3"/>
  <c r="E16" i="3"/>
  <c r="E18" i="3" s="1"/>
  <c r="D15" i="3"/>
  <c r="D16" i="3"/>
  <c r="D18" i="3" s="1"/>
  <c r="C15" i="3"/>
  <c r="H9" i="14"/>
  <c r="H8" i="14"/>
  <c r="J7" i="14"/>
  <c r="H7" i="14"/>
  <c r="G7" i="14"/>
  <c r="B60" i="1"/>
  <c r="C60" i="1" s="1"/>
  <c r="B59" i="1"/>
  <c r="C59" i="1" s="1"/>
  <c r="B58" i="1"/>
  <c r="C58" i="1" s="1"/>
  <c r="B57" i="1"/>
  <c r="C57" i="1" s="1"/>
  <c r="C48" i="1"/>
  <c r="D48" i="1"/>
  <c r="C49" i="1"/>
  <c r="D49" i="1"/>
  <c r="C50" i="1"/>
  <c r="D50" i="1"/>
  <c r="C47" i="1"/>
  <c r="D47" i="1"/>
  <c r="B38" i="1"/>
  <c r="B37" i="1"/>
  <c r="B36" i="1"/>
  <c r="B35" i="1"/>
  <c r="D136" i="2"/>
  <c r="B136" i="2"/>
  <c r="F65" i="2"/>
  <c r="D65" i="2"/>
  <c r="B65" i="2"/>
  <c r="C16" i="3"/>
  <c r="C18" i="3" s="1"/>
  <c r="F16" i="3"/>
  <c r="F18" i="3" s="1"/>
  <c r="D22" i="1" l="1"/>
  <c r="G30" i="2"/>
  <c r="F136" i="2"/>
  <c r="I65" i="2"/>
  <c r="B48" i="1"/>
  <c r="F48" i="1" s="1"/>
  <c r="E31" i="2"/>
  <c r="F126" i="2"/>
  <c r="G31" i="2"/>
  <c r="D14" i="1"/>
  <c r="I26" i="2"/>
  <c r="E20" i="2"/>
  <c r="D13" i="1"/>
  <c r="G16" i="2"/>
  <c r="H20" i="2"/>
  <c r="H83" i="2"/>
  <c r="G20" i="2"/>
  <c r="H14" i="2"/>
  <c r="I83" i="2"/>
  <c r="E14" i="2"/>
  <c r="G21" i="2"/>
  <c r="E13" i="2"/>
  <c r="G22" i="2"/>
  <c r="E22" i="2"/>
  <c r="G23" i="2"/>
  <c r="E21" i="2"/>
  <c r="G29" i="2"/>
  <c r="E26" i="2"/>
  <c r="E29" i="2"/>
  <c r="G15" i="2"/>
  <c r="G24" i="2"/>
  <c r="I16" i="2"/>
  <c r="H31" i="2"/>
  <c r="E25" i="2"/>
  <c r="E30" i="2"/>
  <c r="G14" i="2"/>
  <c r="G25" i="2"/>
  <c r="I31" i="2"/>
  <c r="H65" i="2"/>
  <c r="E12" i="2"/>
  <c r="E24" i="2"/>
  <c r="G13" i="2"/>
  <c r="G26" i="2"/>
  <c r="H12" i="2"/>
  <c r="I78" i="2"/>
  <c r="D23" i="1"/>
  <c r="E16" i="2"/>
  <c r="E23" i="2"/>
  <c r="G19" i="2"/>
  <c r="H78" i="2"/>
  <c r="F50" i="1"/>
  <c r="D16" i="1"/>
  <c r="F28" i="2"/>
  <c r="D28" i="1" s="1"/>
  <c r="B22" i="1"/>
  <c r="B112" i="2"/>
  <c r="D12" i="1"/>
  <c r="G47" i="1"/>
  <c r="F67" i="2"/>
  <c r="D93" i="2"/>
  <c r="D96" i="2" s="1"/>
  <c r="B93" i="2" s="1"/>
  <c r="B96" i="2" s="1"/>
  <c r="B67" i="2" s="1"/>
  <c r="C15" i="1"/>
  <c r="F47" i="1"/>
  <c r="G50" i="1"/>
  <c r="C14" i="1"/>
  <c r="B40" i="1"/>
  <c r="C13" i="1"/>
  <c r="C16" i="1"/>
  <c r="C12" i="1"/>
  <c r="C22" i="1"/>
  <c r="G10" i="14"/>
  <c r="C51" i="1"/>
  <c r="D112" i="2"/>
  <c r="G49" i="1"/>
  <c r="D51" i="1"/>
  <c r="D28" i="2"/>
  <c r="B16" i="2"/>
  <c r="C22" i="2" s="1"/>
  <c r="H10" i="14"/>
  <c r="J14" i="14" s="1"/>
  <c r="J15" i="14" s="1"/>
  <c r="F49" i="1"/>
  <c r="G48" i="1"/>
  <c r="B133" i="2"/>
  <c r="F133" i="2" s="1"/>
  <c r="D120" i="2"/>
  <c r="G15" i="3"/>
  <c r="G16" i="3" s="1"/>
  <c r="B19" i="2"/>
  <c r="B120" i="2"/>
  <c r="B51" i="1" l="1"/>
  <c r="C25" i="2"/>
  <c r="F32" i="2"/>
  <c r="F68" i="2"/>
  <c r="G67" i="2" s="1"/>
  <c r="H16" i="2"/>
  <c r="C16" i="2"/>
  <c r="C31" i="2"/>
  <c r="C23" i="2"/>
  <c r="C30" i="2"/>
  <c r="C14" i="2"/>
  <c r="C15" i="2"/>
  <c r="C29" i="2"/>
  <c r="C12" i="2"/>
  <c r="I28" i="2"/>
  <c r="E28" i="2"/>
  <c r="C24" i="2"/>
  <c r="C19" i="2"/>
  <c r="H19" i="2"/>
  <c r="C21" i="2"/>
  <c r="D18" i="1"/>
  <c r="G28" i="2"/>
  <c r="C20" i="2"/>
  <c r="D24" i="1"/>
  <c r="B68" i="2"/>
  <c r="C13" i="2"/>
  <c r="F51" i="1"/>
  <c r="D67" i="2"/>
  <c r="G51" i="1"/>
  <c r="C28" i="1"/>
  <c r="C18" i="1"/>
  <c r="B23" i="1"/>
  <c r="B13" i="1"/>
  <c r="B15" i="1"/>
  <c r="B16" i="1"/>
  <c r="B14" i="1"/>
  <c r="D32" i="2"/>
  <c r="C24" i="1"/>
  <c r="G22" i="3"/>
  <c r="G18" i="3"/>
  <c r="B26" i="2"/>
  <c r="B12" i="1"/>
  <c r="G32" i="2" l="1"/>
  <c r="F33" i="2"/>
  <c r="C63" i="2"/>
  <c r="C68" i="2"/>
  <c r="C62" i="2"/>
  <c r="C64" i="2"/>
  <c r="C65" i="2"/>
  <c r="I32" i="2"/>
  <c r="E32" i="2"/>
  <c r="D68" i="2"/>
  <c r="H68" i="2" s="1"/>
  <c r="I67" i="2"/>
  <c r="B28" i="2"/>
  <c r="H26" i="2"/>
  <c r="C26" i="2"/>
  <c r="C67" i="2"/>
  <c r="H67" i="2"/>
  <c r="G63" i="2"/>
  <c r="G66" i="2"/>
  <c r="G68" i="2"/>
  <c r="G62" i="2"/>
  <c r="G64" i="2"/>
  <c r="G65" i="2"/>
  <c r="B18" i="1"/>
  <c r="D33" i="2"/>
  <c r="F34" i="2" l="1"/>
  <c r="G33" i="2"/>
  <c r="D34" i="2"/>
  <c r="D46" i="2" s="1"/>
  <c r="E33" i="2"/>
  <c r="I33" i="2"/>
  <c r="B24" i="1"/>
  <c r="B28" i="1"/>
  <c r="C28" i="2"/>
  <c r="H28" i="2"/>
  <c r="B32" i="2"/>
  <c r="E67" i="2"/>
  <c r="E63" i="2"/>
  <c r="E64" i="2"/>
  <c r="E62" i="2"/>
  <c r="I68" i="2"/>
  <c r="E68" i="2"/>
  <c r="E65" i="2"/>
  <c r="C19" i="1"/>
  <c r="B33" i="2"/>
  <c r="D108" i="2" l="1"/>
  <c r="D122" i="2" s="1"/>
  <c r="D135" i="2" s="1"/>
  <c r="D137" i="2" s="1"/>
  <c r="G34" i="2"/>
  <c r="D19" i="1"/>
  <c r="F46" i="2"/>
  <c r="F48" i="2" s="1"/>
  <c r="G23" i="3"/>
  <c r="G24" i="3" s="1"/>
  <c r="H24" i="3" s="1"/>
  <c r="C33" i="2"/>
  <c r="H33" i="2"/>
  <c r="H32" i="2"/>
  <c r="C32" i="2"/>
  <c r="I34" i="2"/>
  <c r="E34" i="2"/>
  <c r="B34" i="2"/>
  <c r="D45" i="2" l="1"/>
  <c r="D48" i="2" s="1"/>
  <c r="F87" i="2"/>
  <c r="F88" i="2" s="1"/>
  <c r="C34" i="2"/>
  <c r="H34" i="2"/>
  <c r="B108" i="2"/>
  <c r="B122" i="2" s="1"/>
  <c r="B46" i="2"/>
  <c r="B19" i="1"/>
  <c r="D20" i="1" l="1"/>
  <c r="D29" i="1"/>
  <c r="F89" i="2"/>
  <c r="G88" i="2" s="1"/>
  <c r="B45" i="2"/>
  <c r="B48" i="2" s="1"/>
  <c r="B87" i="2" s="1"/>
  <c r="D87" i="2"/>
  <c r="B135" i="2"/>
  <c r="F122" i="2"/>
  <c r="B88" i="2" l="1"/>
  <c r="B89" i="2" s="1"/>
  <c r="H87" i="2"/>
  <c r="D88" i="2"/>
  <c r="I87" i="2"/>
  <c r="G87" i="2"/>
  <c r="G89" i="2"/>
  <c r="G74" i="2"/>
  <c r="G78" i="2"/>
  <c r="G81" i="2"/>
  <c r="G73" i="2"/>
  <c r="G80" i="2"/>
  <c r="G75" i="2"/>
  <c r="G72" i="2"/>
  <c r="G77" i="2"/>
  <c r="G86" i="2"/>
  <c r="G83" i="2"/>
  <c r="G76" i="2"/>
  <c r="G82" i="2"/>
  <c r="B137" i="2"/>
  <c r="F137" i="2" s="1"/>
  <c r="F135" i="2"/>
  <c r="B20" i="1"/>
  <c r="H88" i="2"/>
  <c r="B29" i="1"/>
  <c r="C78" i="2"/>
  <c r="C80" i="2"/>
  <c r="C83" i="2"/>
  <c r="C73" i="2"/>
  <c r="C86" i="2"/>
  <c r="C87" i="2"/>
  <c r="C88" i="2"/>
  <c r="C89" i="2"/>
  <c r="C72" i="2"/>
  <c r="C82" i="2"/>
  <c r="C76" i="2"/>
  <c r="C74" i="2"/>
  <c r="C75" i="2"/>
  <c r="C77" i="2"/>
  <c r="D89" i="2" l="1"/>
  <c r="C20" i="1"/>
  <c r="C29" i="1"/>
  <c r="I88" i="2"/>
  <c r="E88" i="2"/>
  <c r="E80" i="2" l="1"/>
  <c r="E86" i="2"/>
  <c r="E77" i="2"/>
  <c r="I89" i="2"/>
  <c r="E74" i="2"/>
  <c r="E76" i="2"/>
  <c r="E75" i="2"/>
  <c r="E89" i="2"/>
  <c r="E82" i="2"/>
  <c r="E87" i="2"/>
  <c r="E83" i="2"/>
  <c r="E81" i="2"/>
  <c r="E78" i="2"/>
  <c r="E72" i="2"/>
  <c r="E73" i="2"/>
  <c r="H89" i="2"/>
</calcChain>
</file>

<file path=xl/sharedStrings.xml><?xml version="1.0" encoding="utf-8"?>
<sst xmlns="http://schemas.openxmlformats.org/spreadsheetml/2006/main" count="262" uniqueCount="176">
  <si>
    <t>Prix moyen par tonne traitée en 2020</t>
  </si>
  <si>
    <t>Remise contractuelle par tonne</t>
  </si>
  <si>
    <t>Déchets reçus (tonnes)</t>
  </si>
  <si>
    <t>Total des ventes</t>
  </si>
  <si>
    <t>Total des remises (incluses dans le CMV)</t>
  </si>
  <si>
    <t>Coûts variables par tonne</t>
  </si>
  <si>
    <t>Total des coûts variables</t>
  </si>
  <si>
    <t>Carton ondulé</t>
  </si>
  <si>
    <t>Papiers résidentiels mélangés</t>
  </si>
  <si>
    <t>Verre</t>
  </si>
  <si>
    <t>Total des coûts variables :</t>
  </si>
  <si>
    <t>Coût des marchandises vendues, 
   selon les ÉF</t>
  </si>
  <si>
    <t>Moins les remises</t>
  </si>
  <si>
    <t>Total</t>
  </si>
  <si>
    <t>Remarque</t>
  </si>
  <si>
    <r>
      <t>Remarque</t>
    </r>
    <r>
      <rPr>
        <sz val="11"/>
        <color theme="1"/>
        <rFont val="Calibri"/>
        <family val="2"/>
      </rPr>
      <t> </t>
    </r>
    <r>
      <rPr>
        <i/>
        <sz val="11"/>
        <color theme="1"/>
        <rFont val="Arial"/>
        <family val="2"/>
      </rPr>
      <t xml:space="preserve">: Le total des coûts variables présente de légères différences en raison de l’arrondissement. </t>
    </r>
  </si>
  <si>
    <t>Collecte</t>
  </si>
  <si>
    <t>Transfert</t>
  </si>
  <si>
    <t>Enfouissement</t>
  </si>
  <si>
    <t>Recyclage</t>
  </si>
  <si>
    <t xml:space="preserve">Total </t>
  </si>
  <si>
    <t>(en milliers de dollars canadiens)</t>
  </si>
  <si>
    <t>Produits</t>
  </si>
  <si>
    <t>Charges</t>
  </si>
  <si>
    <t>Main-d’œuvre et avantages sociaux</t>
  </si>
  <si>
    <t>Coût des marchandises vendues*</t>
  </si>
  <si>
    <t xml:space="preserve">Achats – carburant et autres </t>
  </si>
  <si>
    <t>Amortissement</t>
  </si>
  <si>
    <t xml:space="preserve">Autres coûts d’exploitation </t>
  </si>
  <si>
    <t xml:space="preserve">Frais de vente et d’administration </t>
  </si>
  <si>
    <t xml:space="preserve">Bénéfice d’exploitation </t>
  </si>
  <si>
    <t xml:space="preserve">Marge d’exploitation </t>
  </si>
  <si>
    <t xml:space="preserve">Intérêts débiteurs </t>
  </si>
  <si>
    <t xml:space="preserve">Charge de désactualisation </t>
  </si>
  <si>
    <t xml:space="preserve">Bénéfice net avant impôts </t>
  </si>
  <si>
    <t xml:space="preserve">Impôts sur les bénéfices </t>
  </si>
  <si>
    <t xml:space="preserve">Bénéfice net </t>
  </si>
  <si>
    <t xml:space="preserve">* Inclut 100 $ liés aux coûts du carburant. </t>
  </si>
  <si>
    <t>Données de référence</t>
  </si>
  <si>
    <t xml:space="preserve">Industrie de la gestion des déchets </t>
  </si>
  <si>
    <t xml:space="preserve">Charges en pourcentage du total des produits </t>
  </si>
  <si>
    <t xml:space="preserve">Main-d’œuvre et avantages sociaux </t>
  </si>
  <si>
    <t xml:space="preserve">Carburant et autres achats </t>
  </si>
  <si>
    <t xml:space="preserve">Marge du bénéfice d’exploitation </t>
  </si>
  <si>
    <t xml:space="preserve">Rendement de l’actif </t>
  </si>
  <si>
    <t xml:space="preserve">Rendement des capitaux propres </t>
  </si>
  <si>
    <t xml:space="preserve">Ratio de liquidité générale </t>
  </si>
  <si>
    <t xml:space="preserve">Délai de recouvrement des créances </t>
  </si>
  <si>
    <t xml:space="preserve">Ratio emprunts/capitaux propres </t>
  </si>
  <si>
    <t xml:space="preserve">Dette à long terme/BAIIA </t>
  </si>
  <si>
    <t xml:space="preserve">Secteur du recyclage </t>
  </si>
  <si>
    <t>Coût des marchandises vendues</t>
  </si>
  <si>
    <t>Waste Disposal Inc.</t>
  </si>
  <si>
    <t>État des résultats</t>
  </si>
  <si>
    <t>pour les exercices clos les 31 décembre</t>
  </si>
  <si>
    <t>PROJET</t>
  </si>
  <si>
    <t>AUDITÉ</t>
  </si>
  <si>
    <t>Analyse horizontale</t>
  </si>
  <si>
    <t>2019-2020</t>
  </si>
  <si>
    <t>2018-2019</t>
  </si>
  <si>
    <t>$</t>
  </si>
  <si>
    <t>Croissances ventes industrie</t>
  </si>
  <si>
    <t>Élément améliorant la rentabilité</t>
  </si>
  <si>
    <t>Élément détériorant la rentabilité</t>
  </si>
  <si>
    <t xml:space="preserve">Transfert </t>
  </si>
  <si>
    <t>(20) diminution des prix pour les matières recyclées</t>
  </si>
  <si>
    <t>(3) contrat long terme/relation client</t>
  </si>
  <si>
    <t>(13) offre de service limitée (16) difficulté à acquérir de nouveaux clients</t>
  </si>
  <si>
    <t>charge en % des produits - industrie</t>
  </si>
  <si>
    <t>(4) stabilité de la MOD</t>
  </si>
  <si>
    <t>Coût des marchandises vendues – recyclage</t>
  </si>
  <si>
    <t xml:space="preserve">Carburant et autres achats – exclusion faite du recyclage </t>
  </si>
  <si>
    <t>(1) installations à proximité, (10) logiciel d'optimisation</t>
  </si>
  <si>
    <t>(19) 5% des camions sont au biogaz</t>
  </si>
  <si>
    <t>(5) propriétaire de tous ses actifs</t>
  </si>
  <si>
    <t xml:space="preserve">Charge de désactualisation sur l’obligation liée à la remise 
   en état des sites d’enfouissement </t>
  </si>
  <si>
    <t>(11) retard technologique</t>
  </si>
  <si>
    <t xml:space="preserve">Total des charges </t>
  </si>
  <si>
    <t>(18) plus petite taille - moins d'économies d'échelle</t>
  </si>
  <si>
    <t xml:space="preserve">Intérêts débiteurs – ligne de crédit </t>
  </si>
  <si>
    <t xml:space="preserve">Intérêts débiteurs – emprunt auprès de REC </t>
  </si>
  <si>
    <t>Intérêts débiteurs – emprunt auprès de GBI</t>
  </si>
  <si>
    <t xml:space="preserve">Bénéfice avant impôts </t>
  </si>
  <si>
    <t>Bénéfice net</t>
  </si>
  <si>
    <t xml:space="preserve">État des bénéfices non répartis </t>
  </si>
  <si>
    <t xml:space="preserve">(en milliers de dollars canadiens) </t>
  </si>
  <si>
    <t xml:space="preserve">Solde à l’ouverture de l’exercice </t>
  </si>
  <si>
    <t>Dividendes</t>
  </si>
  <si>
    <t xml:space="preserve">Solde à la clôture de l’exercice </t>
  </si>
  <si>
    <t>Bilan</t>
  </si>
  <si>
    <t>aux 31 décembre</t>
  </si>
  <si>
    <t>Actif</t>
  </si>
  <si>
    <t>Actif à court terme</t>
  </si>
  <si>
    <t xml:space="preserve"> Trésorerie et équivalents de trésorerie</t>
  </si>
  <si>
    <t>Créances clients</t>
  </si>
  <si>
    <t xml:space="preserve">Frais payés d’avance </t>
  </si>
  <si>
    <t xml:space="preserve">Total de l’actif à court terme </t>
  </si>
  <si>
    <t>Immobilisations corporelles – montant net (Note 1)</t>
  </si>
  <si>
    <t>Total de l’actif</t>
  </si>
  <si>
    <t>Passif</t>
  </si>
  <si>
    <t>Passif à court terme</t>
  </si>
  <si>
    <t>Ligne de crédit</t>
  </si>
  <si>
    <t>Fournisseurs et charges à payer</t>
  </si>
  <si>
    <t xml:space="preserve">Impôts à payer </t>
  </si>
  <si>
    <t xml:space="preserve">Produits reportés </t>
  </si>
  <si>
    <t xml:space="preserve">Tranche à court terme – REC </t>
  </si>
  <si>
    <t>Tranche à court terme – GBI</t>
  </si>
  <si>
    <t xml:space="preserve">Total du passif à court terme </t>
  </si>
  <si>
    <t xml:space="preserve">Dette à long terme – GBI </t>
  </si>
  <si>
    <t>Dette à long terme – REC</t>
  </si>
  <si>
    <t>Obligations liées à la mise hors service d’immobilisations – 
   sites d’enfouissement (Note 2)</t>
  </si>
  <si>
    <t>Total du passif</t>
  </si>
  <si>
    <t>Capitaux propres</t>
  </si>
  <si>
    <r>
      <t>Capital-actions (1</t>
    </r>
    <r>
      <rPr>
        <sz val="11"/>
        <color theme="1"/>
        <rFont val="Calibri"/>
        <family val="2"/>
      </rPr>
      <t> </t>
    </r>
    <r>
      <rPr>
        <sz val="11"/>
        <color theme="1"/>
        <rFont val="Arial"/>
        <family val="2"/>
      </rPr>
      <t>000 000 d’actions en circulation)</t>
    </r>
  </si>
  <si>
    <t>Bénéfices non répartis</t>
  </si>
  <si>
    <t>Total des capitaux propres</t>
  </si>
  <si>
    <t xml:space="preserve">Total du passif et des capitaux propres </t>
  </si>
  <si>
    <t xml:space="preserve">Note 1 : Immobilisations corporelles </t>
  </si>
  <si>
    <t>Solde d’ouverture</t>
  </si>
  <si>
    <t xml:space="preserve">Acquisitions d’immobilisations </t>
  </si>
  <si>
    <t>Solde de clôture</t>
  </si>
  <si>
    <t xml:space="preserve">État des flux de trésorerie </t>
  </si>
  <si>
    <t xml:space="preserve">pour les exercices clos les 31 décembre </t>
  </si>
  <si>
    <t xml:space="preserve">Activités d’exploitation </t>
  </si>
  <si>
    <t>Éléments sans effet sur la trésorerie :</t>
  </si>
  <si>
    <t xml:space="preserve"> Charge de désactualisation </t>
  </si>
  <si>
    <t xml:space="preserve">Variation des soldes du fonds de roulement </t>
  </si>
  <si>
    <t xml:space="preserve">Flux de trésorerie liés aux activités d’exploitation </t>
  </si>
  <si>
    <t xml:space="preserve">Activités d’investissement </t>
  </si>
  <si>
    <t xml:space="preserve">Investissement dans les immobilisations corporelles </t>
  </si>
  <si>
    <t>Flux de trésorerie liés aux activités d’investissement</t>
  </si>
  <si>
    <t xml:space="preserve">Activités de financement </t>
  </si>
  <si>
    <t xml:space="preserve">Remboursement de l’emprunt à terme – GBI </t>
  </si>
  <si>
    <t>Remboursement de l’emprunt à terme – REC</t>
  </si>
  <si>
    <t xml:space="preserve">Augmentation de la ligne de crédit </t>
  </si>
  <si>
    <t xml:space="preserve">Émission d’actions ordinaires </t>
  </si>
  <si>
    <t xml:space="preserve">Flux de trésorerie liés aux activités de financement </t>
  </si>
  <si>
    <t xml:space="preserve">Variation de la trésorerie et des équivalents de trésorerie </t>
  </si>
  <si>
    <t xml:space="preserve">Trésorerie et équivalents de trésorerie à l’ouverture </t>
  </si>
  <si>
    <t xml:space="preserve">Trésorerie et équivalents de trésorerie à la clôture </t>
  </si>
  <si>
    <t>Forces</t>
  </si>
  <si>
    <t>Installations à proximité</t>
  </si>
  <si>
    <t>Intégration verticale</t>
  </si>
  <si>
    <t>Contrats long terme/relation client</t>
  </si>
  <si>
    <t>Stabilité et qualité de la MOD (salaires +)</t>
  </si>
  <si>
    <t>Propriétaire de tous ses actifs</t>
  </si>
  <si>
    <t>Bonne réputation</t>
  </si>
  <si>
    <t>Clientèle cible en croissance</t>
  </si>
  <si>
    <t>Expérience kingsley en redressement</t>
  </si>
  <si>
    <t>CA efficace </t>
  </si>
  <si>
    <t>Logiciel d'optimisation des parcours</t>
  </si>
  <si>
    <t>Faiblesses</t>
  </si>
  <si>
    <t>Retard techno</t>
  </si>
  <si>
    <t>Retard développement durable</t>
  </si>
  <si>
    <t>Offre de service limitée</t>
  </si>
  <si>
    <t>Site web non mis à jour et non informatif</t>
  </si>
  <si>
    <t>Vision contradictoire des actionnaires</t>
  </si>
  <si>
    <t>Difficulté à acquérir de nouveaux clients - Perte d'appel d'offre</t>
  </si>
  <si>
    <t>GES plus élevés que l'indus</t>
  </si>
  <si>
    <t>Petite taille donc moins d'économies d'échelles</t>
  </si>
  <si>
    <t>5% des camions utilisent le biogaz</t>
  </si>
  <si>
    <t>Diminution des prix des matières recyclées à affecté la rentabilité de la division recyclage</t>
  </si>
  <si>
    <t>Industrie de la gestion des déchets</t>
  </si>
  <si>
    <t>Industrie</t>
  </si>
  <si>
    <t>Clauses restrictives</t>
  </si>
  <si>
    <t>Contrainte</t>
  </si>
  <si>
    <t xml:space="preserve">BAII/intérêts </t>
  </si>
  <si>
    <t>&gt;1,8</t>
  </si>
  <si>
    <t>&lt;3,5</t>
  </si>
  <si>
    <t>Secteur du recyclage</t>
  </si>
  <si>
    <t>2020 WDI</t>
  </si>
  <si>
    <t>Variations des ventes annuelles par secteur</t>
  </si>
  <si>
    <t>Croissance annuelle</t>
  </si>
  <si>
    <t xml:space="preserve">Main-d’œuvre et avantages sociaux </t>
  </si>
  <si>
    <t>Pourcentage des ventes</t>
  </si>
  <si>
    <t>Stations de 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</si>
</sst>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* #,##0_)\ &quot;$&quot;_ ;_ * \(#,##0\)\ &quot;$&quot;_ ;_ * &quot;-&quot;_)\ &quot;$&quot;_ ;_ @_ "/>
    <numFmt numFmtId="44" formatCode="_ * #,##0.00_)\ &quot;$&quot;_ ;_ * \(#,##0.00\)\ &quot;$&quot;_ ;_ * &quot;-&quot;??_)\ &quot;$&quot;_ ;_ @_ "/>
    <numFmt numFmtId="164" formatCode="_(* #,##0_);_(* \(#,##0\);_(* &quot;-&quot;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;[Red]\-&quot;$&quot;#,##0"/>
    <numFmt numFmtId="168" formatCode="&quot;$&quot;#,##0.00;[Red]\-&quot;$&quot;#,##0.00"/>
    <numFmt numFmtId="169" formatCode="_-&quot;$&quot;* #,##0.00_-;\-&quot;$&quot;* #,##0.00_-;_-&quot;$&quot;* &quot;-&quot;??_-;_-@_-"/>
    <numFmt numFmtId="170" formatCode="_-* #,##0.00_-;\-* #,##0.00_-;_-* &quot;-&quot;??_-;_-@_-"/>
    <numFmt numFmtId="171" formatCode="_(* #,##0_);_(* \(#,##0\);_(* &quot;-&quot;??_);_(@_)"/>
    <numFmt numFmtId="172" formatCode="0.0%"/>
    <numFmt numFmtId="173" formatCode="0.0"/>
    <numFmt numFmtId="174" formatCode="_(* #,##0.00_);_(* \(#,##0.00\);_(* &quot;-&quot;_);_(@_)"/>
    <numFmt numFmtId="175" formatCode="_-* #,##0.0_-;\-* #,##0.0_-;_-* &quot;-&quot;??_-;_-@_-"/>
    <numFmt numFmtId="176" formatCode="0.0_^%"/>
    <numFmt numFmtId="177" formatCode="0_^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sz val="11"/>
      <color theme="1"/>
      <name val="Calibri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sz val="11"/>
      <color rgb="FFFF0000"/>
      <name val="Arial"/>
    </font>
    <font>
      <sz val="11"/>
      <color rgb="FF000000"/>
      <name val="Arial"/>
    </font>
    <font>
      <sz val="11"/>
      <color rgb="FF00B05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38">
    <xf numFmtId="0" fontId="0" fillId="0" borderId="0" xfId="0"/>
    <xf numFmtId="171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wrapText="1"/>
    </xf>
    <xf numFmtId="164" fontId="2" fillId="0" borderId="0" xfId="0" applyNumberFormat="1" applyFont="1"/>
    <xf numFmtId="164" fontId="3" fillId="0" borderId="0" xfId="2" applyNumberFormat="1" applyFont="1"/>
    <xf numFmtId="164" fontId="3" fillId="0" borderId="0" xfId="2" applyNumberFormat="1" applyFont="1" applyBorder="1"/>
    <xf numFmtId="0" fontId="3" fillId="0" borderId="0" xfId="0" applyFont="1" applyAlignment="1">
      <alignment wrapText="1"/>
    </xf>
    <xf numFmtId="171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172" fontId="3" fillId="0" borderId="0" xfId="1" applyNumberFormat="1" applyFont="1"/>
    <xf numFmtId="0" fontId="3" fillId="0" borderId="0" xfId="0" applyFont="1" applyAlignment="1">
      <alignment horizontal="center"/>
    </xf>
    <xf numFmtId="172" fontId="3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2" xfId="0" applyFont="1" applyBorder="1"/>
    <xf numFmtId="0" fontId="3" fillId="0" borderId="2" xfId="0" applyFont="1" applyBorder="1" applyAlignment="1">
      <alignment horizontal="center" wrapText="1"/>
    </xf>
    <xf numFmtId="0" fontId="3" fillId="0" borderId="5" xfId="0" applyFont="1" applyBorder="1"/>
    <xf numFmtId="3" fontId="3" fillId="0" borderId="0" xfId="0" applyNumberFormat="1" applyFont="1"/>
    <xf numFmtId="167" fontId="3" fillId="0" borderId="0" xfId="0" applyNumberFormat="1" applyFont="1"/>
    <xf numFmtId="171" fontId="3" fillId="0" borderId="5" xfId="0" applyNumberFormat="1" applyFont="1" applyBorder="1"/>
    <xf numFmtId="0" fontId="3" fillId="0" borderId="4" xfId="0" applyFont="1" applyBorder="1"/>
    <xf numFmtId="171" fontId="3" fillId="0" borderId="4" xfId="0" applyNumberFormat="1" applyFont="1" applyBorder="1"/>
    <xf numFmtId="0" fontId="3" fillId="0" borderId="6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2" fillId="0" borderId="0" xfId="0" applyFont="1"/>
    <xf numFmtId="9" fontId="3" fillId="0" borderId="0" xfId="1" applyFont="1"/>
    <xf numFmtId="0" fontId="5" fillId="0" borderId="0" xfId="0" applyFont="1"/>
    <xf numFmtId="9" fontId="3" fillId="0" borderId="5" xfId="1" applyFont="1" applyBorder="1"/>
    <xf numFmtId="171" fontId="3" fillId="0" borderId="6" xfId="0" applyNumberFormat="1" applyFont="1" applyBorder="1"/>
    <xf numFmtId="172" fontId="3" fillId="0" borderId="0" xfId="1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/>
    <xf numFmtId="9" fontId="6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73" fontId="3" fillId="0" borderId="0" xfId="1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center" wrapText="1"/>
    </xf>
    <xf numFmtId="165" fontId="3" fillId="0" borderId="0" xfId="0" applyNumberFormat="1" applyFont="1"/>
    <xf numFmtId="168" fontId="0" fillId="0" borderId="0" xfId="0" applyNumberFormat="1"/>
    <xf numFmtId="167" fontId="0" fillId="0" borderId="0" xfId="0" applyNumberFormat="1"/>
    <xf numFmtId="164" fontId="8" fillId="0" borderId="0" xfId="0" applyNumberFormat="1" applyFont="1"/>
    <xf numFmtId="0" fontId="5" fillId="0" borderId="4" xfId="0" applyFont="1" applyBorder="1"/>
    <xf numFmtId="164" fontId="7" fillId="0" borderId="0" xfId="0" applyNumberFormat="1" applyFont="1" applyAlignment="1">
      <alignment horizontal="center" wrapText="1"/>
    </xf>
    <xf numFmtId="172" fontId="3" fillId="0" borderId="0" xfId="0" applyNumberFormat="1" applyFont="1" applyAlignment="1">
      <alignment horizontal="right"/>
    </xf>
    <xf numFmtId="175" fontId="3" fillId="0" borderId="0" xfId="2" applyNumberFormat="1" applyFont="1" applyAlignment="1">
      <alignment horizontal="right"/>
    </xf>
    <xf numFmtId="0" fontId="8" fillId="0" borderId="0" xfId="0" applyFont="1"/>
    <xf numFmtId="172" fontId="8" fillId="0" borderId="0" xfId="0" applyNumberFormat="1" applyFont="1" applyAlignment="1">
      <alignment horizontal="right"/>
    </xf>
    <xf numFmtId="172" fontId="5" fillId="0" borderId="0" xfId="1" applyNumberFormat="1" applyFont="1"/>
    <xf numFmtId="171" fontId="8" fillId="0" borderId="0" xfId="0" applyNumberFormat="1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7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wrapText="1"/>
    </xf>
    <xf numFmtId="165" fontId="8" fillId="0" borderId="0" xfId="0" applyNumberFormat="1" applyFont="1" applyAlignment="1">
      <alignment horizontal="center"/>
    </xf>
    <xf numFmtId="0" fontId="7" fillId="0" borderId="0" xfId="0" applyFont="1" applyAlignment="1">
      <alignment wrapText="1"/>
    </xf>
    <xf numFmtId="164" fontId="8" fillId="0" borderId="0" xfId="0" applyNumberFormat="1" applyFont="1" applyAlignment="1">
      <alignment horizontal="left" indent="1"/>
    </xf>
    <xf numFmtId="164" fontId="6" fillId="0" borderId="0" xfId="0" applyNumberFormat="1" applyFont="1"/>
    <xf numFmtId="0" fontId="6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174" fontId="3" fillId="0" borderId="0" xfId="0" applyNumberFormat="1" applyFont="1"/>
    <xf numFmtId="0" fontId="3" fillId="0" borderId="0" xfId="0" quotePrefix="1" applyFont="1"/>
    <xf numFmtId="44" fontId="3" fillId="0" borderId="0" xfId="0" applyNumberFormat="1" applyFont="1"/>
    <xf numFmtId="42" fontId="3" fillId="0" borderId="0" xfId="3" applyNumberFormat="1" applyFont="1" applyBorder="1"/>
    <xf numFmtId="42" fontId="3" fillId="0" borderId="0" xfId="3" applyNumberFormat="1" applyFont="1"/>
    <xf numFmtId="42" fontId="3" fillId="0" borderId="3" xfId="3" applyNumberFormat="1" applyFont="1" applyBorder="1"/>
    <xf numFmtId="42" fontId="3" fillId="0" borderId="5" xfId="3" applyNumberFormat="1" applyFont="1" applyBorder="1"/>
    <xf numFmtId="42" fontId="3" fillId="0" borderId="8" xfId="3" applyNumberFormat="1" applyFont="1" applyBorder="1"/>
    <xf numFmtId="42" fontId="3" fillId="0" borderId="5" xfId="0" applyNumberFormat="1" applyFont="1" applyBorder="1"/>
    <xf numFmtId="42" fontId="8" fillId="0" borderId="5" xfId="3" applyNumberFormat="1" applyFont="1" applyBorder="1"/>
    <xf numFmtId="176" fontId="5" fillId="0" borderId="0" xfId="1" applyNumberFormat="1" applyFont="1"/>
    <xf numFmtId="177" fontId="3" fillId="0" borderId="5" xfId="1" applyNumberFormat="1" applyFont="1" applyBorder="1"/>
    <xf numFmtId="176" fontId="3" fillId="0" borderId="0" xfId="1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76" fontId="8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center" wrapText="1"/>
    </xf>
    <xf numFmtId="176" fontId="8" fillId="0" borderId="0" xfId="1" applyNumberFormat="1" applyFont="1" applyAlignment="1">
      <alignment horizontal="right"/>
    </xf>
    <xf numFmtId="166" fontId="3" fillId="0" borderId="0" xfId="0" applyNumberFormat="1" applyFont="1"/>
    <xf numFmtId="166" fontId="3" fillId="0" borderId="2" xfId="0" applyNumberFormat="1" applyFont="1" applyBorder="1"/>
    <xf numFmtId="166" fontId="3" fillId="0" borderId="1" xfId="0" applyNumberFormat="1" applyFont="1" applyBorder="1"/>
    <xf numFmtId="166" fontId="8" fillId="0" borderId="0" xfId="0" applyNumberFormat="1" applyFont="1"/>
    <xf numFmtId="166" fontId="3" fillId="0" borderId="4" xfId="0" applyNumberFormat="1" applyFont="1" applyBorder="1"/>
    <xf numFmtId="166" fontId="3" fillId="0" borderId="3" xfId="0" applyNumberFormat="1" applyFont="1" applyBorder="1"/>
    <xf numFmtId="166" fontId="3" fillId="0" borderId="2" xfId="2" applyNumberFormat="1" applyFont="1" applyBorder="1"/>
    <xf numFmtId="166" fontId="8" fillId="0" borderId="4" xfId="0" applyNumberFormat="1" applyFont="1" applyBorder="1"/>
    <xf numFmtId="166" fontId="3" fillId="0" borderId="0" xfId="2" applyNumberFormat="1" applyFont="1"/>
    <xf numFmtId="166" fontId="3" fillId="0" borderId="3" xfId="2" applyNumberFormat="1" applyFont="1" applyBorder="1"/>
    <xf numFmtId="166" fontId="3" fillId="0" borderId="0" xfId="2" applyNumberFormat="1" applyFont="1" applyBorder="1"/>
    <xf numFmtId="166" fontId="3" fillId="0" borderId="1" xfId="2" applyNumberFormat="1" applyFont="1" applyBorder="1"/>
    <xf numFmtId="166" fontId="8" fillId="0" borderId="3" xfId="0" applyNumberFormat="1" applyFont="1" applyBorder="1"/>
    <xf numFmtId="166" fontId="3" fillId="0" borderId="0" xfId="0" applyNumberFormat="1" applyFont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1" fontId="7" fillId="0" borderId="0" xfId="0" applyNumberFormat="1" applyFont="1" applyAlignment="1">
      <alignment horizontal="center"/>
    </xf>
    <xf numFmtId="9" fontId="3" fillId="0" borderId="0" xfId="1" applyFont="1" applyBorder="1"/>
    <xf numFmtId="9" fontId="3" fillId="0" borderId="1" xfId="1" applyFont="1" applyBorder="1"/>
    <xf numFmtId="9" fontId="3" fillId="0" borderId="4" xfId="1" applyFont="1" applyBorder="1"/>
    <xf numFmtId="9" fontId="3" fillId="0" borderId="3" xfId="1" applyFont="1" applyBorder="1"/>
    <xf numFmtId="10" fontId="3" fillId="0" borderId="0" xfId="1" applyNumberFormat="1" applyFont="1"/>
    <xf numFmtId="9" fontId="3" fillId="0" borderId="0" xfId="0" applyNumberFormat="1" applyFont="1"/>
    <xf numFmtId="164" fontId="2" fillId="0" borderId="0" xfId="0" applyNumberFormat="1" applyFont="1" applyAlignment="1">
      <alignment wrapText="1"/>
    </xf>
    <xf numFmtId="0" fontId="0" fillId="0" borderId="0" xfId="0" applyAlignment="1">
      <alignment horizontal="left" vertical="center" readingOrder="1"/>
    </xf>
    <xf numFmtId="9" fontId="3" fillId="2" borderId="0" xfId="1" applyFont="1" applyFill="1" applyBorder="1"/>
    <xf numFmtId="164" fontId="11" fillId="0" borderId="0" xfId="0" applyNumberFormat="1" applyFont="1"/>
    <xf numFmtId="164" fontId="12" fillId="0" borderId="0" xfId="0" applyNumberFormat="1" applyFont="1"/>
    <xf numFmtId="10" fontId="3" fillId="0" borderId="0" xfId="1" applyNumberFormat="1" applyFont="1" applyBorder="1"/>
    <xf numFmtId="10" fontId="3" fillId="2" borderId="13" xfId="1" applyNumberFormat="1" applyFont="1" applyFill="1" applyBorder="1"/>
    <xf numFmtId="10" fontId="3" fillId="0" borderId="13" xfId="1" applyNumberFormat="1" applyFont="1" applyBorder="1"/>
    <xf numFmtId="176" fontId="3" fillId="2" borderId="13" xfId="1" applyNumberFormat="1" applyFont="1" applyFill="1" applyBorder="1" applyAlignment="1">
      <alignment horizontal="right"/>
    </xf>
    <xf numFmtId="10" fontId="3" fillId="2" borderId="14" xfId="1" applyNumberFormat="1" applyFont="1" applyFill="1" applyBorder="1"/>
    <xf numFmtId="164" fontId="2" fillId="3" borderId="12" xfId="0" applyNumberFormat="1" applyFont="1" applyFill="1" applyBorder="1" applyAlignment="1">
      <alignment wrapText="1"/>
    </xf>
    <xf numFmtId="164" fontId="2" fillId="3" borderId="0" xfId="0" applyNumberFormat="1" applyFont="1" applyFill="1" applyAlignment="1">
      <alignment wrapText="1"/>
    </xf>
    <xf numFmtId="0" fontId="13" fillId="0" borderId="0" xfId="0" applyFont="1"/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14" fillId="0" borderId="0" xfId="0" applyFont="1"/>
    <xf numFmtId="0" fontId="15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165" fontId="8" fillId="0" borderId="0" xfId="0" applyNumberFormat="1" applyFont="1" applyAlignment="1">
      <alignment horizontal="center"/>
    </xf>
  </cellXfs>
  <cellStyles count="4">
    <cellStyle name="Milliers" xfId="2" builtinId="3"/>
    <cellStyle name="Monétaire" xfId="3" builtinId="4"/>
    <cellStyle name="Normal" xfId="0" builtinId="0"/>
    <cellStyle name="Pourcentag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5:K22"/>
  <sheetViews>
    <sheetView zoomScaleNormal="100" workbookViewId="0">
      <selection activeCell="B3" sqref="B3:J3"/>
    </sheetView>
    <sheetView tabSelected="1" workbookViewId="1">
      <selection activeCell="C11" sqref="C11"/>
    </sheetView>
  </sheetViews>
  <sheetFormatPr defaultColWidth="8.85546875" defaultRowHeight="14.45"/>
  <cols>
    <col min="3" max="3" width="27.140625" customWidth="1"/>
    <col min="4" max="5" width="15" customWidth="1"/>
    <col min="6" max="7" width="16.42578125" customWidth="1"/>
    <col min="8" max="8" width="18.85546875" customWidth="1"/>
    <col min="9" max="11" width="15" customWidth="1"/>
  </cols>
  <sheetData>
    <row r="5" spans="2:11" ht="42.6">
      <c r="B5" s="17"/>
      <c r="C5" s="20"/>
      <c r="D5" s="103" t="s">
        <v>0</v>
      </c>
      <c r="E5" s="21" t="s">
        <v>1</v>
      </c>
      <c r="F5" s="21" t="s">
        <v>2</v>
      </c>
      <c r="G5" s="29" t="s">
        <v>3</v>
      </c>
      <c r="H5" s="21" t="s">
        <v>4</v>
      </c>
      <c r="I5" s="21" t="s">
        <v>5</v>
      </c>
      <c r="J5" s="30" t="s">
        <v>6</v>
      </c>
    </row>
    <row r="6" spans="2:11">
      <c r="B6" s="18"/>
      <c r="C6" s="11"/>
      <c r="D6" s="11"/>
      <c r="E6" s="11"/>
      <c r="F6" s="11"/>
      <c r="G6" s="11"/>
      <c r="H6" s="11"/>
      <c r="I6" s="10"/>
      <c r="J6" s="22"/>
    </row>
    <row r="7" spans="2:11" ht="16.5" customHeight="1">
      <c r="B7" s="18"/>
      <c r="C7" s="11" t="s">
        <v>7</v>
      </c>
      <c r="D7" s="71">
        <v>119</v>
      </c>
      <c r="E7" s="71">
        <v>50</v>
      </c>
      <c r="F7" s="23">
        <v>59550</v>
      </c>
      <c r="G7" s="72">
        <f>F7*D7</f>
        <v>7086450</v>
      </c>
      <c r="H7" s="72">
        <f>F7*E7</f>
        <v>2977500</v>
      </c>
      <c r="I7" s="71">
        <v>15</v>
      </c>
      <c r="J7" s="75">
        <f>F7*I7</f>
        <v>893250</v>
      </c>
    </row>
    <row r="8" spans="2:11" ht="17.45" customHeight="1">
      <c r="B8" s="18"/>
      <c r="C8" s="9" t="s">
        <v>8</v>
      </c>
      <c r="D8" s="71">
        <v>1.9</v>
      </c>
      <c r="E8" s="71">
        <v>1</v>
      </c>
      <c r="F8" s="23">
        <v>101000</v>
      </c>
      <c r="G8" s="73">
        <f>F8*D8</f>
        <v>191900</v>
      </c>
      <c r="H8" s="73">
        <f>F8*E8</f>
        <v>101000</v>
      </c>
      <c r="I8" s="71">
        <v>2.1</v>
      </c>
      <c r="J8" s="75">
        <f>F8*I8</f>
        <v>212100</v>
      </c>
      <c r="K8" s="47"/>
    </row>
    <row r="9" spans="2:11">
      <c r="B9" s="18"/>
      <c r="C9" s="9" t="s">
        <v>9</v>
      </c>
      <c r="D9" s="71">
        <v>0.5</v>
      </c>
      <c r="E9" s="71">
        <v>1</v>
      </c>
      <c r="F9" s="23">
        <v>39700</v>
      </c>
      <c r="G9" s="73">
        <f>F9*D9</f>
        <v>19850</v>
      </c>
      <c r="H9" s="73">
        <f>F9*E9</f>
        <v>39700</v>
      </c>
      <c r="I9" s="71">
        <v>1.92</v>
      </c>
      <c r="J9" s="75">
        <f>F9*I9</f>
        <v>76224</v>
      </c>
      <c r="K9" s="47"/>
    </row>
    <row r="10" spans="2:11" ht="15" thickBot="1">
      <c r="B10" s="18"/>
      <c r="C10" s="11"/>
      <c r="D10" s="24"/>
      <c r="E10" s="11"/>
      <c r="F10" s="11"/>
      <c r="G10" s="74">
        <f>SUM(G7:G9)</f>
        <v>7298200</v>
      </c>
      <c r="H10" s="74">
        <f>SUM(H7:H9)</f>
        <v>3118200</v>
      </c>
      <c r="I10" s="10"/>
      <c r="J10" s="76">
        <f>SUM(J7:J9)</f>
        <v>1181574</v>
      </c>
    </row>
    <row r="11" spans="2:11" ht="15" thickTop="1">
      <c r="B11" s="18"/>
      <c r="C11" s="11"/>
      <c r="D11" s="11"/>
      <c r="E11" s="11"/>
      <c r="F11" s="23"/>
      <c r="G11" s="11"/>
      <c r="H11" s="11"/>
      <c r="I11" s="10"/>
      <c r="J11" s="77"/>
    </row>
    <row r="12" spans="2:11">
      <c r="B12" s="18"/>
      <c r="C12" s="11"/>
      <c r="D12" s="11"/>
      <c r="E12" s="11"/>
      <c r="F12" s="11"/>
      <c r="G12" s="11"/>
      <c r="H12" s="11" t="s">
        <v>10</v>
      </c>
      <c r="I12" s="11"/>
      <c r="J12" s="77"/>
    </row>
    <row r="13" spans="2:11" ht="30" customHeight="1">
      <c r="B13" s="18"/>
      <c r="C13" s="11"/>
      <c r="D13" s="11"/>
      <c r="E13" s="11"/>
      <c r="F13" s="11"/>
      <c r="G13" s="11"/>
      <c r="H13" s="128" t="s">
        <v>11</v>
      </c>
      <c r="I13" s="129"/>
      <c r="J13" s="78">
        <f>'États financiers - Analyse'!B20*1000</f>
        <v>4300000</v>
      </c>
    </row>
    <row r="14" spans="2:11">
      <c r="B14" s="18"/>
      <c r="C14" s="11"/>
      <c r="D14" s="11"/>
      <c r="E14" s="11"/>
      <c r="F14" s="11"/>
      <c r="G14" s="11"/>
      <c r="H14" s="11" t="s">
        <v>12</v>
      </c>
      <c r="I14" s="11"/>
      <c r="J14" s="75">
        <f>-H10</f>
        <v>-3118200</v>
      </c>
    </row>
    <row r="15" spans="2:11" ht="15" thickBot="1">
      <c r="B15" s="18"/>
      <c r="C15" s="11"/>
      <c r="D15" s="11"/>
      <c r="E15" s="11"/>
      <c r="F15" s="11"/>
      <c r="G15" s="11"/>
      <c r="H15" s="11" t="s">
        <v>13</v>
      </c>
      <c r="I15" s="58" t="s">
        <v>14</v>
      </c>
      <c r="J15" s="76">
        <f>SUM(J13:J14)</f>
        <v>1181800</v>
      </c>
    </row>
    <row r="16" spans="2:11" ht="15" thickTop="1">
      <c r="B16" s="18"/>
      <c r="C16" s="11"/>
      <c r="D16" s="11"/>
      <c r="E16" s="11"/>
      <c r="F16" s="11"/>
      <c r="G16" s="11"/>
      <c r="H16" s="11"/>
      <c r="I16" s="11"/>
      <c r="J16" s="25"/>
    </row>
    <row r="17" spans="2:10">
      <c r="B17" s="19"/>
      <c r="C17" s="49" t="s">
        <v>15</v>
      </c>
      <c r="D17" s="26"/>
      <c r="E17" s="26"/>
      <c r="F17" s="26"/>
      <c r="G17" s="26"/>
      <c r="H17" s="26"/>
      <c r="I17" s="27"/>
      <c r="J17" s="28"/>
    </row>
    <row r="18" spans="2:10">
      <c r="I18" s="1"/>
    </row>
    <row r="22" spans="2:10">
      <c r="D22" s="46"/>
    </row>
  </sheetData>
  <mergeCells count="1">
    <mergeCell ref="H13:I13"/>
  </mergeCells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H28"/>
  <sheetViews>
    <sheetView workbookViewId="0">
      <selection activeCell="G33" sqref="G33"/>
    </sheetView>
    <sheetView workbookViewId="1"/>
  </sheetViews>
  <sheetFormatPr defaultColWidth="8.85546875" defaultRowHeight="14.1"/>
  <cols>
    <col min="1" max="1" width="8.85546875" style="11"/>
    <col min="2" max="2" width="46.140625" style="11" customWidth="1"/>
    <col min="3" max="3" width="12.42578125" style="11" customWidth="1"/>
    <col min="4" max="4" width="13.42578125" style="11" customWidth="1"/>
    <col min="5" max="5" width="15.140625" style="11" customWidth="1"/>
    <col min="6" max="6" width="14.42578125" style="11" customWidth="1"/>
    <col min="7" max="7" width="18.140625" style="11" customWidth="1"/>
    <col min="8" max="8" width="12.85546875" style="11" customWidth="1"/>
    <col min="9" max="9" width="14.42578125" style="11" customWidth="1"/>
    <col min="10" max="16384" width="8.85546875" style="11"/>
  </cols>
  <sheetData>
    <row r="1" spans="2:8">
      <c r="B1" s="31"/>
      <c r="H1" s="22"/>
    </row>
    <row r="2" spans="2:8">
      <c r="H2" s="22"/>
    </row>
    <row r="3" spans="2:8"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22"/>
    </row>
    <row r="4" spans="2:8">
      <c r="C4" s="130" t="s">
        <v>21</v>
      </c>
      <c r="D4" s="130"/>
      <c r="E4" s="130"/>
      <c r="F4" s="130"/>
      <c r="G4" s="130"/>
      <c r="H4" s="22"/>
    </row>
    <row r="5" spans="2:8">
      <c r="C5" s="16"/>
      <c r="D5" s="16"/>
      <c r="E5" s="16"/>
      <c r="F5" s="16"/>
      <c r="G5" s="16"/>
      <c r="H5" s="22"/>
    </row>
    <row r="6" spans="2:8">
      <c r="B6" s="11" t="s">
        <v>22</v>
      </c>
      <c r="C6" s="91">
        <v>48400</v>
      </c>
      <c r="D6" s="91">
        <v>8200</v>
      </c>
      <c r="E6" s="91">
        <v>17300</v>
      </c>
      <c r="F6" s="91">
        <v>7300</v>
      </c>
      <c r="G6" s="91">
        <f>SUM(C6:F6)</f>
        <v>81200</v>
      </c>
      <c r="H6" s="25"/>
    </row>
    <row r="7" spans="2:8">
      <c r="C7" s="10"/>
      <c r="D7" s="10"/>
      <c r="E7" s="10"/>
      <c r="F7" s="10"/>
      <c r="G7" s="10"/>
      <c r="H7" s="25"/>
    </row>
    <row r="8" spans="2:8">
      <c r="B8" s="11" t="s">
        <v>23</v>
      </c>
      <c r="C8" s="10"/>
      <c r="D8" s="10"/>
      <c r="E8" s="10"/>
      <c r="F8" s="10"/>
      <c r="G8" s="10"/>
      <c r="H8" s="25"/>
    </row>
    <row r="9" spans="2:8">
      <c r="B9" s="11" t="s">
        <v>24</v>
      </c>
      <c r="C9" s="87">
        <v>8670</v>
      </c>
      <c r="D9" s="87">
        <v>1270</v>
      </c>
      <c r="E9" s="87">
        <v>2100</v>
      </c>
      <c r="F9" s="87">
        <v>1700</v>
      </c>
      <c r="G9" s="87">
        <f>SUM(C9:F9)</f>
        <v>13740</v>
      </c>
      <c r="H9" s="25"/>
    </row>
    <row r="10" spans="2:8">
      <c r="B10" s="11" t="s">
        <v>25</v>
      </c>
      <c r="C10" s="87">
        <v>0</v>
      </c>
      <c r="D10" s="87">
        <v>0</v>
      </c>
      <c r="E10" s="87">
        <v>0</v>
      </c>
      <c r="F10" s="90">
        <v>4300</v>
      </c>
      <c r="G10" s="87">
        <f>SUM(C10:F10)</f>
        <v>4300</v>
      </c>
      <c r="H10" s="25"/>
    </row>
    <row r="11" spans="2:8">
      <c r="B11" s="53" t="s">
        <v>26</v>
      </c>
      <c r="C11" s="87">
        <v>16000</v>
      </c>
      <c r="D11" s="87">
        <v>1440</v>
      </c>
      <c r="E11" s="87">
        <v>2280</v>
      </c>
      <c r="F11" s="90">
        <v>0</v>
      </c>
      <c r="G11" s="87">
        <f>SUM(C11:F11)</f>
        <v>19720</v>
      </c>
      <c r="H11" s="25"/>
    </row>
    <row r="12" spans="2:8">
      <c r="B12" s="11" t="s">
        <v>27</v>
      </c>
      <c r="C12" s="87">
        <v>3800</v>
      </c>
      <c r="D12" s="87">
        <v>680</v>
      </c>
      <c r="E12" s="87">
        <v>3865</v>
      </c>
      <c r="F12" s="87">
        <v>365</v>
      </c>
      <c r="G12" s="87">
        <f>SUM(C12:F12)</f>
        <v>8710</v>
      </c>
      <c r="H12" s="25"/>
    </row>
    <row r="13" spans="2:8">
      <c r="B13" s="11" t="s">
        <v>28</v>
      </c>
      <c r="C13" s="87">
        <v>12100</v>
      </c>
      <c r="D13" s="87">
        <v>3007</v>
      </c>
      <c r="E13" s="87">
        <v>3840</v>
      </c>
      <c r="F13" s="87">
        <v>815</v>
      </c>
      <c r="G13" s="87">
        <f>SUM(C13:F13)</f>
        <v>19762</v>
      </c>
      <c r="H13" s="25"/>
    </row>
    <row r="14" spans="2:8">
      <c r="B14" s="11" t="s">
        <v>29</v>
      </c>
      <c r="C14" s="87">
        <v>0</v>
      </c>
      <c r="D14" s="87">
        <v>0</v>
      </c>
      <c r="E14" s="87">
        <v>0</v>
      </c>
      <c r="F14" s="87">
        <v>0</v>
      </c>
      <c r="G14" s="87">
        <v>8300</v>
      </c>
      <c r="H14" s="25"/>
    </row>
    <row r="15" spans="2:8">
      <c r="C15" s="89">
        <f>SUM(C9:C14)</f>
        <v>40570</v>
      </c>
      <c r="D15" s="89">
        <f>SUM(D9:D14)</f>
        <v>6397</v>
      </c>
      <c r="E15" s="89">
        <f>SUM(E9:E14)</f>
        <v>12085</v>
      </c>
      <c r="F15" s="89">
        <f>SUM(F9:F14)</f>
        <v>7180</v>
      </c>
      <c r="G15" s="89">
        <f>SUM(G9:G14)</f>
        <v>74532</v>
      </c>
      <c r="H15" s="25"/>
    </row>
    <row r="16" spans="2:8">
      <c r="B16" s="11" t="s">
        <v>30</v>
      </c>
      <c r="C16" s="87">
        <f>C6-C15</f>
        <v>7830</v>
      </c>
      <c r="D16" s="87">
        <f>D6-D15</f>
        <v>1803</v>
      </c>
      <c r="E16" s="87">
        <f>E6-E15</f>
        <v>5215</v>
      </c>
      <c r="F16" s="87">
        <f>F6-F15</f>
        <v>120</v>
      </c>
      <c r="G16" s="87">
        <f>G6-G15</f>
        <v>6668</v>
      </c>
      <c r="H16" s="25"/>
    </row>
    <row r="17" spans="1:8">
      <c r="C17" s="10"/>
      <c r="D17" s="10"/>
      <c r="E17" s="10"/>
      <c r="F17" s="10"/>
      <c r="G17" s="10"/>
      <c r="H17" s="25"/>
    </row>
    <row r="18" spans="1:8" ht="14.45">
      <c r="B18" s="33" t="s">
        <v>31</v>
      </c>
      <c r="C18" s="79">
        <f>C16/C6</f>
        <v>0.16177685950413223</v>
      </c>
      <c r="D18" s="79">
        <f>D16/D6</f>
        <v>0.21987804878048781</v>
      </c>
      <c r="E18" s="79">
        <f>E16/E6</f>
        <v>0.30144508670520231</v>
      </c>
      <c r="F18" s="79">
        <f>F16/F6</f>
        <v>1.643835616438356E-2</v>
      </c>
      <c r="G18" s="79">
        <f>G16/G6</f>
        <v>8.2118226600985222E-2</v>
      </c>
      <c r="H18" s="25"/>
    </row>
    <row r="19" spans="1:8" ht="14.45">
      <c r="B19" s="33"/>
      <c r="C19" s="55"/>
      <c r="D19" s="55"/>
      <c r="E19" s="55"/>
      <c r="F19" s="55"/>
      <c r="G19" s="55"/>
      <c r="H19" s="25"/>
    </row>
    <row r="20" spans="1:8">
      <c r="B20" s="11" t="s">
        <v>32</v>
      </c>
      <c r="C20" s="10"/>
      <c r="D20" s="10"/>
      <c r="E20" s="10"/>
      <c r="F20" s="10"/>
      <c r="G20" s="87">
        <f>'États financiers - Analyse'!B29+'États financiers - Analyse'!B30+'États financiers - Analyse'!B31</f>
        <v>-3584</v>
      </c>
      <c r="H20" s="25"/>
    </row>
    <row r="21" spans="1:8">
      <c r="B21" s="11" t="s">
        <v>33</v>
      </c>
      <c r="C21" s="10"/>
      <c r="D21" s="10"/>
      <c r="E21" s="10"/>
      <c r="F21" s="10"/>
      <c r="G21" s="87">
        <f>-'États financiers - Analyse'!B23</f>
        <v>-140</v>
      </c>
      <c r="H21" s="25"/>
    </row>
    <row r="22" spans="1:8">
      <c r="B22" s="11" t="s">
        <v>34</v>
      </c>
      <c r="C22" s="10"/>
      <c r="D22" s="10"/>
      <c r="E22" s="10"/>
      <c r="F22" s="10"/>
      <c r="G22" s="88">
        <f>G16+G20+G21</f>
        <v>2944</v>
      </c>
      <c r="H22" s="25"/>
    </row>
    <row r="23" spans="1:8">
      <c r="B23" s="11" t="s">
        <v>35</v>
      </c>
      <c r="C23" s="10"/>
      <c r="D23" s="10"/>
      <c r="E23" s="10"/>
      <c r="F23" s="10"/>
      <c r="G23" s="91">
        <f>'États financiers - Analyse'!B33</f>
        <v>-780</v>
      </c>
      <c r="H23" s="25"/>
    </row>
    <row r="24" spans="1:8" ht="14.45" thickBot="1">
      <c r="B24" s="11" t="s">
        <v>36</v>
      </c>
      <c r="C24" s="10"/>
      <c r="D24" s="10"/>
      <c r="E24" s="10"/>
      <c r="F24" s="10"/>
      <c r="G24" s="99">
        <f>SUM(G22:G23)</f>
        <v>2164</v>
      </c>
      <c r="H24" s="80">
        <f>G24/G6</f>
        <v>2.6650246305418721E-2</v>
      </c>
    </row>
    <row r="25" spans="1:8" ht="14.45" thickTop="1">
      <c r="C25" s="10"/>
      <c r="D25" s="10"/>
      <c r="E25" s="10"/>
      <c r="F25" s="10"/>
      <c r="G25" s="56"/>
      <c r="H25" s="34"/>
    </row>
    <row r="26" spans="1:8">
      <c r="B26" s="11" t="s">
        <v>37</v>
      </c>
      <c r="C26" s="10"/>
      <c r="D26" s="10"/>
      <c r="E26" s="10"/>
      <c r="F26" s="10"/>
      <c r="G26" s="56"/>
      <c r="H26" s="34"/>
    </row>
    <row r="27" spans="1:8">
      <c r="A27" s="26"/>
      <c r="B27" s="26"/>
      <c r="C27" s="27"/>
      <c r="D27" s="27"/>
      <c r="E27" s="27"/>
      <c r="F27" s="27"/>
      <c r="G27" s="27"/>
      <c r="H27" s="35"/>
    </row>
    <row r="28" spans="1:8">
      <c r="C28" s="10"/>
      <c r="D28" s="10"/>
      <c r="E28" s="10"/>
      <c r="F28" s="10"/>
      <c r="G28" s="10"/>
      <c r="H28" s="10"/>
    </row>
  </sheetData>
  <mergeCells count="1">
    <mergeCell ref="C4:G4"/>
  </mergeCells>
  <pageMargins left="0.7" right="0.7" top="0.75" bottom="0.75" header="0.3" footer="0.3"/>
  <pageSetup scale="86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3:E32"/>
  <sheetViews>
    <sheetView workbookViewId="0">
      <selection activeCell="G31" sqref="G31"/>
    </sheetView>
    <sheetView workbookViewId="1"/>
  </sheetViews>
  <sheetFormatPr defaultColWidth="8.85546875" defaultRowHeight="14.45"/>
  <cols>
    <col min="2" max="2" width="29" customWidth="1"/>
    <col min="3" max="3" width="6" customWidth="1"/>
    <col min="4" max="4" width="14" customWidth="1"/>
    <col min="5" max="5" width="20.42578125" customWidth="1"/>
  </cols>
  <sheetData>
    <row r="3" spans="2:5">
      <c r="B3" s="11"/>
      <c r="C3" s="11"/>
      <c r="D3" s="14"/>
      <c r="E3" s="11"/>
    </row>
    <row r="4" spans="2:5">
      <c r="B4" s="11"/>
      <c r="C4" s="11"/>
      <c r="D4" s="41" t="s">
        <v>38</v>
      </c>
      <c r="E4" s="11"/>
    </row>
    <row r="5" spans="2:5">
      <c r="B5" s="131" t="s">
        <v>39</v>
      </c>
      <c r="C5" s="131"/>
      <c r="D5" s="131"/>
      <c r="E5" s="11"/>
    </row>
    <row r="6" spans="2:5">
      <c r="B6" s="11"/>
      <c r="C6" s="11"/>
      <c r="D6" s="14"/>
      <c r="E6" s="11"/>
    </row>
    <row r="7" spans="2:5" ht="15.6" customHeight="1">
      <c r="B7" s="133" t="s">
        <v>40</v>
      </c>
      <c r="C7" s="133"/>
      <c r="D7" s="133"/>
      <c r="E7" s="11"/>
    </row>
    <row r="8" spans="2:5" ht="15" customHeight="1">
      <c r="B8" s="2" t="s">
        <v>41</v>
      </c>
      <c r="C8" s="11"/>
      <c r="D8" s="81">
        <v>0.16600000000000001</v>
      </c>
      <c r="E8" s="11"/>
    </row>
    <row r="9" spans="2:5" ht="15" customHeight="1">
      <c r="B9" s="2" t="s">
        <v>42</v>
      </c>
      <c r="C9" s="11"/>
      <c r="D9" s="81">
        <v>0.22</v>
      </c>
      <c r="E9" s="11"/>
    </row>
    <row r="10" spans="2:5" ht="15" customHeight="1">
      <c r="B10" s="2" t="s">
        <v>27</v>
      </c>
      <c r="C10" s="11"/>
      <c r="D10" s="81">
        <v>7.1999999999999995E-2</v>
      </c>
      <c r="E10" s="11"/>
    </row>
    <row r="11" spans="2:5" ht="15" customHeight="1">
      <c r="B11" s="2" t="s">
        <v>28</v>
      </c>
      <c r="C11" s="11"/>
      <c r="D11" s="81">
        <v>0.26200000000000001</v>
      </c>
      <c r="E11" s="11"/>
    </row>
    <row r="12" spans="2:5" ht="15" customHeight="1">
      <c r="B12" s="2" t="s">
        <v>29</v>
      </c>
      <c r="C12" s="11"/>
      <c r="D12" s="81">
        <v>0.1</v>
      </c>
      <c r="E12" s="11"/>
    </row>
    <row r="13" spans="2:5" ht="15" customHeight="1">
      <c r="B13" s="2"/>
      <c r="C13" s="11"/>
      <c r="D13" s="81"/>
      <c r="E13" s="11"/>
    </row>
    <row r="14" spans="2:5" ht="15" customHeight="1">
      <c r="B14" s="9" t="s">
        <v>43</v>
      </c>
      <c r="C14" s="11"/>
      <c r="D14" s="82">
        <v>0.1</v>
      </c>
      <c r="E14" s="11"/>
    </row>
    <row r="15" spans="2:5" ht="15" customHeight="1">
      <c r="B15" s="9" t="s">
        <v>44</v>
      </c>
      <c r="C15" s="11"/>
      <c r="D15" s="82">
        <v>0.09</v>
      </c>
      <c r="E15" s="11"/>
    </row>
    <row r="16" spans="2:5" ht="16.5" customHeight="1">
      <c r="B16" s="134" t="s">
        <v>45</v>
      </c>
      <c r="C16" s="134"/>
      <c r="D16" s="83">
        <v>0.08</v>
      </c>
      <c r="E16" s="11"/>
    </row>
    <row r="17" spans="2:5" ht="15" customHeight="1">
      <c r="B17" s="38"/>
      <c r="C17" s="39"/>
      <c r="D17" s="40"/>
      <c r="E17" s="11"/>
    </row>
    <row r="18" spans="2:5" ht="15" customHeight="1">
      <c r="B18" s="11" t="s">
        <v>46</v>
      </c>
      <c r="C18" s="11"/>
      <c r="D18" s="52">
        <v>1.5</v>
      </c>
      <c r="E18" s="11"/>
    </row>
    <row r="19" spans="2:5" ht="15" customHeight="1">
      <c r="B19" s="11" t="s">
        <v>47</v>
      </c>
      <c r="C19" s="11"/>
      <c r="D19" s="52">
        <v>45</v>
      </c>
      <c r="E19" s="11"/>
    </row>
    <row r="20" spans="2:5" ht="15" customHeight="1">
      <c r="B20" s="53" t="s">
        <v>48</v>
      </c>
      <c r="C20" s="11"/>
      <c r="D20" s="52">
        <v>2.6</v>
      </c>
      <c r="E20" s="11"/>
    </row>
    <row r="21" spans="2:5" ht="15" customHeight="1">
      <c r="B21" s="11" t="s">
        <v>49</v>
      </c>
      <c r="C21" s="11"/>
      <c r="D21" s="52">
        <v>3.1</v>
      </c>
      <c r="E21" s="11"/>
    </row>
    <row r="22" spans="2:5" ht="15" customHeight="1">
      <c r="B22" s="11"/>
      <c r="C22" s="11"/>
      <c r="D22" s="14"/>
      <c r="E22" s="11"/>
    </row>
    <row r="23" spans="2:5" ht="15" customHeight="1">
      <c r="B23" s="132" t="s">
        <v>50</v>
      </c>
      <c r="C23" s="132"/>
      <c r="D23" s="132"/>
      <c r="E23" s="11"/>
    </row>
    <row r="24" spans="2:5" ht="15" customHeight="1">
      <c r="B24" s="11"/>
      <c r="C24" s="11"/>
      <c r="D24" s="14"/>
      <c r="E24" s="11"/>
    </row>
    <row r="25" spans="2:5" ht="15" customHeight="1">
      <c r="B25" s="11" t="s">
        <v>40</v>
      </c>
      <c r="C25" s="11"/>
      <c r="D25" s="14"/>
      <c r="E25" s="11"/>
    </row>
    <row r="26" spans="2:5" ht="15" customHeight="1">
      <c r="B26" s="2" t="s">
        <v>41</v>
      </c>
      <c r="C26" s="11"/>
      <c r="D26" s="81">
        <v>0.21199999999999999</v>
      </c>
      <c r="E26" s="11"/>
    </row>
    <row r="27" spans="2:5" ht="15" customHeight="1">
      <c r="B27" s="2" t="s">
        <v>51</v>
      </c>
      <c r="C27" s="11"/>
      <c r="D27" s="81">
        <v>0.54100000000000004</v>
      </c>
      <c r="E27" s="11"/>
    </row>
    <row r="28" spans="2:5" ht="15" customHeight="1">
      <c r="B28" s="2" t="s">
        <v>27</v>
      </c>
      <c r="C28" s="11"/>
      <c r="D28" s="81">
        <v>5.8999999999999997E-2</v>
      </c>
      <c r="E28" s="11"/>
    </row>
    <row r="29" spans="2:5" ht="15" customHeight="1">
      <c r="B29" s="2" t="s">
        <v>28</v>
      </c>
      <c r="C29" s="11"/>
      <c r="D29" s="81">
        <v>0.125</v>
      </c>
      <c r="E29" s="11"/>
    </row>
    <row r="30" spans="2:5" ht="15" customHeight="1">
      <c r="B30" s="2"/>
      <c r="C30" s="11"/>
      <c r="D30" s="81"/>
      <c r="E30" s="11"/>
    </row>
    <row r="31" spans="2:5" ht="28.5" customHeight="1">
      <c r="B31" s="57" t="s">
        <v>43</v>
      </c>
      <c r="C31" s="11"/>
      <c r="D31" s="81">
        <v>4.2999999999999997E-2</v>
      </c>
      <c r="E31" s="11"/>
    </row>
    <row r="32" spans="2:5">
      <c r="B32" s="9"/>
      <c r="C32" s="11"/>
      <c r="D32" s="15"/>
      <c r="E32" s="11"/>
    </row>
  </sheetData>
  <mergeCells count="4">
    <mergeCell ref="B5:D5"/>
    <mergeCell ref="B23:D23"/>
    <mergeCell ref="B7:D7"/>
    <mergeCell ref="B16:C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3:M138"/>
  <sheetViews>
    <sheetView zoomScale="115" zoomScaleNormal="115" zoomScaleSheetLayoutView="100" workbookViewId="0">
      <selection activeCell="K15" sqref="K15"/>
    </sheetView>
    <sheetView workbookViewId="1">
      <selection activeCell="N34" sqref="N34"/>
    </sheetView>
  </sheetViews>
  <sheetFormatPr defaultColWidth="9.140625" defaultRowHeight="14.1"/>
  <cols>
    <col min="1" max="1" width="57.85546875" style="2" customWidth="1"/>
    <col min="2" max="2" width="14.42578125" style="2" customWidth="1"/>
    <col min="3" max="3" width="6.28515625" style="2" bestFit="1" customWidth="1"/>
    <col min="4" max="4" width="12" style="2" customWidth="1"/>
    <col min="5" max="5" width="6.28515625" style="2" bestFit="1" customWidth="1"/>
    <col min="6" max="6" width="11.42578125" style="2" customWidth="1"/>
    <col min="7" max="7" width="6.28515625" style="2" bestFit="1" customWidth="1"/>
    <col min="8" max="8" width="10.85546875" style="2" customWidth="1"/>
    <col min="9" max="10" width="10.140625" style="2" customWidth="1"/>
    <col min="11" max="11" width="35.5703125" style="2" customWidth="1"/>
    <col min="12" max="12" width="30.5703125" style="2" customWidth="1"/>
    <col min="13" max="16384" width="9.140625" style="2"/>
  </cols>
  <sheetData>
    <row r="3" spans="1:13">
      <c r="A3" s="135" t="s">
        <v>52</v>
      </c>
      <c r="B3" s="135"/>
      <c r="C3" s="135"/>
      <c r="D3" s="135"/>
      <c r="E3" s="135"/>
      <c r="F3" s="135"/>
    </row>
    <row r="4" spans="1:13">
      <c r="A4" s="131" t="s">
        <v>53</v>
      </c>
      <c r="B4" s="131"/>
      <c r="C4" s="131"/>
      <c r="D4" s="131"/>
      <c r="E4" s="131"/>
      <c r="F4" s="131"/>
    </row>
    <row r="5" spans="1:13">
      <c r="A5" s="135" t="s">
        <v>54</v>
      </c>
      <c r="B5" s="135"/>
      <c r="C5" s="135"/>
      <c r="D5" s="135"/>
      <c r="E5" s="135"/>
      <c r="F5" s="135"/>
    </row>
    <row r="6" spans="1:13">
      <c r="A6" s="135" t="s">
        <v>21</v>
      </c>
      <c r="B6" s="135"/>
      <c r="C6" s="135"/>
      <c r="D6" s="135"/>
      <c r="E6" s="135"/>
      <c r="F6" s="135"/>
    </row>
    <row r="7" spans="1:13">
      <c r="B7" s="3"/>
      <c r="C7" s="3"/>
      <c r="D7" s="3"/>
      <c r="E7" s="3"/>
      <c r="F7" s="3"/>
    </row>
    <row r="8" spans="1:13">
      <c r="B8" s="3" t="s">
        <v>55</v>
      </c>
      <c r="C8" s="3"/>
      <c r="D8" s="3" t="s">
        <v>56</v>
      </c>
      <c r="E8" s="3"/>
      <c r="F8" s="3" t="s">
        <v>56</v>
      </c>
      <c r="H8" s="6" t="s">
        <v>57</v>
      </c>
      <c r="I8" s="6"/>
      <c r="J8" s="6"/>
    </row>
    <row r="9" spans="1:13">
      <c r="B9" s="104">
        <v>2020</v>
      </c>
      <c r="C9" s="104"/>
      <c r="D9" s="104">
        <v>2019</v>
      </c>
      <c r="E9" s="104"/>
      <c r="F9" s="104">
        <v>2018</v>
      </c>
      <c r="H9" s="2" t="s">
        <v>58</v>
      </c>
      <c r="I9" s="2" t="s">
        <v>59</v>
      </c>
    </row>
    <row r="10" spans="1:13">
      <c r="B10" s="3" t="s">
        <v>60</v>
      </c>
      <c r="C10" s="3"/>
      <c r="D10" s="3" t="s">
        <v>60</v>
      </c>
      <c r="E10" s="3"/>
      <c r="F10" s="3" t="s">
        <v>60</v>
      </c>
    </row>
    <row r="11" spans="1:13" ht="56.1">
      <c r="J11" s="122" t="s">
        <v>61</v>
      </c>
      <c r="K11" s="111" t="s">
        <v>62</v>
      </c>
      <c r="L11" s="111" t="s">
        <v>63</v>
      </c>
    </row>
    <row r="12" spans="1:13" ht="14.25">
      <c r="A12" s="2" t="s">
        <v>16</v>
      </c>
      <c r="B12" s="87">
        <f>'ANN III – Info sectorielle'!C6</f>
        <v>48400</v>
      </c>
      <c r="C12" s="105">
        <f>B12/$B$16</f>
        <v>0.59605911330049266</v>
      </c>
      <c r="D12" s="87">
        <v>47500</v>
      </c>
      <c r="E12" s="105">
        <f>D12/$D$16</f>
        <v>0.58823529411764708</v>
      </c>
      <c r="F12" s="87">
        <v>46700</v>
      </c>
      <c r="G12" s="105">
        <f>F12/$F$16</f>
        <v>0.58222166812118192</v>
      </c>
      <c r="H12" s="109">
        <f>(B12-D12)/D12</f>
        <v>1.8947368421052633E-2</v>
      </c>
      <c r="I12" s="109">
        <f>(D12-F12)/F12</f>
        <v>1.7130620985010708E-2</v>
      </c>
      <c r="J12" s="109">
        <v>0.02</v>
      </c>
      <c r="K12" s="126"/>
      <c r="L12" s="123"/>
      <c r="M12" s="126"/>
    </row>
    <row r="13" spans="1:13" ht="14.25">
      <c r="A13" s="2" t="s">
        <v>64</v>
      </c>
      <c r="B13" s="87">
        <f>'ANN III – Info sectorielle'!D6</f>
        <v>8200</v>
      </c>
      <c r="C13" s="105">
        <f t="shared" ref="C13:C16" si="0">B13/$B$16</f>
        <v>0.10098522167487685</v>
      </c>
      <c r="D13" s="87">
        <v>8050</v>
      </c>
      <c r="E13" s="105">
        <f t="shared" ref="E13:E16" si="1">D13/$D$16</f>
        <v>9.9690402476780182E-2</v>
      </c>
      <c r="F13" s="87">
        <v>7910</v>
      </c>
      <c r="G13" s="105">
        <f t="shared" ref="G13:G16" si="2">F13/$F$16</f>
        <v>9.8616132651789049E-2</v>
      </c>
      <c r="H13" s="109">
        <f t="shared" ref="H13:H16" si="3">(B13-D13)/D13</f>
        <v>1.8633540372670808E-2</v>
      </c>
      <c r="I13" s="109">
        <f t="shared" ref="I13:I16" si="4">(D13-F13)/F13</f>
        <v>1.7699115044247787E-2</v>
      </c>
      <c r="J13" s="109">
        <v>0.02</v>
      </c>
      <c r="K13" s="127"/>
      <c r="L13" s="123"/>
      <c r="M13" s="126"/>
    </row>
    <row r="14" spans="1:13" ht="14.25">
      <c r="A14" s="2" t="s">
        <v>18</v>
      </c>
      <c r="B14" s="87">
        <f>'ANN III – Info sectorielle'!E6</f>
        <v>17300</v>
      </c>
      <c r="C14" s="105">
        <f t="shared" si="0"/>
        <v>0.21305418719211822</v>
      </c>
      <c r="D14" s="87">
        <v>16700</v>
      </c>
      <c r="E14" s="105">
        <f t="shared" si="1"/>
        <v>0.2068111455108359</v>
      </c>
      <c r="F14" s="87">
        <v>16400</v>
      </c>
      <c r="G14" s="105">
        <f t="shared" si="2"/>
        <v>0.20446328387981549</v>
      </c>
      <c r="H14" s="109">
        <f t="shared" si="3"/>
        <v>3.5928143712574849E-2</v>
      </c>
      <c r="I14" s="109">
        <f t="shared" si="4"/>
        <v>1.8292682926829267E-2</v>
      </c>
      <c r="J14" s="109">
        <v>0.02</v>
      </c>
      <c r="K14" s="127"/>
      <c r="L14" s="123"/>
      <c r="M14" s="126"/>
    </row>
    <row r="15" spans="1:13" ht="14.25">
      <c r="A15" s="2" t="s">
        <v>19</v>
      </c>
      <c r="B15" s="87">
        <f>'ANN III – Info sectorielle'!F6</f>
        <v>7300</v>
      </c>
      <c r="C15" s="105">
        <f t="shared" si="0"/>
        <v>8.9901477832512317E-2</v>
      </c>
      <c r="D15" s="87">
        <v>8500</v>
      </c>
      <c r="E15" s="107">
        <f>D15/$D$16</f>
        <v>0.10526315789473684</v>
      </c>
      <c r="F15" s="87">
        <v>9200</v>
      </c>
      <c r="G15" s="107">
        <f t="shared" si="2"/>
        <v>0.11469891534721356</v>
      </c>
      <c r="H15" s="109">
        <f>(B15-D15)/D15</f>
        <v>-0.14117647058823529</v>
      </c>
      <c r="I15" s="109">
        <f t="shared" si="4"/>
        <v>-7.6086956521739135E-2</v>
      </c>
      <c r="J15" s="109">
        <v>-0.02</v>
      </c>
      <c r="K15" s="127"/>
      <c r="L15" s="123" t="s">
        <v>65</v>
      </c>
      <c r="M15" s="126"/>
    </row>
    <row r="16" spans="1:13" ht="14.25">
      <c r="B16" s="89">
        <f>SUM(B12:B15)</f>
        <v>81200</v>
      </c>
      <c r="C16" s="106">
        <f t="shared" si="0"/>
        <v>1</v>
      </c>
      <c r="D16" s="89">
        <f>SUM(D12:D15)</f>
        <v>80750</v>
      </c>
      <c r="E16" s="106">
        <f t="shared" si="1"/>
        <v>1</v>
      </c>
      <c r="F16" s="89">
        <f>SUM(F12:F15)</f>
        <v>80210</v>
      </c>
      <c r="G16" s="106">
        <f t="shared" si="2"/>
        <v>1</v>
      </c>
      <c r="H16" s="109">
        <f t="shared" si="3"/>
        <v>5.5727554179566567E-3</v>
      </c>
      <c r="I16" s="109">
        <f t="shared" si="4"/>
        <v>6.7323276399451444E-3</v>
      </c>
      <c r="J16" s="109"/>
      <c r="K16" s="127" t="s">
        <v>66</v>
      </c>
      <c r="L16" s="123" t="s">
        <v>67</v>
      </c>
      <c r="M16" s="126"/>
    </row>
    <row r="17" spans="1:13" ht="14.25">
      <c r="K17" s="127"/>
      <c r="L17" s="123"/>
      <c r="M17" s="126"/>
    </row>
    <row r="18" spans="1:13" ht="69.75">
      <c r="A18" s="2" t="s">
        <v>23</v>
      </c>
      <c r="J18" s="121" t="s">
        <v>68</v>
      </c>
      <c r="K18" s="127"/>
      <c r="L18" s="123"/>
      <c r="M18" s="126"/>
    </row>
    <row r="19" spans="1:13" ht="14.25">
      <c r="A19" s="2" t="s">
        <v>24</v>
      </c>
      <c r="B19" s="87">
        <f>'ANN III – Info sectorielle'!G9</f>
        <v>13740</v>
      </c>
      <c r="C19" s="113">
        <f t="shared" ref="C19:C25" si="5">B19/$B$16</f>
        <v>0.16921182266009852</v>
      </c>
      <c r="D19" s="87">
        <v>12200</v>
      </c>
      <c r="E19" s="105">
        <f>D19/$D$16</f>
        <v>0.15108359133126936</v>
      </c>
      <c r="F19" s="87">
        <v>11640</v>
      </c>
      <c r="G19" s="105">
        <f t="shared" ref="G19:G26" si="6">F19/$F$16</f>
        <v>0.14511906246103978</v>
      </c>
      <c r="H19" s="109">
        <f t="shared" ref="H19:H26" si="7">(B19-D19)/D19</f>
        <v>0.12622950819672132</v>
      </c>
      <c r="I19" s="109">
        <f t="shared" ref="I19:I26" si="8">(D19-F19)/F19</f>
        <v>4.8109965635738834E-2</v>
      </c>
      <c r="J19" s="117">
        <v>0.16600000000000001</v>
      </c>
      <c r="K19" s="127"/>
      <c r="L19" s="123" t="s">
        <v>69</v>
      </c>
      <c r="M19" s="126"/>
    </row>
    <row r="20" spans="1:13" ht="14.25">
      <c r="A20" s="2" t="s">
        <v>70</v>
      </c>
      <c r="B20" s="87">
        <f>'ANN III – Info sectorielle'!G10</f>
        <v>4300</v>
      </c>
      <c r="C20" s="105">
        <f t="shared" si="5"/>
        <v>5.295566502463054E-2</v>
      </c>
      <c r="D20" s="87">
        <v>4100</v>
      </c>
      <c r="E20" s="105">
        <f t="shared" ref="E20:E26" si="9">D20/$D$16</f>
        <v>5.0773993808049533E-2</v>
      </c>
      <c r="F20" s="87">
        <v>4000</v>
      </c>
      <c r="G20" s="105">
        <f t="shared" si="6"/>
        <v>4.9869093629223288E-2</v>
      </c>
      <c r="H20" s="109">
        <f t="shared" si="7"/>
        <v>4.878048780487805E-2</v>
      </c>
      <c r="I20" s="109">
        <f t="shared" si="8"/>
        <v>2.5000000000000001E-2</v>
      </c>
      <c r="J20" s="118"/>
      <c r="K20" s="127"/>
      <c r="L20" s="123"/>
      <c r="M20" s="126"/>
    </row>
    <row r="21" spans="1:13" ht="14.25">
      <c r="A21" s="2" t="s">
        <v>71</v>
      </c>
      <c r="B21" s="87">
        <f>'ANN III – Info sectorielle'!G11</f>
        <v>19720</v>
      </c>
      <c r="C21" s="113">
        <f t="shared" si="5"/>
        <v>0.24285714285714285</v>
      </c>
      <c r="D21" s="87">
        <v>19700</v>
      </c>
      <c r="E21" s="105">
        <f t="shared" si="9"/>
        <v>0.24396284829721362</v>
      </c>
      <c r="F21" s="87">
        <v>19700</v>
      </c>
      <c r="G21" s="105">
        <f t="shared" si="6"/>
        <v>0.24560528612392471</v>
      </c>
      <c r="H21" s="109">
        <f t="shared" si="7"/>
        <v>1.0152284263959391E-3</v>
      </c>
      <c r="I21" s="109">
        <f t="shared" si="8"/>
        <v>0</v>
      </c>
      <c r="J21" s="117">
        <v>0.22</v>
      </c>
      <c r="K21" s="127" t="s">
        <v>72</v>
      </c>
      <c r="L21" s="123" t="s">
        <v>73</v>
      </c>
      <c r="M21" s="126"/>
    </row>
    <row r="22" spans="1:13" ht="14.25">
      <c r="A22" s="2" t="s">
        <v>27</v>
      </c>
      <c r="B22" s="87">
        <f>'ANN III – Info sectorielle'!G12</f>
        <v>8710</v>
      </c>
      <c r="C22" s="113">
        <f t="shared" si="5"/>
        <v>0.10726600985221675</v>
      </c>
      <c r="D22" s="87">
        <v>7650</v>
      </c>
      <c r="E22" s="105">
        <f t="shared" si="9"/>
        <v>9.4736842105263161E-2</v>
      </c>
      <c r="F22" s="87">
        <v>7300</v>
      </c>
      <c r="G22" s="105">
        <f t="shared" si="6"/>
        <v>9.1011095873332504E-2</v>
      </c>
      <c r="H22" s="109">
        <f>(B22-D22)/D22</f>
        <v>0.13856209150326798</v>
      </c>
      <c r="I22" s="109">
        <f t="shared" si="8"/>
        <v>4.7945205479452052E-2</v>
      </c>
      <c r="J22" s="117">
        <f>Ratios!F14</f>
        <v>7.1999999999999995E-2</v>
      </c>
      <c r="K22" s="127"/>
      <c r="L22" s="123" t="s">
        <v>74</v>
      </c>
      <c r="M22" s="126"/>
    </row>
    <row r="23" spans="1:13" ht="29.25" customHeight="1">
      <c r="A23" s="5" t="s">
        <v>75</v>
      </c>
      <c r="B23" s="87">
        <v>140</v>
      </c>
      <c r="C23" s="105">
        <f t="shared" si="5"/>
        <v>1.7241379310344827E-3</v>
      </c>
      <c r="D23" s="87">
        <v>135</v>
      </c>
      <c r="E23" s="105">
        <f t="shared" si="9"/>
        <v>1.6718266253869969E-3</v>
      </c>
      <c r="F23" s="87">
        <v>120</v>
      </c>
      <c r="G23" s="105">
        <f t="shared" si="6"/>
        <v>1.4960728088766987E-3</v>
      </c>
      <c r="H23" s="109">
        <f>(B23-D23)/D23</f>
        <v>3.7037037037037035E-2</v>
      </c>
      <c r="I23" s="109">
        <f t="shared" si="8"/>
        <v>0.125</v>
      </c>
      <c r="J23" s="118"/>
      <c r="K23" s="127"/>
      <c r="L23" s="123"/>
      <c r="M23" s="126"/>
    </row>
    <row r="24" spans="1:13" ht="14.25">
      <c r="A24" s="2" t="s">
        <v>28</v>
      </c>
      <c r="B24" s="87">
        <f>'ANN III – Info sectorielle'!$G$13</f>
        <v>19762</v>
      </c>
      <c r="C24" s="113">
        <f t="shared" si="5"/>
        <v>0.24337438423645319</v>
      </c>
      <c r="D24" s="87">
        <v>18485</v>
      </c>
      <c r="E24" s="105">
        <f t="shared" si="9"/>
        <v>0.22891640866873064</v>
      </c>
      <c r="F24" s="87">
        <v>17740</v>
      </c>
      <c r="G24" s="105">
        <f t="shared" si="6"/>
        <v>0.22116943024560529</v>
      </c>
      <c r="H24" s="109">
        <f t="shared" si="7"/>
        <v>6.9083040302948331E-2</v>
      </c>
      <c r="I24" s="109">
        <f t="shared" si="8"/>
        <v>4.1995490417136412E-2</v>
      </c>
      <c r="J24" s="119">
        <v>0.26200000000000001</v>
      </c>
      <c r="K24" s="127" t="s">
        <v>74</v>
      </c>
      <c r="L24" s="123" t="s">
        <v>76</v>
      </c>
      <c r="M24" s="126"/>
    </row>
    <row r="25" spans="1:13" ht="14.25">
      <c r="A25" s="2" t="s">
        <v>29</v>
      </c>
      <c r="B25" s="87">
        <f>'ANN III – Info sectorielle'!G14</f>
        <v>8300</v>
      </c>
      <c r="C25" s="113">
        <f t="shared" si="5"/>
        <v>0.10221674876847291</v>
      </c>
      <c r="D25" s="87">
        <v>8050</v>
      </c>
      <c r="E25" s="107">
        <f t="shared" si="9"/>
        <v>9.9690402476780182E-2</v>
      </c>
      <c r="F25" s="87">
        <v>7920</v>
      </c>
      <c r="G25" s="107">
        <f t="shared" si="6"/>
        <v>9.8740805385862107E-2</v>
      </c>
      <c r="H25" s="109">
        <f t="shared" si="7"/>
        <v>3.1055900621118012E-2</v>
      </c>
      <c r="I25" s="109">
        <f t="shared" si="8"/>
        <v>1.6414141414141416E-2</v>
      </c>
      <c r="J25" s="120">
        <v>0.1</v>
      </c>
      <c r="K25" s="127"/>
      <c r="L25" s="123"/>
      <c r="M25" s="126"/>
    </row>
    <row r="26" spans="1:13" ht="14.25">
      <c r="A26" s="2" t="s">
        <v>77</v>
      </c>
      <c r="B26" s="89">
        <f>SUM(B19:B25)</f>
        <v>74672</v>
      </c>
      <c r="C26" s="106">
        <f>B26/$B$16</f>
        <v>0.91960591133004921</v>
      </c>
      <c r="D26" s="89">
        <f>SUM(D19:D25)</f>
        <v>70320</v>
      </c>
      <c r="E26" s="106">
        <f t="shared" si="9"/>
        <v>0.8708359133126935</v>
      </c>
      <c r="F26" s="89">
        <f>SUM(F19:F25)</f>
        <v>68420</v>
      </c>
      <c r="G26" s="106">
        <f t="shared" si="6"/>
        <v>0.85301084652786441</v>
      </c>
      <c r="H26" s="109">
        <f t="shared" si="7"/>
        <v>6.1888509670079639E-2</v>
      </c>
      <c r="I26" s="109">
        <f t="shared" si="8"/>
        <v>2.7769657994738382E-2</v>
      </c>
      <c r="J26" s="116"/>
      <c r="K26" s="127"/>
      <c r="L26" s="123" t="s">
        <v>78</v>
      </c>
      <c r="M26" s="126"/>
    </row>
    <row r="27" spans="1:13" ht="14.25">
      <c r="H27" s="69"/>
      <c r="K27" s="127"/>
      <c r="L27" s="123"/>
      <c r="M27" s="126"/>
    </row>
    <row r="28" spans="1:13" ht="14.25">
      <c r="A28" s="2" t="s">
        <v>30</v>
      </c>
      <c r="B28" s="87">
        <f>B16-B26</f>
        <v>6528</v>
      </c>
      <c r="C28" s="105">
        <f t="shared" ref="C28:C33" si="10">B28/$B$16</f>
        <v>8.0394088669950736E-2</v>
      </c>
      <c r="D28" s="87">
        <f>D16-D26</f>
        <v>10430</v>
      </c>
      <c r="E28" s="105">
        <f t="shared" ref="E28:E34" si="11">D28/$D$16</f>
        <v>0.1291640866873065</v>
      </c>
      <c r="F28" s="87">
        <f>F16-F26</f>
        <v>11790</v>
      </c>
      <c r="G28" s="105">
        <f t="shared" ref="G28:G34" si="12">F28/$F$16</f>
        <v>0.14698915347213565</v>
      </c>
      <c r="H28" s="109">
        <f t="shared" ref="H28:H34" si="13">(B28-D28)/D28</f>
        <v>-0.37411313518696071</v>
      </c>
      <c r="I28" s="109">
        <f t="shared" ref="I28:I34" si="14">(D28-F28)/F28</f>
        <v>-0.11535199321458864</v>
      </c>
      <c r="J28" s="109"/>
      <c r="K28" s="127"/>
      <c r="L28" s="123"/>
      <c r="M28" s="126"/>
    </row>
    <row r="29" spans="1:13" ht="14.25">
      <c r="A29" s="2" t="s">
        <v>79</v>
      </c>
      <c r="B29" s="87">
        <v>-22</v>
      </c>
      <c r="C29" s="105">
        <f t="shared" si="10"/>
        <v>-2.7093596059113298E-4</v>
      </c>
      <c r="D29" s="87">
        <v>0</v>
      </c>
      <c r="E29" s="105">
        <f t="shared" si="11"/>
        <v>0</v>
      </c>
      <c r="F29" s="87">
        <v>0</v>
      </c>
      <c r="G29" s="105">
        <f t="shared" si="12"/>
        <v>0</v>
      </c>
      <c r="H29" s="109"/>
      <c r="I29" s="109"/>
      <c r="J29" s="109"/>
      <c r="K29" s="127"/>
      <c r="L29" s="123"/>
      <c r="M29" s="126"/>
    </row>
    <row r="30" spans="1:13" ht="14.25">
      <c r="A30" s="2" t="s">
        <v>80</v>
      </c>
      <c r="B30" s="87">
        <v>-78</v>
      </c>
      <c r="C30" s="105">
        <f t="shared" si="10"/>
        <v>-9.6059113300492609E-4</v>
      </c>
      <c r="D30" s="87">
        <v>-560</v>
      </c>
      <c r="E30" s="105">
        <f t="shared" si="11"/>
        <v>-6.9349845201238389E-3</v>
      </c>
      <c r="F30" s="87">
        <v>-560</v>
      </c>
      <c r="G30" s="105">
        <f t="shared" si="12"/>
        <v>-6.9816731080912606E-3</v>
      </c>
      <c r="H30" s="109">
        <f t="shared" si="13"/>
        <v>-0.86071428571428577</v>
      </c>
      <c r="I30" s="109">
        <f t="shared" si="14"/>
        <v>0</v>
      </c>
      <c r="J30" s="109"/>
      <c r="K30" s="127"/>
      <c r="L30" s="123"/>
      <c r="M30" s="126"/>
    </row>
    <row r="31" spans="1:13" ht="14.25">
      <c r="A31" s="2" t="s">
        <v>81</v>
      </c>
      <c r="B31" s="87">
        <f>-ROUND((B77+B80)*0.065,0)</f>
        <v>-3484</v>
      </c>
      <c r="C31" s="107">
        <f t="shared" si="10"/>
        <v>-4.2906403940886698E-2</v>
      </c>
      <c r="D31" s="87">
        <f>-ROUND((D77+D80)*0.065,0)</f>
        <v>-3744</v>
      </c>
      <c r="E31" s="107">
        <f t="shared" si="11"/>
        <v>-4.6365325077399377E-2</v>
      </c>
      <c r="F31" s="87">
        <f>-ROUND((F77+F80)*0.065,0)</f>
        <v>-4004</v>
      </c>
      <c r="G31" s="107">
        <f t="shared" si="12"/>
        <v>-4.9918962722852511E-2</v>
      </c>
      <c r="H31" s="109">
        <f t="shared" si="13"/>
        <v>-6.9444444444444448E-2</v>
      </c>
      <c r="I31" s="109">
        <f t="shared" si="14"/>
        <v>-6.4935064935064929E-2</v>
      </c>
      <c r="J31" s="109"/>
      <c r="K31" s="127"/>
      <c r="L31" s="123"/>
      <c r="M31" s="126"/>
    </row>
    <row r="32" spans="1:13" ht="14.25">
      <c r="A32" s="2" t="s">
        <v>82</v>
      </c>
      <c r="B32" s="88">
        <f>B28+B29+B30+B31</f>
        <v>2944</v>
      </c>
      <c r="C32" s="105">
        <f t="shared" si="10"/>
        <v>3.6256157635467981E-2</v>
      </c>
      <c r="D32" s="88">
        <f>D28+D30+D31</f>
        <v>6126</v>
      </c>
      <c r="E32" s="105">
        <f t="shared" si="11"/>
        <v>7.5863777089783285E-2</v>
      </c>
      <c r="F32" s="88">
        <f>F28+F30+F31</f>
        <v>7226</v>
      </c>
      <c r="G32" s="105">
        <f t="shared" si="12"/>
        <v>9.008851764119187E-2</v>
      </c>
      <c r="H32" s="109">
        <f t="shared" si="13"/>
        <v>-0.51942539993470449</v>
      </c>
      <c r="I32" s="109">
        <f t="shared" si="14"/>
        <v>-0.15222806531967895</v>
      </c>
      <c r="J32" s="109"/>
      <c r="K32" s="127"/>
      <c r="L32" s="123"/>
      <c r="M32" s="126"/>
    </row>
    <row r="33" spans="1:13" ht="14.25">
      <c r="A33" s="2" t="s">
        <v>35</v>
      </c>
      <c r="B33" s="87">
        <f>-ROUND(B32*0.265,0)</f>
        <v>-780</v>
      </c>
      <c r="C33" s="105">
        <f t="shared" si="10"/>
        <v>-9.6059113300492605E-3</v>
      </c>
      <c r="D33" s="87">
        <f>-ROUND(D32*0.265,0)</f>
        <v>-1623</v>
      </c>
      <c r="E33" s="107">
        <f t="shared" si="11"/>
        <v>-2.009907120743034E-2</v>
      </c>
      <c r="F33" s="87">
        <f>-ROUND(F32*0.265,0)</f>
        <v>-1915</v>
      </c>
      <c r="G33" s="107">
        <f t="shared" si="12"/>
        <v>-2.387482857499065E-2</v>
      </c>
      <c r="H33" s="109">
        <f t="shared" si="13"/>
        <v>-0.51940850277264328</v>
      </c>
      <c r="I33" s="109">
        <f t="shared" si="14"/>
        <v>-0.15248041775456919</v>
      </c>
      <c r="J33" s="109"/>
      <c r="K33" s="127"/>
      <c r="L33" s="123"/>
      <c r="M33" s="126"/>
    </row>
    <row r="34" spans="1:13" ht="14.25">
      <c r="A34" s="5" t="s">
        <v>83</v>
      </c>
      <c r="B34" s="92">
        <f>B32+B33</f>
        <v>2164</v>
      </c>
      <c r="C34" s="108">
        <f>B34/$B$16</f>
        <v>2.6650246305418721E-2</v>
      </c>
      <c r="D34" s="92">
        <f>D32+D33</f>
        <v>4503</v>
      </c>
      <c r="E34" s="108">
        <f t="shared" si="11"/>
        <v>5.5764705882352938E-2</v>
      </c>
      <c r="F34" s="92">
        <f>F32+F33</f>
        <v>5311</v>
      </c>
      <c r="G34" s="108">
        <f t="shared" si="12"/>
        <v>6.6213689066201217E-2</v>
      </c>
      <c r="H34" s="109">
        <f t="shared" si="13"/>
        <v>-0.51943149011769929</v>
      </c>
      <c r="I34" s="109">
        <f t="shared" si="14"/>
        <v>-0.15213707399736395</v>
      </c>
      <c r="J34" s="109"/>
      <c r="K34" s="127"/>
      <c r="L34" s="123"/>
      <c r="M34" s="126"/>
    </row>
    <row r="35" spans="1:13" ht="14.45" thickTop="1">
      <c r="A35" s="5"/>
      <c r="K35" s="114"/>
      <c r="L35" s="65"/>
    </row>
    <row r="36" spans="1:13">
      <c r="A36" s="5"/>
      <c r="K36" s="114"/>
      <c r="L36" s="65"/>
    </row>
    <row r="37" spans="1:13">
      <c r="A37" s="5"/>
      <c r="K37" s="114"/>
      <c r="L37" s="65"/>
    </row>
    <row r="38" spans="1:13">
      <c r="A38" s="132" t="s">
        <v>52</v>
      </c>
      <c r="B38" s="132"/>
      <c r="C38" s="132"/>
      <c r="D38" s="132"/>
      <c r="E38" s="132"/>
      <c r="F38" s="132"/>
      <c r="K38" s="114"/>
      <c r="L38" s="65"/>
    </row>
    <row r="39" spans="1:13" s="48" customFormat="1" ht="15.75" customHeight="1">
      <c r="A39" s="136" t="s">
        <v>84</v>
      </c>
      <c r="B39" s="136"/>
      <c r="C39" s="136"/>
      <c r="D39" s="136"/>
      <c r="E39" s="136"/>
      <c r="F39" s="136"/>
      <c r="K39" s="114"/>
      <c r="L39" s="65"/>
    </row>
    <row r="40" spans="1:13" s="48" customFormat="1" ht="15.75" customHeight="1">
      <c r="A40" s="135" t="s">
        <v>54</v>
      </c>
      <c r="B40" s="135"/>
      <c r="C40" s="135"/>
      <c r="D40" s="135"/>
      <c r="E40" s="135"/>
      <c r="F40" s="135"/>
      <c r="K40" s="114"/>
      <c r="L40" s="65"/>
    </row>
    <row r="41" spans="1:13" s="48" customFormat="1" ht="15.75" customHeight="1">
      <c r="A41" s="135" t="s">
        <v>85</v>
      </c>
      <c r="B41" s="135"/>
      <c r="C41" s="135"/>
      <c r="D41" s="135"/>
      <c r="E41" s="135"/>
      <c r="F41" s="135"/>
      <c r="K41" s="114"/>
      <c r="L41" s="65"/>
    </row>
    <row r="42" spans="1:13" s="48" customFormat="1" ht="15.75" customHeight="1">
      <c r="A42" s="3"/>
      <c r="B42" s="3" t="s">
        <v>55</v>
      </c>
      <c r="C42" s="3"/>
      <c r="D42" s="6" t="s">
        <v>56</v>
      </c>
      <c r="E42" s="6"/>
      <c r="F42" s="6" t="s">
        <v>56</v>
      </c>
      <c r="K42" s="114"/>
      <c r="L42" s="65"/>
    </row>
    <row r="43" spans="1:13" s="48" customFormat="1" ht="15.75" customHeight="1">
      <c r="A43" s="3"/>
      <c r="B43" s="104">
        <v>2020</v>
      </c>
      <c r="C43" s="104"/>
      <c r="D43" s="104">
        <v>2019</v>
      </c>
      <c r="E43" s="104"/>
      <c r="F43" s="104">
        <v>2018</v>
      </c>
      <c r="K43" s="114"/>
      <c r="L43" s="65"/>
    </row>
    <row r="44" spans="1:13" s="48" customFormat="1" ht="15.75" customHeight="1">
      <c r="A44" s="50"/>
      <c r="B44" s="3" t="s">
        <v>60</v>
      </c>
      <c r="C44" s="3"/>
      <c r="D44" s="3" t="s">
        <v>60</v>
      </c>
      <c r="E44" s="3"/>
      <c r="F44" s="3" t="s">
        <v>60</v>
      </c>
      <c r="K44" s="114"/>
      <c r="L44" s="65"/>
    </row>
    <row r="45" spans="1:13" ht="15.75" customHeight="1">
      <c r="A45" s="5" t="s">
        <v>86</v>
      </c>
      <c r="B45" s="87">
        <f>D48</f>
        <v>11952</v>
      </c>
      <c r="C45" s="87"/>
      <c r="D45" s="87">
        <f>F48</f>
        <v>7449</v>
      </c>
      <c r="E45" s="87"/>
      <c r="F45" s="87">
        <v>8092</v>
      </c>
      <c r="K45" s="114"/>
      <c r="L45" s="65"/>
    </row>
    <row r="46" spans="1:13" ht="15" customHeight="1">
      <c r="A46" s="5" t="s">
        <v>36</v>
      </c>
      <c r="B46" s="87">
        <f>B34</f>
        <v>2164</v>
      </c>
      <c r="C46" s="87"/>
      <c r="D46" s="87">
        <f>D34</f>
        <v>4503</v>
      </c>
      <c r="E46" s="87"/>
      <c r="F46" s="87">
        <f>F34</f>
        <v>5311</v>
      </c>
      <c r="K46" s="114"/>
      <c r="L46" s="65"/>
    </row>
    <row r="47" spans="1:13" ht="15" customHeight="1">
      <c r="A47" s="5" t="s">
        <v>87</v>
      </c>
      <c r="B47" s="87">
        <v>0</v>
      </c>
      <c r="C47" s="87"/>
      <c r="D47" s="87">
        <v>0</v>
      </c>
      <c r="E47" s="87"/>
      <c r="F47" s="87">
        <v>-5954</v>
      </c>
      <c r="K47" s="114"/>
      <c r="L47" s="65"/>
    </row>
    <row r="48" spans="1:13" ht="15.75" customHeight="1" thickBot="1">
      <c r="A48" s="5" t="s">
        <v>88</v>
      </c>
      <c r="B48" s="92">
        <f>SUM(B45:B47)</f>
        <v>14116</v>
      </c>
      <c r="C48" s="92"/>
      <c r="D48" s="92">
        <f>SUM(D45:D47)</f>
        <v>11952</v>
      </c>
      <c r="E48" s="92"/>
      <c r="F48" s="92">
        <f>SUM(F45:F47)</f>
        <v>7449</v>
      </c>
      <c r="K48" s="114"/>
      <c r="L48" s="65"/>
    </row>
    <row r="49" spans="1:12" ht="14.45" thickTop="1">
      <c r="A49" s="5"/>
      <c r="K49" s="114"/>
      <c r="L49" s="65"/>
    </row>
    <row r="50" spans="1:12">
      <c r="A50" s="5"/>
      <c r="K50" s="114"/>
      <c r="L50" s="65"/>
    </row>
    <row r="51" spans="1:12">
      <c r="A51" s="5"/>
      <c r="K51" s="114"/>
      <c r="L51" s="65"/>
    </row>
    <row r="52" spans="1:12">
      <c r="A52" s="5"/>
      <c r="K52" s="114"/>
      <c r="L52" s="65"/>
    </row>
    <row r="53" spans="1:12">
      <c r="A53" s="135" t="s">
        <v>52</v>
      </c>
      <c r="B53" s="135"/>
      <c r="C53" s="135"/>
      <c r="D53" s="135"/>
      <c r="E53" s="135"/>
      <c r="F53" s="135"/>
      <c r="K53" s="114"/>
      <c r="L53" s="65"/>
    </row>
    <row r="54" spans="1:12">
      <c r="A54" s="131" t="s">
        <v>89</v>
      </c>
      <c r="B54" s="131"/>
      <c r="C54" s="131"/>
      <c r="D54" s="131"/>
      <c r="E54" s="131"/>
      <c r="F54" s="131"/>
      <c r="K54" s="114"/>
      <c r="L54" s="65"/>
    </row>
    <row r="55" spans="1:12">
      <c r="A55" s="135" t="s">
        <v>90</v>
      </c>
      <c r="B55" s="135"/>
      <c r="C55" s="135"/>
      <c r="D55" s="135"/>
      <c r="E55" s="135"/>
      <c r="F55" s="135"/>
      <c r="K55" s="114"/>
      <c r="L55" s="65"/>
    </row>
    <row r="56" spans="1:12">
      <c r="A56" s="135" t="s">
        <v>85</v>
      </c>
      <c r="B56" s="135"/>
      <c r="C56" s="135"/>
      <c r="D56" s="135"/>
      <c r="E56" s="135"/>
      <c r="F56" s="135"/>
      <c r="K56" s="114"/>
      <c r="L56" s="65"/>
    </row>
    <row r="57" spans="1:12">
      <c r="B57" s="3" t="s">
        <v>55</v>
      </c>
      <c r="C57" s="3"/>
      <c r="D57" s="6" t="s">
        <v>56</v>
      </c>
      <c r="E57" s="6"/>
      <c r="F57" s="6" t="s">
        <v>56</v>
      </c>
      <c r="K57" s="114"/>
      <c r="L57" s="65"/>
    </row>
    <row r="58" spans="1:12">
      <c r="B58" s="104">
        <v>2020</v>
      </c>
      <c r="C58" s="104"/>
      <c r="D58" s="104">
        <v>2019</v>
      </c>
      <c r="E58" s="104"/>
      <c r="F58" s="104">
        <v>2018</v>
      </c>
      <c r="K58" s="114"/>
      <c r="L58" s="65"/>
    </row>
    <row r="59" spans="1:12">
      <c r="B59" s="3" t="s">
        <v>60</v>
      </c>
      <c r="C59" s="3"/>
      <c r="D59" s="3" t="s">
        <v>60</v>
      </c>
      <c r="E59" s="3"/>
      <c r="F59" s="3" t="s">
        <v>60</v>
      </c>
      <c r="K59" s="114"/>
      <c r="L59" s="65"/>
    </row>
    <row r="60" spans="1:12">
      <c r="A60" s="6" t="s">
        <v>91</v>
      </c>
      <c r="B60" s="3"/>
      <c r="C60" s="3"/>
      <c r="D60" s="3"/>
      <c r="E60" s="3"/>
      <c r="F60" s="3"/>
      <c r="K60" s="114"/>
      <c r="L60" s="65"/>
    </row>
    <row r="61" spans="1:12">
      <c r="A61" s="6" t="s">
        <v>92</v>
      </c>
      <c r="K61" s="114"/>
      <c r="L61" s="65"/>
    </row>
    <row r="62" spans="1:12">
      <c r="A62" s="11" t="s">
        <v>93</v>
      </c>
      <c r="B62" s="95">
        <v>120</v>
      </c>
      <c r="C62" s="32">
        <f>B62/$B$68</f>
        <v>1.2525311567125233E-3</v>
      </c>
      <c r="D62" s="95">
        <v>350</v>
      </c>
      <c r="E62" s="32">
        <f>D62/$D$68</f>
        <v>3.7262187396863589E-3</v>
      </c>
      <c r="F62" s="95">
        <v>680</v>
      </c>
      <c r="G62" s="32">
        <f>F62/$F$68</f>
        <v>7.3228516045660136E-3</v>
      </c>
      <c r="H62" s="109">
        <f t="shared" ref="H62" si="15">(B62-D62)/D62</f>
        <v>-0.65714285714285714</v>
      </c>
      <c r="I62" s="109">
        <f t="shared" ref="I62" si="16">(D62-F62)/F62</f>
        <v>-0.48529411764705882</v>
      </c>
      <c r="J62" s="109"/>
      <c r="K62" s="114"/>
      <c r="L62" s="65"/>
    </row>
    <row r="63" spans="1:12">
      <c r="A63" s="2" t="s">
        <v>94</v>
      </c>
      <c r="B63" s="95">
        <v>10100</v>
      </c>
      <c r="C63" s="32">
        <f t="shared" ref="C63:C68" si="17">B63/$B$68</f>
        <v>0.10542137235663737</v>
      </c>
      <c r="D63" s="95">
        <v>9200</v>
      </c>
      <c r="E63" s="32">
        <f t="shared" ref="E63:E68" si="18">D63/$D$68</f>
        <v>9.7946321157469998E-2</v>
      </c>
      <c r="F63" s="95">
        <v>8790</v>
      </c>
      <c r="G63" s="32">
        <f t="shared" ref="G63:G68" si="19">F63/$F$68</f>
        <v>9.4658625888434197E-2</v>
      </c>
      <c r="H63" s="109">
        <f t="shared" ref="H63:H68" si="20">(B63-D63)/D63</f>
        <v>9.7826086956521743E-2</v>
      </c>
      <c r="I63" s="109">
        <f t="shared" ref="I63:I68" si="21">(D63-F63)/F63</f>
        <v>4.6643913538111488E-2</v>
      </c>
      <c r="J63" s="109"/>
      <c r="K63" s="114"/>
      <c r="L63" s="65"/>
    </row>
    <row r="64" spans="1:12">
      <c r="A64" s="2" t="s">
        <v>95</v>
      </c>
      <c r="B64" s="95">
        <v>1280</v>
      </c>
      <c r="C64" s="107">
        <f t="shared" si="17"/>
        <v>1.3360332338266914E-2</v>
      </c>
      <c r="D64" s="95">
        <v>1250</v>
      </c>
      <c r="E64" s="107">
        <f t="shared" si="18"/>
        <v>1.3307924070308425E-2</v>
      </c>
      <c r="F64" s="95">
        <v>1190</v>
      </c>
      <c r="G64" s="107">
        <f t="shared" si="19"/>
        <v>1.2814990307990524E-2</v>
      </c>
      <c r="H64" s="109">
        <f t="shared" si="20"/>
        <v>2.4E-2</v>
      </c>
      <c r="I64" s="109">
        <f t="shared" si="21"/>
        <v>5.0420168067226892E-2</v>
      </c>
      <c r="J64" s="109"/>
      <c r="K64" s="114"/>
      <c r="L64" s="65"/>
    </row>
    <row r="65" spans="1:13">
      <c r="A65" s="2" t="s">
        <v>96</v>
      </c>
      <c r="B65" s="93">
        <f>SUM(B62:B64)</f>
        <v>11500</v>
      </c>
      <c r="C65" s="32">
        <f t="shared" si="17"/>
        <v>0.12003423585161681</v>
      </c>
      <c r="D65" s="93">
        <f>SUM(D62:D64)</f>
        <v>10800</v>
      </c>
      <c r="E65" s="32">
        <f t="shared" si="18"/>
        <v>0.11498046396746479</v>
      </c>
      <c r="F65" s="93">
        <f>SUM(F62:F64)</f>
        <v>10660</v>
      </c>
      <c r="G65" s="32">
        <f t="shared" si="19"/>
        <v>0.11479646780099075</v>
      </c>
      <c r="H65" s="109">
        <f t="shared" si="20"/>
        <v>6.4814814814814811E-2</v>
      </c>
      <c r="I65" s="109">
        <f t="shared" si="21"/>
        <v>1.3133208255159476E-2</v>
      </c>
      <c r="J65" s="109"/>
      <c r="K65" s="114"/>
      <c r="L65" s="65"/>
      <c r="M65" s="11"/>
    </row>
    <row r="66" spans="1:13">
      <c r="B66" s="7"/>
      <c r="C66" s="32"/>
      <c r="D66" s="7"/>
      <c r="E66" s="32"/>
      <c r="F66" s="7"/>
      <c r="G66" s="32">
        <f t="shared" si="19"/>
        <v>0</v>
      </c>
      <c r="H66" s="109"/>
      <c r="I66" s="109"/>
      <c r="J66" s="109"/>
      <c r="K66" s="114"/>
      <c r="L66" s="65"/>
      <c r="M66" s="11"/>
    </row>
    <row r="67" spans="1:13">
      <c r="A67" s="2" t="s">
        <v>97</v>
      </c>
      <c r="B67" s="95">
        <f>B96</f>
        <v>84306</v>
      </c>
      <c r="C67" s="107">
        <f t="shared" si="17"/>
        <v>0.87996576414838323</v>
      </c>
      <c r="D67" s="95">
        <f>D96</f>
        <v>83129</v>
      </c>
      <c r="E67" s="107">
        <f t="shared" si="18"/>
        <v>0.88501953603253525</v>
      </c>
      <c r="F67" s="95">
        <f>F96</f>
        <v>82200</v>
      </c>
      <c r="G67" s="107">
        <f t="shared" si="19"/>
        <v>0.88520353219900927</v>
      </c>
      <c r="H67" s="109">
        <f t="shared" si="20"/>
        <v>1.4158717174511903E-2</v>
      </c>
      <c r="I67" s="109">
        <f t="shared" si="21"/>
        <v>1.1301703163017032E-2</v>
      </c>
      <c r="J67" s="109"/>
      <c r="K67" s="114"/>
      <c r="L67" s="65"/>
      <c r="M67" s="11"/>
    </row>
    <row r="68" spans="1:13" ht="14.45" thickBot="1">
      <c r="A68" s="2" t="s">
        <v>98</v>
      </c>
      <c r="B68" s="96">
        <f>SUM(B65:B67)</f>
        <v>95806</v>
      </c>
      <c r="C68" s="108">
        <f t="shared" si="17"/>
        <v>1</v>
      </c>
      <c r="D68" s="96">
        <f>SUM(D65:D67)</f>
        <v>93929</v>
      </c>
      <c r="E68" s="108">
        <f t="shared" si="18"/>
        <v>1</v>
      </c>
      <c r="F68" s="96">
        <f>SUM(F65:F67)</f>
        <v>92860</v>
      </c>
      <c r="G68" s="108">
        <f t="shared" si="19"/>
        <v>1</v>
      </c>
      <c r="H68" s="109">
        <f t="shared" si="20"/>
        <v>1.9983178783975129E-2</v>
      </c>
      <c r="I68" s="109">
        <f t="shared" si="21"/>
        <v>1.1511953478354512E-2</v>
      </c>
      <c r="J68" s="109"/>
      <c r="K68" s="114"/>
      <c r="L68" s="65"/>
      <c r="M68" s="11"/>
    </row>
    <row r="69" spans="1:13" ht="14.45" thickTop="1">
      <c r="B69" s="7"/>
      <c r="C69" s="7"/>
      <c r="D69" s="7"/>
      <c r="E69" s="7"/>
      <c r="F69" s="7"/>
      <c r="K69" s="114"/>
      <c r="L69" s="65"/>
      <c r="M69" s="11"/>
    </row>
    <row r="70" spans="1:13">
      <c r="A70" s="6" t="s">
        <v>99</v>
      </c>
      <c r="B70" s="7"/>
      <c r="C70" s="7"/>
      <c r="D70" s="7"/>
      <c r="E70" s="7"/>
      <c r="F70" s="7"/>
      <c r="K70" s="114"/>
      <c r="L70" s="65"/>
    </row>
    <row r="71" spans="1:13">
      <c r="A71" s="6" t="s">
        <v>100</v>
      </c>
      <c r="B71" s="7"/>
      <c r="C71" s="7"/>
      <c r="D71" s="7"/>
      <c r="E71" s="7"/>
      <c r="F71" s="7"/>
      <c r="K71" s="114"/>
      <c r="L71" s="65"/>
    </row>
    <row r="72" spans="1:13">
      <c r="A72" s="2" t="s">
        <v>101</v>
      </c>
      <c r="B72" s="95">
        <v>1300</v>
      </c>
      <c r="C72" s="32">
        <f>B72/$B$89</f>
        <v>1.3569087531052335E-2</v>
      </c>
      <c r="D72" s="95">
        <v>0</v>
      </c>
      <c r="E72" s="32">
        <f>D72/$D$89</f>
        <v>0</v>
      </c>
      <c r="F72" s="95">
        <v>0</v>
      </c>
      <c r="G72" s="32">
        <f>F72/$F$89</f>
        <v>0</v>
      </c>
      <c r="H72" s="109"/>
      <c r="I72" s="109"/>
      <c r="J72" s="109"/>
      <c r="K72" s="114"/>
      <c r="L72" s="65"/>
    </row>
    <row r="73" spans="1:13">
      <c r="A73" s="2" t="s">
        <v>102</v>
      </c>
      <c r="B73" s="95">
        <v>5828</v>
      </c>
      <c r="C73" s="32">
        <f t="shared" ref="C73:C89" si="22">B73/$B$89</f>
        <v>6.0831263177671548E-2</v>
      </c>
      <c r="D73" s="95">
        <v>5255</v>
      </c>
      <c r="E73" s="32">
        <f t="shared" ref="E73:E89" si="23">D73/$D$89</f>
        <v>5.5946512791576614E-2</v>
      </c>
      <c r="F73" s="95">
        <v>4944</v>
      </c>
      <c r="G73" s="32">
        <f t="shared" ref="G73:G89" si="24">F73/$F$89</f>
        <v>5.3241438724962308E-2</v>
      </c>
      <c r="H73" s="109">
        <f t="shared" ref="H73:H78" si="25">(B73-D73)/D73</f>
        <v>0.10903901046622265</v>
      </c>
      <c r="I73" s="109">
        <f t="shared" ref="I73:I78" si="26">(D73-F73)/F73</f>
        <v>6.2904530744336565E-2</v>
      </c>
      <c r="J73" s="109"/>
      <c r="K73" s="114"/>
      <c r="L73" s="65"/>
    </row>
    <row r="74" spans="1:13">
      <c r="A74" s="2" t="s">
        <v>103</v>
      </c>
      <c r="B74" s="97">
        <v>250</v>
      </c>
      <c r="C74" s="32">
        <f t="shared" si="22"/>
        <v>2.6094399098177566E-3</v>
      </c>
      <c r="D74" s="97">
        <v>650</v>
      </c>
      <c r="E74" s="32">
        <f t="shared" si="23"/>
        <v>6.9201205165603805E-3</v>
      </c>
      <c r="F74" s="97">
        <v>700</v>
      </c>
      <c r="G74" s="32">
        <f t="shared" si="24"/>
        <v>7.5382295929356021E-3</v>
      </c>
      <c r="H74" s="109">
        <f t="shared" si="25"/>
        <v>-0.61538461538461542</v>
      </c>
      <c r="I74" s="109">
        <f t="shared" si="26"/>
        <v>-7.1428571428571425E-2</v>
      </c>
      <c r="J74" s="109"/>
      <c r="K74" s="114"/>
      <c r="L74" s="65"/>
    </row>
    <row r="75" spans="1:13">
      <c r="A75" s="8" t="s">
        <v>104</v>
      </c>
      <c r="B75" s="87">
        <v>2680</v>
      </c>
      <c r="C75" s="32">
        <f t="shared" si="22"/>
        <v>2.7973195833246353E-2</v>
      </c>
      <c r="D75" s="97">
        <v>2580</v>
      </c>
      <c r="E75" s="32">
        <f t="shared" si="23"/>
        <v>2.7467555281116589E-2</v>
      </c>
      <c r="F75" s="97">
        <v>2410</v>
      </c>
      <c r="G75" s="32">
        <f t="shared" si="24"/>
        <v>2.5953047598535429E-2</v>
      </c>
      <c r="H75" s="109">
        <f t="shared" si="25"/>
        <v>3.875968992248062E-2</v>
      </c>
      <c r="I75" s="109">
        <f t="shared" si="26"/>
        <v>7.0539419087136929E-2</v>
      </c>
      <c r="J75" s="109"/>
      <c r="K75" s="114"/>
      <c r="L75" s="65"/>
    </row>
    <row r="76" spans="1:13">
      <c r="A76" s="8" t="s">
        <v>105</v>
      </c>
      <c r="B76" s="87">
        <v>0</v>
      </c>
      <c r="C76" s="32">
        <f t="shared" si="22"/>
        <v>0</v>
      </c>
      <c r="D76" s="97">
        <v>8000</v>
      </c>
      <c r="E76" s="32">
        <f t="shared" si="23"/>
        <v>8.5170714049973922E-2</v>
      </c>
      <c r="F76" s="97">
        <v>0</v>
      </c>
      <c r="G76" s="32">
        <f t="shared" si="24"/>
        <v>0</v>
      </c>
      <c r="H76" s="109"/>
      <c r="I76" s="109"/>
      <c r="J76" s="109"/>
      <c r="K76" s="114"/>
      <c r="L76" s="65"/>
    </row>
    <row r="77" spans="1:13">
      <c r="A77" s="8" t="s">
        <v>106</v>
      </c>
      <c r="B77" s="87">
        <v>4000</v>
      </c>
      <c r="C77" s="107">
        <f t="shared" si="22"/>
        <v>4.1751038557084105E-2</v>
      </c>
      <c r="D77" s="87">
        <v>4000</v>
      </c>
      <c r="E77" s="107">
        <f t="shared" si="23"/>
        <v>4.2585357024986961E-2</v>
      </c>
      <c r="F77" s="87">
        <v>4000</v>
      </c>
      <c r="G77" s="107">
        <f t="shared" si="24"/>
        <v>4.3075597673917727E-2</v>
      </c>
      <c r="H77" s="109">
        <f t="shared" si="25"/>
        <v>0</v>
      </c>
      <c r="I77" s="109">
        <f t="shared" si="26"/>
        <v>0</v>
      </c>
      <c r="J77" s="109"/>
      <c r="K77" s="114"/>
      <c r="L77" s="65"/>
    </row>
    <row r="78" spans="1:13">
      <c r="A78" s="2" t="s">
        <v>107</v>
      </c>
      <c r="B78" s="93">
        <f>SUM(B72:B77)</f>
        <v>14058</v>
      </c>
      <c r="C78" s="32">
        <f t="shared" si="22"/>
        <v>0.14673402500887209</v>
      </c>
      <c r="D78" s="93">
        <f>SUM(D72:D77)</f>
        <v>20485</v>
      </c>
      <c r="E78" s="32">
        <f t="shared" si="23"/>
        <v>0.21809025966421447</v>
      </c>
      <c r="F78" s="93">
        <f>SUM(F72:F77)</f>
        <v>12054</v>
      </c>
      <c r="G78" s="32">
        <f t="shared" si="24"/>
        <v>0.12980831359035105</v>
      </c>
      <c r="H78" s="109">
        <f t="shared" si="25"/>
        <v>-0.313741762265072</v>
      </c>
      <c r="I78" s="109">
        <f t="shared" si="26"/>
        <v>0.69943587190973955</v>
      </c>
      <c r="J78" s="109"/>
      <c r="K78" s="114"/>
      <c r="L78" s="65"/>
    </row>
    <row r="79" spans="1:13">
      <c r="B79" s="7"/>
      <c r="C79" s="32"/>
      <c r="D79" s="7"/>
      <c r="E79" s="32"/>
      <c r="F79" s="7"/>
      <c r="G79" s="32"/>
      <c r="K79" s="114"/>
      <c r="L79" s="65"/>
    </row>
    <row r="80" spans="1:13">
      <c r="A80" s="2" t="s">
        <v>108</v>
      </c>
      <c r="B80" s="95">
        <v>49600</v>
      </c>
      <c r="C80" s="32">
        <f t="shared" si="22"/>
        <v>0.51771287810784294</v>
      </c>
      <c r="D80" s="95">
        <v>53600</v>
      </c>
      <c r="E80" s="32">
        <f t="shared" si="23"/>
        <v>0.57064378413482519</v>
      </c>
      <c r="F80" s="95">
        <v>57600</v>
      </c>
      <c r="G80" s="32">
        <f t="shared" si="24"/>
        <v>0.6202886065044152</v>
      </c>
      <c r="H80" s="109">
        <f t="shared" ref="H80" si="27">(B80-D80)/D80</f>
        <v>-7.4626865671641784E-2</v>
      </c>
      <c r="I80" s="109">
        <f t="shared" ref="I80" si="28">(D80-F80)/F80</f>
        <v>-6.9444444444444448E-2</v>
      </c>
      <c r="J80" s="109"/>
      <c r="K80" s="114"/>
      <c r="L80" s="65"/>
    </row>
    <row r="81" spans="1:12">
      <c r="A81" s="2" t="s">
        <v>109</v>
      </c>
      <c r="B81" s="95">
        <v>0</v>
      </c>
      <c r="C81" s="32"/>
      <c r="D81" s="95">
        <v>0</v>
      </c>
      <c r="E81" s="32">
        <f t="shared" si="23"/>
        <v>0</v>
      </c>
      <c r="F81" s="95">
        <v>8000</v>
      </c>
      <c r="G81" s="32">
        <f t="shared" si="24"/>
        <v>8.6151195347835455E-2</v>
      </c>
      <c r="K81" s="114"/>
      <c r="L81" s="65"/>
    </row>
    <row r="82" spans="1:12" ht="28.5" customHeight="1">
      <c r="A82" s="5" t="s">
        <v>110</v>
      </c>
      <c r="B82" s="95">
        <v>7032</v>
      </c>
      <c r="C82" s="107">
        <f t="shared" si="22"/>
        <v>7.3398325783353854E-2</v>
      </c>
      <c r="D82" s="95">
        <v>6892</v>
      </c>
      <c r="E82" s="107">
        <f t="shared" si="23"/>
        <v>7.3374570154052535E-2</v>
      </c>
      <c r="F82" s="95">
        <v>6757</v>
      </c>
      <c r="G82" s="107">
        <f t="shared" si="24"/>
        <v>7.276545337066552E-2</v>
      </c>
      <c r="H82" s="109">
        <f t="shared" ref="H82" si="29">(B82-D82)/D82</f>
        <v>2.0313406848520024E-2</v>
      </c>
      <c r="I82" s="109">
        <f t="shared" ref="I82" si="30">(D82-F82)/F82</f>
        <v>1.9979280745893148E-2</v>
      </c>
      <c r="J82" s="109"/>
      <c r="K82" s="114"/>
      <c r="L82" s="65"/>
    </row>
    <row r="83" spans="1:12">
      <c r="A83" s="2" t="s">
        <v>111</v>
      </c>
      <c r="B83" s="98">
        <f>SUM(B78:B82)</f>
        <v>70690</v>
      </c>
      <c r="C83" s="107">
        <f t="shared" si="22"/>
        <v>0.73784522890006887</v>
      </c>
      <c r="D83" s="98">
        <f>SUM(D78:D82)</f>
        <v>80977</v>
      </c>
      <c r="E83" s="107">
        <f t="shared" si="23"/>
        <v>0.86210861395309224</v>
      </c>
      <c r="F83" s="98">
        <f>SUM(F78:F82)</f>
        <v>84411</v>
      </c>
      <c r="G83" s="107">
        <f t="shared" si="24"/>
        <v>0.90901356881326734</v>
      </c>
      <c r="H83" s="109">
        <f t="shared" ref="H83" si="31">(B83-D83)/D83</f>
        <v>-0.12703607197105352</v>
      </c>
      <c r="I83" s="109">
        <f t="shared" ref="I83" si="32">(D83-F83)/F83</f>
        <v>-4.0681901647889492E-2</v>
      </c>
      <c r="J83" s="109"/>
      <c r="K83" s="114"/>
      <c r="L83" s="65"/>
    </row>
    <row r="84" spans="1:12">
      <c r="C84" s="32"/>
      <c r="E84" s="32"/>
      <c r="G84" s="32"/>
      <c r="K84" s="114"/>
      <c r="L84" s="65"/>
    </row>
    <row r="85" spans="1:12">
      <c r="A85" s="6" t="s">
        <v>112</v>
      </c>
      <c r="C85" s="32"/>
      <c r="E85" s="32"/>
      <c r="G85" s="32"/>
      <c r="K85" s="114"/>
      <c r="L85" s="65"/>
    </row>
    <row r="86" spans="1:12" ht="14.45">
      <c r="A86" s="2" t="s">
        <v>113</v>
      </c>
      <c r="B86" s="95">
        <v>11000</v>
      </c>
      <c r="C86" s="32">
        <f t="shared" si="22"/>
        <v>0.1148153560319813</v>
      </c>
      <c r="D86" s="95">
        <v>1000</v>
      </c>
      <c r="E86" s="32">
        <f t="shared" si="23"/>
        <v>1.064633925624674E-2</v>
      </c>
      <c r="F86" s="95">
        <v>1000</v>
      </c>
      <c r="G86" s="32">
        <f t="shared" si="24"/>
        <v>1.0768899418479432E-2</v>
      </c>
      <c r="H86" s="109">
        <f t="shared" ref="H86:H89" si="33">(B86-D86)/D86</f>
        <v>10</v>
      </c>
      <c r="I86" s="109">
        <f t="shared" ref="I86:I89" si="34">(D86-F86)/F86</f>
        <v>0</v>
      </c>
      <c r="J86" s="109"/>
      <c r="K86" s="114"/>
      <c r="L86" s="65"/>
    </row>
    <row r="87" spans="1:12">
      <c r="A87" s="2" t="s">
        <v>114</v>
      </c>
      <c r="B87" s="95">
        <f>B48</f>
        <v>14116</v>
      </c>
      <c r="C87" s="107">
        <f t="shared" si="22"/>
        <v>0.14733941506794981</v>
      </c>
      <c r="D87" s="95">
        <f>D48</f>
        <v>11952</v>
      </c>
      <c r="E87" s="107">
        <f t="shared" si="23"/>
        <v>0.12724504679066104</v>
      </c>
      <c r="F87" s="95">
        <f>F48</f>
        <v>7449</v>
      </c>
      <c r="G87" s="107">
        <f t="shared" si="24"/>
        <v>8.0217531768253289E-2</v>
      </c>
      <c r="H87" s="109">
        <f t="shared" si="33"/>
        <v>0.18105756358768407</v>
      </c>
      <c r="I87" s="109">
        <f t="shared" si="34"/>
        <v>0.60451067257349977</v>
      </c>
      <c r="J87" s="109"/>
      <c r="K87" s="114"/>
      <c r="L87" s="65"/>
    </row>
    <row r="88" spans="1:12">
      <c r="A88" s="2" t="s">
        <v>115</v>
      </c>
      <c r="B88" s="98">
        <f>SUM(B86:B87)</f>
        <v>25116</v>
      </c>
      <c r="C88" s="107">
        <f t="shared" si="22"/>
        <v>0.26215477109993113</v>
      </c>
      <c r="D88" s="98">
        <f>SUM(D86:D87)</f>
        <v>12952</v>
      </c>
      <c r="E88" s="107">
        <f t="shared" si="23"/>
        <v>0.13789138604690776</v>
      </c>
      <c r="F88" s="98">
        <f>SUM(F86:F87)</f>
        <v>8449</v>
      </c>
      <c r="G88" s="107">
        <f t="shared" si="24"/>
        <v>9.0986431186732719E-2</v>
      </c>
      <c r="H88" s="109">
        <f t="shared" si="33"/>
        <v>0.93915997529339101</v>
      </c>
      <c r="I88" s="109">
        <f t="shared" si="34"/>
        <v>0.53296248076695463</v>
      </c>
      <c r="J88" s="109"/>
      <c r="K88" s="114"/>
      <c r="L88" s="65"/>
    </row>
    <row r="89" spans="1:12" ht="14.45" thickBot="1">
      <c r="A89" s="2" t="s">
        <v>116</v>
      </c>
      <c r="B89" s="96">
        <f>B83+B88</f>
        <v>95806</v>
      </c>
      <c r="C89" s="108">
        <f t="shared" si="22"/>
        <v>1</v>
      </c>
      <c r="D89" s="96">
        <f>D83+D88</f>
        <v>93929</v>
      </c>
      <c r="E89" s="108">
        <f t="shared" si="23"/>
        <v>1</v>
      </c>
      <c r="F89" s="96">
        <f>F83+F88</f>
        <v>92860</v>
      </c>
      <c r="G89" s="108">
        <f t="shared" si="24"/>
        <v>1</v>
      </c>
      <c r="H89" s="109">
        <f t="shared" si="33"/>
        <v>1.9983178783975129E-2</v>
      </c>
      <c r="I89" s="109">
        <f t="shared" si="34"/>
        <v>1.1511953478354512E-2</v>
      </c>
      <c r="J89" s="109"/>
      <c r="K89" s="114"/>
      <c r="L89" s="65"/>
    </row>
    <row r="90" spans="1:12" ht="14.45" thickTop="1">
      <c r="B90" s="7"/>
      <c r="C90" s="7"/>
      <c r="D90" s="7"/>
      <c r="E90" s="7"/>
      <c r="F90" s="7"/>
      <c r="G90" s="32"/>
      <c r="K90" s="114"/>
      <c r="L90" s="65"/>
    </row>
    <row r="91" spans="1:12">
      <c r="A91" s="60"/>
      <c r="K91" s="114"/>
      <c r="L91" s="65"/>
    </row>
    <row r="92" spans="1:12">
      <c r="A92" s="63" t="s">
        <v>117</v>
      </c>
      <c r="K92" s="114"/>
      <c r="L92" s="65"/>
    </row>
    <row r="93" spans="1:12">
      <c r="A93" s="5" t="s">
        <v>118</v>
      </c>
      <c r="B93" s="87">
        <f>D96</f>
        <v>83129</v>
      </c>
      <c r="C93" s="87"/>
      <c r="D93" s="87">
        <f>F96</f>
        <v>82200</v>
      </c>
      <c r="E93" s="87"/>
      <c r="F93" s="87">
        <v>81500</v>
      </c>
      <c r="K93" s="114"/>
      <c r="L93" s="65"/>
    </row>
    <row r="94" spans="1:12" ht="15" customHeight="1">
      <c r="A94" s="5" t="s">
        <v>119</v>
      </c>
      <c r="B94" s="87">
        <v>9887</v>
      </c>
      <c r="C94" s="87"/>
      <c r="D94" s="87">
        <v>8579</v>
      </c>
      <c r="E94" s="87"/>
      <c r="F94" s="87">
        <v>8000</v>
      </c>
      <c r="K94" s="114"/>
      <c r="L94" s="65"/>
    </row>
    <row r="95" spans="1:12" ht="17.25" customHeight="1">
      <c r="A95" s="5" t="s">
        <v>27</v>
      </c>
      <c r="B95" s="87">
        <f>-B22</f>
        <v>-8710</v>
      </c>
      <c r="C95" s="87"/>
      <c r="D95" s="87">
        <f>-D22</f>
        <v>-7650</v>
      </c>
      <c r="E95" s="87"/>
      <c r="F95" s="87">
        <f>-F22</f>
        <v>-7300</v>
      </c>
      <c r="K95" s="114"/>
      <c r="L95" s="65"/>
    </row>
    <row r="96" spans="1:12" ht="18.75" customHeight="1" thickBot="1">
      <c r="A96" s="5" t="s">
        <v>120</v>
      </c>
      <c r="B96" s="92">
        <f>SUM(B93:B95)</f>
        <v>84306</v>
      </c>
      <c r="C96" s="92"/>
      <c r="D96" s="92">
        <f>SUM(D93:D95)</f>
        <v>83129</v>
      </c>
      <c r="E96" s="92"/>
      <c r="F96" s="92">
        <f>SUM(F93:F95)</f>
        <v>82200</v>
      </c>
      <c r="K96" s="114"/>
      <c r="L96" s="65"/>
    </row>
    <row r="97" spans="1:12" ht="14.45" thickTop="1">
      <c r="A97" s="5"/>
      <c r="K97" s="114"/>
      <c r="L97" s="65"/>
    </row>
    <row r="98" spans="1:12" s="60" customFormat="1" ht="15.75" customHeight="1">
      <c r="A98" s="61"/>
      <c r="K98" s="115"/>
    </row>
    <row r="99" spans="1:12">
      <c r="K99" s="114"/>
      <c r="L99" s="65"/>
    </row>
    <row r="100" spans="1:12">
      <c r="A100" s="135" t="s">
        <v>52</v>
      </c>
      <c r="B100" s="135"/>
      <c r="C100" s="135"/>
      <c r="D100" s="135"/>
      <c r="E100" s="3"/>
      <c r="F100" s="6"/>
      <c r="K100" s="114"/>
      <c r="L100" s="65"/>
    </row>
    <row r="101" spans="1:12">
      <c r="A101" s="131" t="s">
        <v>121</v>
      </c>
      <c r="B101" s="131"/>
      <c r="C101" s="131"/>
      <c r="D101" s="131"/>
      <c r="E101" s="102"/>
      <c r="F101" s="6"/>
      <c r="K101" s="114"/>
      <c r="L101" s="65"/>
    </row>
    <row r="102" spans="1:12">
      <c r="A102" s="135" t="s">
        <v>122</v>
      </c>
      <c r="B102" s="135"/>
      <c r="C102" s="135"/>
      <c r="D102" s="135"/>
      <c r="E102" s="3"/>
      <c r="F102" s="6"/>
      <c r="K102" s="114"/>
      <c r="L102" s="65"/>
    </row>
    <row r="103" spans="1:12">
      <c r="A103" s="135" t="s">
        <v>21</v>
      </c>
      <c r="B103" s="135"/>
      <c r="C103" s="135"/>
      <c r="D103" s="135"/>
      <c r="E103" s="3"/>
      <c r="F103" s="6"/>
      <c r="K103" s="114"/>
      <c r="L103" s="65"/>
    </row>
    <row r="104" spans="1:12">
      <c r="B104" s="3" t="s">
        <v>55</v>
      </c>
      <c r="C104" s="3"/>
      <c r="D104" s="3" t="s">
        <v>56</v>
      </c>
      <c r="E104" s="3"/>
      <c r="K104" s="114"/>
      <c r="L104" s="65"/>
    </row>
    <row r="105" spans="1:12">
      <c r="B105" s="104">
        <v>2020</v>
      </c>
      <c r="C105" s="104"/>
      <c r="D105" s="104">
        <v>2019</v>
      </c>
      <c r="E105" s="104"/>
      <c r="F105" s="4"/>
      <c r="K105" s="114"/>
      <c r="L105" s="65"/>
    </row>
    <row r="106" spans="1:12">
      <c r="B106" s="3" t="s">
        <v>60</v>
      </c>
      <c r="C106" s="3"/>
      <c r="D106" s="3" t="s">
        <v>60</v>
      </c>
      <c r="E106" s="3"/>
      <c r="F106" s="3"/>
      <c r="K106" s="114"/>
      <c r="L106" s="65"/>
    </row>
    <row r="107" spans="1:12">
      <c r="A107" s="2" t="s">
        <v>123</v>
      </c>
      <c r="K107" s="114"/>
      <c r="L107" s="65"/>
    </row>
    <row r="108" spans="1:12">
      <c r="A108" s="2" t="s">
        <v>36</v>
      </c>
      <c r="B108" s="87">
        <f>B34</f>
        <v>2164</v>
      </c>
      <c r="C108" s="87"/>
      <c r="D108" s="87">
        <f>D34</f>
        <v>4503</v>
      </c>
      <c r="E108" s="87"/>
      <c r="K108" s="114"/>
      <c r="L108" s="65"/>
    </row>
    <row r="109" spans="1:12">
      <c r="A109" s="48" t="s">
        <v>124</v>
      </c>
      <c r="K109" s="114"/>
      <c r="L109" s="65"/>
    </row>
    <row r="110" spans="1:12">
      <c r="A110" s="64" t="s">
        <v>27</v>
      </c>
      <c r="B110" s="87">
        <f>-B95</f>
        <v>8710</v>
      </c>
      <c r="C110" s="87"/>
      <c r="D110" s="87">
        <f>-D95</f>
        <v>7650</v>
      </c>
      <c r="E110" s="87"/>
      <c r="K110" s="114"/>
      <c r="L110" s="65"/>
    </row>
    <row r="111" spans="1:12" s="65" customFormat="1">
      <c r="A111" s="68" t="s">
        <v>125</v>
      </c>
      <c r="B111" s="94">
        <f>B23</f>
        <v>140</v>
      </c>
      <c r="C111" s="94"/>
      <c r="D111" s="94">
        <f>D23</f>
        <v>135</v>
      </c>
      <c r="E111" s="90"/>
      <c r="K111" s="114"/>
    </row>
    <row r="112" spans="1:12" s="65" customFormat="1">
      <c r="A112" s="67"/>
      <c r="B112" s="90">
        <f>SUM(B110:B111)</f>
        <v>8850</v>
      </c>
      <c r="C112" s="90"/>
      <c r="D112" s="90">
        <f>SUM(D110:D111)</f>
        <v>7785</v>
      </c>
      <c r="E112" s="90"/>
      <c r="K112" s="114"/>
    </row>
    <row r="113" spans="1:12" s="65" customFormat="1">
      <c r="A113" s="66"/>
      <c r="B113" s="48"/>
      <c r="C113" s="48"/>
      <c r="D113" s="48"/>
      <c r="E113" s="48"/>
      <c r="K113" s="114"/>
    </row>
    <row r="114" spans="1:12">
      <c r="A114" s="2" t="s">
        <v>126</v>
      </c>
      <c r="B114" s="48"/>
      <c r="C114" s="48"/>
      <c r="D114" s="48"/>
      <c r="E114" s="48"/>
      <c r="K114" s="114"/>
      <c r="L114" s="65"/>
    </row>
    <row r="115" spans="1:12">
      <c r="A115" s="64" t="s">
        <v>94</v>
      </c>
      <c r="B115" s="90">
        <f>D63-B63</f>
        <v>-900</v>
      </c>
      <c r="C115" s="90"/>
      <c r="D115" s="90">
        <f>F63-D63</f>
        <v>-410</v>
      </c>
      <c r="E115" s="90"/>
      <c r="K115" s="114"/>
      <c r="L115" s="65"/>
    </row>
    <row r="116" spans="1:12">
      <c r="A116" s="64" t="s">
        <v>95</v>
      </c>
      <c r="B116" s="90">
        <f>D64-B64</f>
        <v>-30</v>
      </c>
      <c r="C116" s="90"/>
      <c r="D116" s="90">
        <f>F64-D64</f>
        <v>-60</v>
      </c>
      <c r="E116" s="90"/>
      <c r="K116" s="114"/>
      <c r="L116" s="65"/>
    </row>
    <row r="117" spans="1:12">
      <c r="A117" s="64" t="s">
        <v>102</v>
      </c>
      <c r="B117" s="90">
        <f>B73-D73</f>
        <v>573</v>
      </c>
      <c r="C117" s="90"/>
      <c r="D117" s="90">
        <f t="shared" ref="D117:D119" si="35">D73-F73</f>
        <v>311</v>
      </c>
      <c r="E117" s="90"/>
      <c r="K117" s="114"/>
      <c r="L117" s="65"/>
    </row>
    <row r="118" spans="1:12">
      <c r="A118" s="64" t="s">
        <v>103</v>
      </c>
      <c r="B118" s="90">
        <f>B74-D74</f>
        <v>-400</v>
      </c>
      <c r="C118" s="90"/>
      <c r="D118" s="90">
        <f t="shared" si="35"/>
        <v>-50</v>
      </c>
      <c r="E118" s="90"/>
      <c r="K118" s="114"/>
      <c r="L118" s="65"/>
    </row>
    <row r="119" spans="1:12">
      <c r="A119" s="64" t="s">
        <v>104</v>
      </c>
      <c r="B119" s="94">
        <f>B75-D75</f>
        <v>100</v>
      </c>
      <c r="C119" s="94"/>
      <c r="D119" s="94">
        <f t="shared" si="35"/>
        <v>170</v>
      </c>
      <c r="E119" s="90"/>
      <c r="K119" s="114"/>
      <c r="L119" s="65"/>
    </row>
    <row r="120" spans="1:12">
      <c r="B120" s="90">
        <f>SUM(B115:B119)</f>
        <v>-657</v>
      </c>
      <c r="C120" s="90"/>
      <c r="D120" s="90">
        <f>SUM(D115:D119)</f>
        <v>-39</v>
      </c>
      <c r="E120" s="90"/>
      <c r="K120" s="114"/>
      <c r="L120" s="65"/>
    </row>
    <row r="121" spans="1:12">
      <c r="B121" s="48"/>
      <c r="C121" s="48"/>
      <c r="D121" s="48"/>
      <c r="E121" s="48"/>
      <c r="K121" s="114"/>
      <c r="L121" s="65"/>
    </row>
    <row r="122" spans="1:12">
      <c r="A122" s="2" t="s">
        <v>127</v>
      </c>
      <c r="B122" s="94">
        <f>B108+B112+B120</f>
        <v>10357</v>
      </c>
      <c r="C122" s="94"/>
      <c r="D122" s="94">
        <f>D108+D112+D120</f>
        <v>12249</v>
      </c>
      <c r="E122" s="90"/>
      <c r="F122" s="32">
        <f>(B122-D122)/D122</f>
        <v>-0.15446158870111845</v>
      </c>
      <c r="K122" s="114"/>
      <c r="L122" s="65"/>
    </row>
    <row r="123" spans="1:12">
      <c r="K123" s="114"/>
      <c r="L123" s="65"/>
    </row>
    <row r="124" spans="1:12">
      <c r="A124" s="2" t="s">
        <v>128</v>
      </c>
      <c r="K124" s="114"/>
      <c r="L124" s="65"/>
    </row>
    <row r="125" spans="1:12">
      <c r="A125" s="2" t="s">
        <v>129</v>
      </c>
      <c r="B125" s="87">
        <f>-B94</f>
        <v>-9887</v>
      </c>
      <c r="C125" s="87"/>
      <c r="D125" s="87">
        <f>-D94</f>
        <v>-8579</v>
      </c>
      <c r="E125" s="87"/>
      <c r="K125" s="114"/>
      <c r="L125" s="65"/>
    </row>
    <row r="126" spans="1:12">
      <c r="A126" s="2" t="s">
        <v>130</v>
      </c>
      <c r="B126" s="89">
        <f>B125</f>
        <v>-9887</v>
      </c>
      <c r="C126" s="89"/>
      <c r="D126" s="89">
        <f>D125</f>
        <v>-8579</v>
      </c>
      <c r="E126" s="87"/>
      <c r="F126" s="32">
        <f>(B126-D126)/D126</f>
        <v>0.15246532229863621</v>
      </c>
      <c r="K126" s="114"/>
      <c r="L126" s="65"/>
    </row>
    <row r="127" spans="1:12">
      <c r="K127" s="114"/>
      <c r="L127" s="65"/>
    </row>
    <row r="128" spans="1:12">
      <c r="A128" s="2" t="s">
        <v>131</v>
      </c>
      <c r="K128" s="114"/>
      <c r="L128" s="65"/>
    </row>
    <row r="129" spans="1:12">
      <c r="A129" s="2" t="s">
        <v>132</v>
      </c>
      <c r="B129" s="87">
        <f>-(D80-B80)</f>
        <v>-4000</v>
      </c>
      <c r="C129" s="87"/>
      <c r="D129" s="87">
        <f>-(F80-D80)</f>
        <v>-4000</v>
      </c>
      <c r="E129" s="87"/>
      <c r="K129" s="114"/>
      <c r="L129" s="65"/>
    </row>
    <row r="130" spans="1:12">
      <c r="A130" s="2" t="s">
        <v>133</v>
      </c>
      <c r="B130" s="87">
        <v>-8000</v>
      </c>
      <c r="C130" s="87"/>
      <c r="D130" s="87">
        <v>0</v>
      </c>
      <c r="E130" s="87"/>
      <c r="K130" s="114"/>
      <c r="L130" s="65"/>
    </row>
    <row r="131" spans="1:12">
      <c r="A131" s="2" t="s">
        <v>134</v>
      </c>
      <c r="B131" s="87">
        <f>B72</f>
        <v>1300</v>
      </c>
      <c r="C131" s="87"/>
      <c r="D131" s="87">
        <v>0</v>
      </c>
      <c r="E131" s="87"/>
      <c r="K131" s="114"/>
      <c r="L131" s="65"/>
    </row>
    <row r="132" spans="1:12">
      <c r="A132" s="2" t="s">
        <v>135</v>
      </c>
      <c r="B132" s="87">
        <v>10000</v>
      </c>
      <c r="C132" s="87"/>
      <c r="D132" s="87">
        <v>0</v>
      </c>
      <c r="E132" s="87"/>
      <c r="K132" s="114"/>
      <c r="L132" s="65"/>
    </row>
    <row r="133" spans="1:12">
      <c r="A133" s="2" t="s">
        <v>136</v>
      </c>
      <c r="B133" s="89">
        <f>SUM(B129:B132)</f>
        <v>-700</v>
      </c>
      <c r="C133" s="89"/>
      <c r="D133" s="89">
        <f>SUM(D129:D132)</f>
        <v>-4000</v>
      </c>
      <c r="E133" s="87"/>
      <c r="F133" s="32">
        <f>-(B133-D133)/D133</f>
        <v>0.82499999999999996</v>
      </c>
      <c r="K133" s="114"/>
      <c r="L133" s="65"/>
    </row>
    <row r="134" spans="1:12">
      <c r="K134" s="114"/>
      <c r="L134" s="65"/>
    </row>
    <row r="135" spans="1:12">
      <c r="A135" s="2" t="s">
        <v>137</v>
      </c>
      <c r="B135" s="87">
        <f>B122+B126+B133</f>
        <v>-230</v>
      </c>
      <c r="C135" s="87"/>
      <c r="D135" s="87">
        <f>D122+D126+D133</f>
        <v>-330</v>
      </c>
      <c r="E135" s="87"/>
      <c r="F135" s="32">
        <f>-(B135-D135)/D135</f>
        <v>0.30303030303030304</v>
      </c>
      <c r="K135" s="114"/>
      <c r="L135" s="65"/>
    </row>
    <row r="136" spans="1:12">
      <c r="A136" s="2" t="s">
        <v>138</v>
      </c>
      <c r="B136" s="87">
        <f>D62</f>
        <v>350</v>
      </c>
      <c r="C136" s="87"/>
      <c r="D136" s="87">
        <f>F62</f>
        <v>680</v>
      </c>
      <c r="E136" s="87"/>
      <c r="F136" s="32">
        <f>(B136-D136)/D136</f>
        <v>-0.48529411764705882</v>
      </c>
      <c r="K136" s="114"/>
      <c r="L136" s="65"/>
    </row>
    <row r="137" spans="1:12" ht="14.45" thickBot="1">
      <c r="A137" s="2" t="s">
        <v>139</v>
      </c>
      <c r="B137" s="92">
        <f>SUM(B135:B136)</f>
        <v>120</v>
      </c>
      <c r="C137" s="92"/>
      <c r="D137" s="92">
        <f>SUM(D135:D136)</f>
        <v>350</v>
      </c>
      <c r="E137" s="87"/>
      <c r="F137" s="32">
        <f>(B137-D137)/D137</f>
        <v>-0.65714285714285714</v>
      </c>
      <c r="K137" s="114"/>
      <c r="L137" s="65"/>
    </row>
    <row r="138" spans="1:12" ht="14.45" thickTop="1">
      <c r="K138" s="114"/>
      <c r="L138" s="65"/>
    </row>
  </sheetData>
  <sheetProtection selectLockedCells="1" selectUnlockedCells="1"/>
  <mergeCells count="16">
    <mergeCell ref="A53:F53"/>
    <mergeCell ref="A3:F3"/>
    <mergeCell ref="A4:F4"/>
    <mergeCell ref="A5:F5"/>
    <mergeCell ref="A6:F6"/>
    <mergeCell ref="A39:F39"/>
    <mergeCell ref="A38:F38"/>
    <mergeCell ref="A40:F40"/>
    <mergeCell ref="A41:F41"/>
    <mergeCell ref="A102:D102"/>
    <mergeCell ref="A103:D103"/>
    <mergeCell ref="A54:F54"/>
    <mergeCell ref="A55:F55"/>
    <mergeCell ref="A56:F56"/>
    <mergeCell ref="A100:D100"/>
    <mergeCell ref="A101:D101"/>
  </mergeCells>
  <pageMargins left="0.7" right="0.7" top="0.75" bottom="0.75" header="0.3" footer="0.3"/>
  <pageSetup scale="94" fitToHeight="3" orientation="portrait" horizontalDpi="4294967293" verticalDpi="4294967293" r:id="rId1"/>
  <rowBreaks count="1" manualBreakCount="1">
    <brk id="9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6B57-0169-43A9-BA0C-6FE32DB80AD9}">
  <sheetPr>
    <tabColor rgb="FFFFC000"/>
  </sheetPr>
  <dimension ref="A1:C22"/>
  <sheetViews>
    <sheetView workbookViewId="0">
      <selection activeCell="C19" sqref="C19"/>
    </sheetView>
    <sheetView workbookViewId="1">
      <selection activeCell="K25" sqref="K25"/>
    </sheetView>
  </sheetViews>
  <sheetFormatPr defaultColWidth="11.42578125" defaultRowHeight="14.45"/>
  <cols>
    <col min="3" max="3" width="77.7109375" bestFit="1" customWidth="1"/>
  </cols>
  <sheetData>
    <row r="1" spans="1:3">
      <c r="C1" s="112"/>
    </row>
    <row r="2" spans="1:3">
      <c r="A2" t="s">
        <v>140</v>
      </c>
      <c r="B2">
        <v>1</v>
      </c>
      <c r="C2" s="112" t="s">
        <v>141</v>
      </c>
    </row>
    <row r="3" spans="1:3">
      <c r="B3">
        <v>2</v>
      </c>
      <c r="C3" s="112" t="s">
        <v>142</v>
      </c>
    </row>
    <row r="4" spans="1:3">
      <c r="B4">
        <v>3</v>
      </c>
      <c r="C4" s="112" t="s">
        <v>143</v>
      </c>
    </row>
    <row r="5" spans="1:3">
      <c r="B5">
        <v>4</v>
      </c>
      <c r="C5" s="112" t="s">
        <v>144</v>
      </c>
    </row>
    <row r="6" spans="1:3">
      <c r="B6">
        <v>5</v>
      </c>
      <c r="C6" s="112" t="s">
        <v>145</v>
      </c>
    </row>
    <row r="7" spans="1:3">
      <c r="B7">
        <v>6</v>
      </c>
      <c r="C7" s="112" t="s">
        <v>146</v>
      </c>
    </row>
    <row r="8" spans="1:3">
      <c r="B8">
        <v>7</v>
      </c>
      <c r="C8" s="112" t="s">
        <v>147</v>
      </c>
    </row>
    <row r="9" spans="1:3">
      <c r="B9">
        <v>8</v>
      </c>
      <c r="C9" s="112" t="s">
        <v>148</v>
      </c>
    </row>
    <row r="10" spans="1:3">
      <c r="B10">
        <v>9</v>
      </c>
      <c r="C10" s="112" t="s">
        <v>149</v>
      </c>
    </row>
    <row r="11" spans="1:3">
      <c r="B11">
        <v>10</v>
      </c>
      <c r="C11" s="112" t="s">
        <v>150</v>
      </c>
    </row>
    <row r="13" spans="1:3">
      <c r="A13" t="s">
        <v>151</v>
      </c>
      <c r="B13">
        <v>11</v>
      </c>
      <c r="C13" s="112" t="s">
        <v>152</v>
      </c>
    </row>
    <row r="14" spans="1:3">
      <c r="B14">
        <v>12</v>
      </c>
      <c r="C14" s="112" t="s">
        <v>153</v>
      </c>
    </row>
    <row r="15" spans="1:3">
      <c r="B15">
        <v>13</v>
      </c>
      <c r="C15" s="112" t="s">
        <v>154</v>
      </c>
    </row>
    <row r="16" spans="1:3">
      <c r="B16">
        <v>14</v>
      </c>
      <c r="C16" s="112" t="s">
        <v>155</v>
      </c>
    </row>
    <row r="17" spans="2:3">
      <c r="B17">
        <v>15</v>
      </c>
      <c r="C17" s="112" t="s">
        <v>156</v>
      </c>
    </row>
    <row r="18" spans="2:3">
      <c r="B18">
        <v>16</v>
      </c>
      <c r="C18" s="112" t="s">
        <v>157</v>
      </c>
    </row>
    <row r="19" spans="2:3">
      <c r="B19">
        <v>17</v>
      </c>
      <c r="C19" s="112" t="s">
        <v>158</v>
      </c>
    </row>
    <row r="20" spans="2:3">
      <c r="B20">
        <v>18</v>
      </c>
      <c r="C20" s="112" t="s">
        <v>159</v>
      </c>
    </row>
    <row r="21" spans="2:3">
      <c r="B21">
        <v>19</v>
      </c>
      <c r="C21" s="112" t="s">
        <v>160</v>
      </c>
    </row>
    <row r="22" spans="2:3">
      <c r="B22">
        <v>20</v>
      </c>
      <c r="C22" s="112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I63"/>
  <sheetViews>
    <sheetView zoomScale="86" zoomScaleNormal="86" workbookViewId="0">
      <selection activeCell="F16" sqref="F16"/>
    </sheetView>
    <sheetView workbookViewId="1">
      <selection activeCell="I34" sqref="I34"/>
    </sheetView>
  </sheetViews>
  <sheetFormatPr defaultColWidth="9.140625" defaultRowHeight="14.1"/>
  <cols>
    <col min="1" max="1" width="48.140625" style="11" customWidth="1"/>
    <col min="2" max="4" width="17.42578125" style="11" customWidth="1"/>
    <col min="5" max="5" width="4" style="11" customWidth="1"/>
    <col min="6" max="6" width="17.42578125" style="14" customWidth="1"/>
    <col min="7" max="7" width="17.42578125" style="11" customWidth="1"/>
    <col min="8" max="16384" width="9.140625" style="11"/>
  </cols>
  <sheetData>
    <row r="1" spans="1:6">
      <c r="A1" s="31"/>
    </row>
    <row r="2" spans="1:6">
      <c r="A2" s="31"/>
    </row>
    <row r="4" spans="1:6">
      <c r="A4" s="31"/>
    </row>
    <row r="6" spans="1:6">
      <c r="A6" s="31"/>
      <c r="B6" s="131" t="s">
        <v>162</v>
      </c>
      <c r="C6" s="131"/>
      <c r="D6" s="131"/>
      <c r="E6" s="31"/>
      <c r="F6" s="41" t="s">
        <v>38</v>
      </c>
    </row>
    <row r="7" spans="1:6" ht="14.85" customHeight="1">
      <c r="B7" s="137"/>
      <c r="C7" s="137"/>
      <c r="D7" s="137"/>
      <c r="E7" s="14"/>
      <c r="F7" s="58"/>
    </row>
    <row r="8" spans="1:6" ht="14.85" customHeight="1">
      <c r="B8" s="62"/>
      <c r="C8" s="62"/>
      <c r="D8" s="62"/>
      <c r="E8" s="14"/>
    </row>
    <row r="10" spans="1:6">
      <c r="B10" s="102">
        <v>2020</v>
      </c>
      <c r="C10" s="102">
        <v>2019</v>
      </c>
      <c r="D10" s="102">
        <v>2018</v>
      </c>
      <c r="F10" s="41" t="s">
        <v>163</v>
      </c>
    </row>
    <row r="11" spans="1:6">
      <c r="A11" s="11" t="s">
        <v>40</v>
      </c>
      <c r="B11" s="12"/>
    </row>
    <row r="12" spans="1:6">
      <c r="A12" s="2" t="s">
        <v>41</v>
      </c>
      <c r="B12" s="81">
        <f>'États financiers - Analyse'!B19/'États financiers - Analyse'!B16</f>
        <v>0.16921182266009852</v>
      </c>
      <c r="C12" s="81">
        <f>'États financiers - Analyse'!D19/'États financiers - Analyse'!D16</f>
        <v>0.15108359133126936</v>
      </c>
      <c r="D12" s="81">
        <f>'États financiers - Analyse'!F19/'États financiers - Analyse'!F16</f>
        <v>0.14511906246103978</v>
      </c>
      <c r="E12" s="51"/>
      <c r="F12" s="81">
        <f>'ANN IV – Données réf. sector.'!D8</f>
        <v>0.16600000000000001</v>
      </c>
    </row>
    <row r="13" spans="1:6">
      <c r="A13" s="2" t="s">
        <v>42</v>
      </c>
      <c r="B13" s="81">
        <f>'États financiers - Analyse'!B21/'États financiers - Analyse'!B16</f>
        <v>0.24285714285714285</v>
      </c>
      <c r="C13" s="81">
        <f>'États financiers - Analyse'!D21/'États financiers - Analyse'!D16</f>
        <v>0.24396284829721362</v>
      </c>
      <c r="D13" s="81">
        <f>'États financiers - Analyse'!F21/'États financiers - Analyse'!F16</f>
        <v>0.24560528612392471</v>
      </c>
      <c r="E13" s="51"/>
      <c r="F13" s="81">
        <f>'ANN IV – Données réf. sector.'!D9</f>
        <v>0.22</v>
      </c>
    </row>
    <row r="14" spans="1:6">
      <c r="A14" s="2" t="s">
        <v>27</v>
      </c>
      <c r="B14" s="81">
        <f>'États financiers - Analyse'!B22/'États financiers - Analyse'!B16</f>
        <v>0.10726600985221675</v>
      </c>
      <c r="C14" s="81">
        <f>'États financiers - Analyse'!D22/'États financiers - Analyse'!D16</f>
        <v>9.4736842105263161E-2</v>
      </c>
      <c r="D14" s="81">
        <f>'États financiers - Analyse'!F22/'États financiers - Analyse'!F16</f>
        <v>9.1011095873332504E-2</v>
      </c>
      <c r="E14" s="51"/>
      <c r="F14" s="81">
        <f>'ANN IV – Données réf. sector.'!D10</f>
        <v>7.1999999999999995E-2</v>
      </c>
    </row>
    <row r="15" spans="1:6">
      <c r="A15" s="2" t="s">
        <v>28</v>
      </c>
      <c r="B15" s="81">
        <f>'États financiers - Analyse'!B24/'États financiers - Analyse'!B16</f>
        <v>0.24337438423645319</v>
      </c>
      <c r="C15" s="81">
        <f>'États financiers - Analyse'!D24/'États financiers - Analyse'!D16</f>
        <v>0.22891640866873064</v>
      </c>
      <c r="D15" s="81">
        <f>'États financiers - Analyse'!F24/'États financiers - Analyse'!F16</f>
        <v>0.22116943024560529</v>
      </c>
      <c r="E15" s="51"/>
      <c r="F15" s="81">
        <f>'ANN IV – Données réf. sector.'!D11</f>
        <v>0.26200000000000001</v>
      </c>
    </row>
    <row r="16" spans="1:6">
      <c r="A16" s="2" t="s">
        <v>29</v>
      </c>
      <c r="B16" s="81">
        <f>'États financiers - Analyse'!B25/'États financiers - Analyse'!B16</f>
        <v>0.10221674876847291</v>
      </c>
      <c r="C16" s="81">
        <f>'États financiers - Analyse'!D25/'États financiers - Analyse'!D16</f>
        <v>9.9690402476780182E-2</v>
      </c>
      <c r="D16" s="81">
        <f>'États financiers - Analyse'!F25/'États financiers - Analyse'!F16</f>
        <v>9.8740805385862107E-2</v>
      </c>
      <c r="E16" s="51"/>
      <c r="F16" s="81">
        <f>'ANN IV – Données réf. sector.'!D12</f>
        <v>0.1</v>
      </c>
    </row>
    <row r="17" spans="1:9">
      <c r="A17" s="2"/>
      <c r="B17" s="81"/>
      <c r="C17" s="81"/>
      <c r="D17" s="81"/>
      <c r="E17" s="16"/>
      <c r="F17" s="81"/>
    </row>
    <row r="18" spans="1:9">
      <c r="A18" s="9" t="s">
        <v>43</v>
      </c>
      <c r="B18" s="81">
        <f>('États financiers - Analyse'!B28+'États financiers - Analyse'!B23)/'États financiers - Analyse'!B16</f>
        <v>8.2118226600985222E-2</v>
      </c>
      <c r="C18" s="86">
        <f>('États financiers - Analyse'!D28+'États financiers - Analyse'!D23)/'États financiers - Analyse'!D16</f>
        <v>0.13083591331269351</v>
      </c>
      <c r="D18" s="86">
        <f>('États financiers - Analyse'!F28+'États financiers - Analyse'!F23)/'États financiers - Analyse'!F16</f>
        <v>0.14848522628101235</v>
      </c>
      <c r="E18" s="51"/>
      <c r="F18" s="81">
        <f>'ANN IV – Données réf. sector.'!D14</f>
        <v>0.1</v>
      </c>
    </row>
    <row r="19" spans="1:9">
      <c r="A19" s="9" t="s">
        <v>44</v>
      </c>
      <c r="B19" s="81">
        <f>'États financiers - Analyse'!B34/'États financiers - Analyse'!B68</f>
        <v>2.2587311859382501E-2</v>
      </c>
      <c r="C19" s="81">
        <f>'États financiers - Analyse'!D34/'États financiers - Analyse'!D68</f>
        <v>4.7940465670879069E-2</v>
      </c>
      <c r="D19" s="81">
        <f>'États financiers - Analyse'!F34/'États financiers - Analyse'!F68</f>
        <v>5.7193624811544261E-2</v>
      </c>
      <c r="E19" s="51"/>
      <c r="F19" s="81">
        <f>'ANN IV – Données réf. sector.'!D15</f>
        <v>0.09</v>
      </c>
    </row>
    <row r="20" spans="1:9">
      <c r="A20" s="53" t="s">
        <v>45</v>
      </c>
      <c r="B20" s="81">
        <f>'États financiers - Analyse'!B34/'États financiers - Analyse'!B88</f>
        <v>8.61602165949992E-2</v>
      </c>
      <c r="C20" s="86">
        <f>'États financiers - Analyse'!D34/'États financiers - Analyse'!D88</f>
        <v>0.34766831377393453</v>
      </c>
      <c r="D20" s="86">
        <f>'États financiers - Analyse'!F34/'États financiers - Analyse'!F88</f>
        <v>0.62859510001183572</v>
      </c>
      <c r="E20" s="54"/>
      <c r="F20" s="81">
        <f>'ANN IV – Données réf. sector.'!D16</f>
        <v>0.08</v>
      </c>
    </row>
    <row r="21" spans="1:9">
      <c r="A21" s="9"/>
      <c r="B21" s="36"/>
      <c r="C21" s="36"/>
      <c r="D21" s="36"/>
      <c r="E21" s="16"/>
      <c r="F21" s="37"/>
    </row>
    <row r="22" spans="1:9">
      <c r="A22" s="11" t="s">
        <v>46</v>
      </c>
      <c r="B22" s="42">
        <f>'États financiers - Analyse'!B65/'États financiers - Analyse'!B78</f>
        <v>0.81803955043391663</v>
      </c>
      <c r="C22" s="42">
        <f>'États financiers - Analyse'!D65/'États financiers - Analyse'!D78</f>
        <v>0.52721503539175008</v>
      </c>
      <c r="D22" s="42">
        <f>'États financiers - Analyse'!F65/'États financiers - Analyse'!F78</f>
        <v>0.88435374149659862</v>
      </c>
      <c r="E22" s="43"/>
      <c r="F22" s="43">
        <f>'ANN IV – Données réf. sector.'!D18</f>
        <v>1.5</v>
      </c>
    </row>
    <row r="23" spans="1:9">
      <c r="A23" s="11" t="s">
        <v>47</v>
      </c>
      <c r="B23" s="42">
        <f>'États financiers - Analyse'!B63/'États financiers - Analyse'!B16*365</f>
        <v>45.400246305418719</v>
      </c>
      <c r="C23" s="43">
        <f>'États financiers - Analyse'!D63/'États financiers - Analyse'!D16*365</f>
        <v>41.585139318885446</v>
      </c>
      <c r="D23" s="43">
        <f>'États financiers - Analyse'!F63/'États financiers - Analyse'!F16*365</f>
        <v>39.999376636329636</v>
      </c>
      <c r="E23" s="43"/>
      <c r="F23" s="43">
        <f>'ANN IV – Données réf. sector.'!D19</f>
        <v>45</v>
      </c>
      <c r="H23" s="45"/>
      <c r="I23" s="45"/>
    </row>
    <row r="24" spans="1:9">
      <c r="A24" s="11" t="s">
        <v>49</v>
      </c>
      <c r="B24" s="42">
        <f>('États financiers - Analyse'!B80+'États financiers - Analyse'!B81+'États financiers - Analyse'!B82)/('États financiers - Analyse'!B28+'États financiers - Analyse'!B22+'États financiers - Analyse'!B23)</f>
        <v>3.6826635453244894</v>
      </c>
      <c r="C24" s="43">
        <f>('États financiers - Analyse'!D80+'États financiers - Analyse'!D81+'États financiers - Analyse'!D82)/('États financiers - Analyse'!D28+'États financiers - Analyse'!D22+'États financiers - Analyse'!D23)</f>
        <v>3.3209991765028821</v>
      </c>
      <c r="D24" s="43">
        <f>('États financiers - Analyse'!F80+'États financiers - Analyse'!F81+'États financiers - Analyse'!F82)/('États financiers - Analyse'!F28+'États financiers - Analyse'!F22+'États financiers - Analyse'!F23)</f>
        <v>3.7666319625195213</v>
      </c>
      <c r="E24" s="43"/>
      <c r="F24" s="43">
        <f>'ANN IV – Données réf. sector.'!D21</f>
        <v>3.1</v>
      </c>
    </row>
    <row r="26" spans="1:9">
      <c r="B26" s="43"/>
      <c r="C26" s="43"/>
      <c r="D26" s="43"/>
      <c r="E26" s="43"/>
      <c r="F26" s="43"/>
    </row>
    <row r="27" spans="1:9">
      <c r="A27" s="31" t="s">
        <v>164</v>
      </c>
      <c r="B27" s="43"/>
      <c r="C27" s="43"/>
      <c r="D27" s="43"/>
      <c r="E27" s="43"/>
      <c r="F27" s="43"/>
      <c r="G27" s="31" t="s">
        <v>165</v>
      </c>
    </row>
    <row r="28" spans="1:9" s="9" customFormat="1" ht="16.5" customHeight="1">
      <c r="A28" s="9" t="s">
        <v>166</v>
      </c>
      <c r="B28" s="84">
        <f>('États financiers - Analyse'!B28+'États financiers - Analyse'!B23)/-('États financiers - Analyse'!B29+'États financiers - Analyse'!B30+'États financiers - Analyse'!B31-'États financiers - Analyse'!B23)</f>
        <v>1.7905477980665951</v>
      </c>
      <c r="C28" s="84">
        <f>('États financiers - Analyse'!D28+'États financiers - Analyse'!D23)/-('États financiers - Analyse'!D29+'États financiers - Analyse'!D30+'États financiers - Analyse'!D31-'États financiers - Analyse'!D23)</f>
        <v>2.3800405496733497</v>
      </c>
      <c r="D28" s="84">
        <f>('États financiers - Analyse'!F28+'États financiers - Analyse'!F23)/-('États financiers - Analyse'!F29+'États financiers - Analyse'!F30+'États financiers - Analyse'!F31-'États financiers - Analyse'!F23)</f>
        <v>2.5426985482493594</v>
      </c>
      <c r="E28" s="84"/>
      <c r="F28" s="84"/>
      <c r="G28" s="124" t="s">
        <v>167</v>
      </c>
    </row>
    <row r="29" spans="1:9">
      <c r="A29" s="53" t="s">
        <v>48</v>
      </c>
      <c r="B29" s="43">
        <f>'États financiers - Analyse'!B83/'États financiers - Analyse'!B88</f>
        <v>2.8145405319318364</v>
      </c>
      <c r="C29" s="43">
        <f>'États financiers - Analyse'!D83/'États financiers - Analyse'!D88</f>
        <v>6.2520846201358866</v>
      </c>
      <c r="D29" s="43">
        <f>'États financiers - Analyse'!F83/'États financiers - Analyse'!F88</f>
        <v>9.9906497810391759</v>
      </c>
      <c r="E29" s="43"/>
      <c r="F29" s="43">
        <f>'ANN IV – Données réf. sector.'!D20</f>
        <v>2.6</v>
      </c>
      <c r="G29" s="125" t="s">
        <v>168</v>
      </c>
    </row>
    <row r="30" spans="1:9">
      <c r="B30" s="70"/>
    </row>
    <row r="31" spans="1:9" ht="15" customHeight="1">
      <c r="A31" s="132" t="s">
        <v>169</v>
      </c>
      <c r="B31" s="132"/>
      <c r="C31" s="132"/>
      <c r="D31" s="132"/>
      <c r="E31" s="132"/>
      <c r="F31" s="132"/>
    </row>
    <row r="32" spans="1:9" ht="15" customHeight="1">
      <c r="A32" s="41"/>
      <c r="B32" s="14"/>
      <c r="C32" s="41"/>
      <c r="D32" s="41"/>
      <c r="E32" s="41"/>
      <c r="F32" s="41"/>
    </row>
    <row r="33" spans="1:8">
      <c r="B33" s="59" t="s">
        <v>170</v>
      </c>
      <c r="F33" s="41" t="s">
        <v>163</v>
      </c>
    </row>
    <row r="34" spans="1:8">
      <c r="A34" s="11" t="s">
        <v>40</v>
      </c>
    </row>
    <row r="35" spans="1:8">
      <c r="A35" s="2" t="s">
        <v>41</v>
      </c>
      <c r="B35" s="81">
        <f>'ANN III – Info sectorielle'!F9/'ANN III – Info sectorielle'!F6</f>
        <v>0.23287671232876711</v>
      </c>
      <c r="C35" s="51"/>
      <c r="D35" s="51"/>
      <c r="E35" s="51"/>
      <c r="F35" s="81">
        <f>'ANN IV – Données réf. sector.'!D26</f>
        <v>0.21199999999999999</v>
      </c>
    </row>
    <row r="36" spans="1:8">
      <c r="A36" s="2" t="s">
        <v>51</v>
      </c>
      <c r="B36" s="81">
        <f>'ANN III – Info sectorielle'!F10/'ANN III – Info sectorielle'!F6</f>
        <v>0.58904109589041098</v>
      </c>
      <c r="C36" s="51"/>
      <c r="D36" s="51"/>
      <c r="E36" s="51"/>
      <c r="F36" s="81">
        <f>'ANN IV – Données réf. sector.'!D27</f>
        <v>0.54100000000000004</v>
      </c>
    </row>
    <row r="37" spans="1:8">
      <c r="A37" s="2" t="s">
        <v>27</v>
      </c>
      <c r="B37" s="81">
        <f>'ANN III – Info sectorielle'!F12/'ANN III – Info sectorielle'!F6</f>
        <v>0.05</v>
      </c>
      <c r="C37" s="51"/>
      <c r="D37" s="51"/>
      <c r="E37" s="51"/>
      <c r="F37" s="81">
        <f>'ANN IV – Données réf. sector.'!D28</f>
        <v>5.8999999999999997E-2</v>
      </c>
    </row>
    <row r="38" spans="1:8">
      <c r="A38" s="2" t="s">
        <v>28</v>
      </c>
      <c r="B38" s="81">
        <f>('ANN III – Info sectorielle'!F11+'ANN III – Info sectorielle'!F13)/'ANN III – Info sectorielle'!F6</f>
        <v>0.11164383561643836</v>
      </c>
      <c r="C38" s="51"/>
      <c r="D38" s="51"/>
      <c r="E38" s="51"/>
      <c r="F38" s="81">
        <f>'ANN IV – Données réf. sector.'!D29</f>
        <v>0.125</v>
      </c>
    </row>
    <row r="39" spans="1:8">
      <c r="A39" s="2"/>
      <c r="B39" s="81"/>
      <c r="C39" s="51"/>
      <c r="D39" s="51"/>
      <c r="E39" s="51"/>
      <c r="F39" s="81"/>
    </row>
    <row r="40" spans="1:8">
      <c r="A40" s="57" t="s">
        <v>43</v>
      </c>
      <c r="B40" s="81">
        <f>'ANN III – Info sectorielle'!F16/'ANN III – Info sectorielle'!F6</f>
        <v>1.643835616438356E-2</v>
      </c>
      <c r="C40" s="51"/>
      <c r="D40" s="51"/>
      <c r="E40" s="51"/>
      <c r="F40" s="81">
        <f>'ANN IV – Données réf. sector.'!D31</f>
        <v>4.2999999999999997E-2</v>
      </c>
    </row>
    <row r="41" spans="1:8">
      <c r="A41" s="38"/>
      <c r="B41" s="36"/>
      <c r="C41" s="51"/>
      <c r="D41" s="51"/>
      <c r="E41" s="51"/>
      <c r="F41" s="36"/>
    </row>
    <row r="42" spans="1:8">
      <c r="A42" s="38"/>
      <c r="B42" s="36"/>
      <c r="C42" s="51"/>
      <c r="D42" s="51"/>
      <c r="E42" s="51"/>
      <c r="F42" s="36"/>
    </row>
    <row r="43" spans="1:8">
      <c r="F43" s="15"/>
    </row>
    <row r="44" spans="1:8" ht="15" customHeight="1">
      <c r="A44" s="31" t="s">
        <v>171</v>
      </c>
      <c r="F44" s="132" t="s">
        <v>172</v>
      </c>
      <c r="G44" s="132"/>
      <c r="H44" s="31" t="s">
        <v>163</v>
      </c>
    </row>
    <row r="45" spans="1:8">
      <c r="B45" s="102">
        <v>2020</v>
      </c>
      <c r="C45" s="102">
        <v>2019</v>
      </c>
      <c r="D45" s="102">
        <v>2018</v>
      </c>
      <c r="E45" s="53"/>
      <c r="F45" s="102">
        <v>2020</v>
      </c>
      <c r="G45" s="102">
        <v>2019</v>
      </c>
    </row>
    <row r="46" spans="1:8">
      <c r="B46" s="130" t="s">
        <v>21</v>
      </c>
      <c r="C46" s="130"/>
      <c r="D46" s="130"/>
    </row>
    <row r="47" spans="1:8">
      <c r="A47" s="11" t="s">
        <v>16</v>
      </c>
      <c r="B47" s="100">
        <f>'États financiers - Analyse'!B12</f>
        <v>48400</v>
      </c>
      <c r="C47" s="100">
        <f>'États financiers - Analyse'!D12</f>
        <v>47500</v>
      </c>
      <c r="D47" s="100">
        <f>'États financiers - Analyse'!F12</f>
        <v>46700</v>
      </c>
      <c r="E47" s="16"/>
      <c r="F47" s="81">
        <f>(B47-C47)/C47</f>
        <v>1.8947368421052633E-2</v>
      </c>
      <c r="G47" s="81">
        <f>(C47-D47)/D47</f>
        <v>1.7130620985010708E-2</v>
      </c>
      <c r="H47" s="110">
        <v>0.02</v>
      </c>
    </row>
    <row r="48" spans="1:8">
      <c r="A48" s="11" t="s">
        <v>17</v>
      </c>
      <c r="B48" s="100">
        <f>'États financiers - Analyse'!B13</f>
        <v>8200</v>
      </c>
      <c r="C48" s="100">
        <f>'États financiers - Analyse'!D13</f>
        <v>8050</v>
      </c>
      <c r="D48" s="100">
        <f>'États financiers - Analyse'!F13</f>
        <v>7910</v>
      </c>
      <c r="E48" s="16"/>
      <c r="F48" s="81">
        <f t="shared" ref="F48:G51" si="0">(B48-C48)/C48</f>
        <v>1.8633540372670808E-2</v>
      </c>
      <c r="G48" s="81">
        <f t="shared" si="0"/>
        <v>1.7699115044247787E-2</v>
      </c>
      <c r="H48" s="110">
        <v>0.02</v>
      </c>
    </row>
    <row r="49" spans="1:8">
      <c r="A49" s="11" t="s">
        <v>18</v>
      </c>
      <c r="B49" s="100">
        <f>'États financiers - Analyse'!B14</f>
        <v>17300</v>
      </c>
      <c r="C49" s="100">
        <f>'États financiers - Analyse'!D14</f>
        <v>16700</v>
      </c>
      <c r="D49" s="100">
        <f>'États financiers - Analyse'!F14</f>
        <v>16400</v>
      </c>
      <c r="E49" s="16"/>
      <c r="F49" s="81">
        <f t="shared" si="0"/>
        <v>3.5928143712574849E-2</v>
      </c>
      <c r="G49" s="81">
        <f t="shared" si="0"/>
        <v>1.8292682926829267E-2</v>
      </c>
      <c r="H49" s="110">
        <v>0.02</v>
      </c>
    </row>
    <row r="50" spans="1:8">
      <c r="A50" s="11" t="s">
        <v>19</v>
      </c>
      <c r="B50" s="101">
        <f>'États financiers - Analyse'!B15</f>
        <v>7300</v>
      </c>
      <c r="C50" s="101">
        <f>'États financiers - Analyse'!D15</f>
        <v>8500</v>
      </c>
      <c r="D50" s="101">
        <f>'États financiers - Analyse'!F15</f>
        <v>9200</v>
      </c>
      <c r="E50" s="16"/>
      <c r="F50" s="81">
        <f t="shared" si="0"/>
        <v>-0.14117647058823529</v>
      </c>
      <c r="G50" s="81">
        <f t="shared" si="0"/>
        <v>-7.6086956521739135E-2</v>
      </c>
      <c r="H50" s="110">
        <v>-0.02</v>
      </c>
    </row>
    <row r="51" spans="1:8">
      <c r="A51" s="11" t="s">
        <v>13</v>
      </c>
      <c r="B51" s="100">
        <f>SUM(B47:B50)</f>
        <v>81200</v>
      </c>
      <c r="C51" s="100">
        <f>SUM(C47:C50)</f>
        <v>80750</v>
      </c>
      <c r="D51" s="100">
        <f>SUM(D47:D50)</f>
        <v>80210</v>
      </c>
      <c r="E51" s="16"/>
      <c r="F51" s="81">
        <f t="shared" si="0"/>
        <v>5.5727554179566567E-3</v>
      </c>
      <c r="G51" s="81">
        <f t="shared" si="0"/>
        <v>6.7323276399451444E-3</v>
      </c>
      <c r="H51" s="110"/>
    </row>
    <row r="54" spans="1:8" ht="42">
      <c r="B54" s="44" t="s">
        <v>173</v>
      </c>
      <c r="C54" s="44" t="s">
        <v>174</v>
      </c>
      <c r="F54" s="11"/>
    </row>
    <row r="55" spans="1:8" ht="27.95" customHeight="1">
      <c r="B55" s="85" t="s">
        <v>21</v>
      </c>
      <c r="C55" s="14"/>
      <c r="F55" s="11"/>
    </row>
    <row r="56" spans="1:8">
      <c r="B56" s="14"/>
      <c r="C56" s="14"/>
      <c r="F56" s="11"/>
    </row>
    <row r="57" spans="1:8">
      <c r="A57" s="11" t="s">
        <v>16</v>
      </c>
      <c r="B57" s="100">
        <f>'ANN III – Info sectorielle'!C9</f>
        <v>8670</v>
      </c>
      <c r="C57" s="81">
        <f>B57/'ANN III – Info sectorielle'!C6</f>
        <v>0.17913223140495868</v>
      </c>
      <c r="D57" s="13"/>
      <c r="F57" s="11"/>
    </row>
    <row r="58" spans="1:8">
      <c r="A58" s="11" t="s">
        <v>175</v>
      </c>
      <c r="B58" s="100">
        <f>'ANN III – Info sectorielle'!D9</f>
        <v>1270</v>
      </c>
      <c r="C58" s="81">
        <f>B58/'ANN III – Info sectorielle'!D6</f>
        <v>0.1548780487804878</v>
      </c>
      <c r="D58" s="13"/>
      <c r="F58" s="11"/>
    </row>
    <row r="59" spans="1:8">
      <c r="A59" s="11" t="s">
        <v>18</v>
      </c>
      <c r="B59" s="100">
        <f>'ANN III – Info sectorielle'!E9</f>
        <v>2100</v>
      </c>
      <c r="C59" s="81">
        <f>B59/'ANN III – Info sectorielle'!E6</f>
        <v>0.12138728323699421</v>
      </c>
      <c r="D59" s="13"/>
      <c r="F59" s="11"/>
    </row>
    <row r="60" spans="1:8">
      <c r="A60" s="11" t="s">
        <v>19</v>
      </c>
      <c r="B60" s="100">
        <f>'ANN III – Info sectorielle'!F9</f>
        <v>1700</v>
      </c>
      <c r="C60" s="81">
        <f>B60/'ANN III – Info sectorielle'!F6</f>
        <v>0.23287671232876711</v>
      </c>
      <c r="D60" s="13"/>
      <c r="F60" s="11"/>
    </row>
    <row r="61" spans="1:8" ht="14.45">
      <c r="A61"/>
      <c r="B61"/>
      <c r="C61"/>
      <c r="F61" s="11"/>
    </row>
    <row r="62" spans="1:8">
      <c r="F62" s="11"/>
    </row>
    <row r="63" spans="1:8" ht="29.45" customHeight="1">
      <c r="A63" s="134"/>
      <c r="B63" s="134"/>
      <c r="C63" s="134"/>
      <c r="D63" s="134"/>
      <c r="E63" s="134"/>
      <c r="F63" s="134"/>
      <c r="G63" s="134"/>
      <c r="H63" s="134"/>
    </row>
  </sheetData>
  <mergeCells count="6">
    <mergeCell ref="A63:H63"/>
    <mergeCell ref="F44:G44"/>
    <mergeCell ref="A31:F31"/>
    <mergeCell ref="B6:D6"/>
    <mergeCell ref="B46:D46"/>
    <mergeCell ref="B7:D7"/>
  </mergeCells>
  <conditionalFormatting sqref="B12:B16">
    <cfRule type="cellIs" dxfId="2" priority="3" operator="lessThan">
      <formula>$F$12</formula>
    </cfRule>
  </conditionalFormatting>
  <conditionalFormatting sqref="B18:B20">
    <cfRule type="cellIs" dxfId="1" priority="2" operator="lessThan">
      <formula>$F$12</formula>
    </cfRule>
  </conditionalFormatting>
  <conditionalFormatting sqref="B22:B24">
    <cfRule type="cellIs" dxfId="0" priority="1" operator="lessThan">
      <formula>$F$22</formula>
    </cfRule>
  </conditionalFormatting>
  <pageMargins left="0.7" right="0.7" top="0.75" bottom="0.75" header="0.3" footer="0.3"/>
  <pageSetup scale="60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B283919F7A04E9CDC443BFD166F77" ma:contentTypeVersion="4" ma:contentTypeDescription="Create a new document." ma:contentTypeScope="" ma:versionID="12ec5126627feb4d615406ac977e398d">
  <xsd:schema xmlns:xsd="http://www.w3.org/2001/XMLSchema" xmlns:xs="http://www.w3.org/2001/XMLSchema" xmlns:p="http://schemas.microsoft.com/office/2006/metadata/properties" xmlns:ns2="5674f0a4-3645-4119-81c3-d28b34f876e3" targetNamespace="http://schemas.microsoft.com/office/2006/metadata/properties" ma:root="true" ma:fieldsID="2766d383dfafd6154fd78088492871af" ns2:_="">
    <xsd:import namespace="5674f0a4-3645-4119-81c3-d28b34f87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4f0a4-3645-4119-81c3-d28b34f87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59C7CD-18B2-436D-88DF-997B3FE8988A}"/>
</file>

<file path=customXml/itemProps2.xml><?xml version="1.0" encoding="utf-8"?>
<ds:datastoreItem xmlns:ds="http://schemas.openxmlformats.org/officeDocument/2006/customXml" ds:itemID="{0696CA53-5938-4E39-802A-C1EED6772A98}"/>
</file>

<file path=customXml/itemProps3.xml><?xml version="1.0" encoding="utf-8"?>
<ds:datastoreItem xmlns:ds="http://schemas.openxmlformats.org/officeDocument/2006/customXml" ds:itemID="{92CBCE09-5B6C-4877-8AB3-422C520DA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Amine Berrejeb</cp:lastModifiedBy>
  <cp:revision/>
  <dcterms:created xsi:type="dcterms:W3CDTF">2022-09-02T18:05:15Z</dcterms:created>
  <dcterms:modified xsi:type="dcterms:W3CDTF">2025-01-27T01:15:33Z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0x010100DF4B283919F7A04E9CDC443BFD166F77</vt:lpwstr>
  </property>
  <property fmtid="{D5CDD505-2E9C-101B-9397-08002B2CF9AE}" pid="3" name="TitusGUID">
    <vt:lpwstr>56532f6b-8e59-4027-a0e5-77933acdb3f5</vt:lpwstr>
  </property>
  <property fmtid="{D5CDD505-2E9C-101B-9397-08002B2CF9AE}" pid="4" name="RCGTRp">
    <vt:lpwstr>RCGTRp_0</vt:lpwstr>
  </property>
  <property fmtid="{D5CDD505-2E9C-101B-9397-08002B2CF9AE}" pid="5" name="RCGTClass">
    <vt:lpwstr>RCGTClass_I</vt:lpwstr>
  </property>
</Properties>
</file>