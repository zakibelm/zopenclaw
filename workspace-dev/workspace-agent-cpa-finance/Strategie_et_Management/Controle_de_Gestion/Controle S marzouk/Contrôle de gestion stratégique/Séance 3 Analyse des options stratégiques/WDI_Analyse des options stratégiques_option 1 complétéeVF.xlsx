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defaultThemeVersion="166925"/>
  <mc:AlternateContent xmlns:mc="http://schemas.openxmlformats.org/markup-compatibility/2006">
    <mc:Choice Requires="x15">
      <x15ac:absPath xmlns:x15ac="http://schemas.microsoft.com/office/spreadsheetml/2010/11/ac" url="https://hecmtl.sharepoint.com/sites/O365-H25_B0240937/Shared Documents/General/Séance 03/"/>
    </mc:Choice>
  </mc:AlternateContent>
  <xr:revisionPtr revIDLastSave="47" documentId="8_{FFF3BF4E-296B-47CB-A052-BBD798402F2E}" xr6:coauthVersionLast="47" xr6:coauthVersionMax="47" xr10:uidLastSave="{E0BB0F9C-AA7D-4862-8788-C0139393A937}"/>
  <bookViews>
    <workbookView xWindow="-108" yWindow="-108" windowWidth="23256" windowHeight="14016" xr2:uid="{C5293DB0-ADD1-44FE-8DAA-6CF8B6473660}"/>
  </bookViews>
  <sheets>
    <sheet name="PPP-Déchets organiques" sheetId="8" r:id="rId1"/>
    <sheet name="Services conseils_x0009_" sheetId="2" r:id="rId2"/>
    <sheet name="Recyclage-MCV" sheetId="5" r:id="rId3"/>
    <sheet name="Recyclage - Rentabilité" sheetId="6" r:id="rId4"/>
    <sheet name="Recyclage - VAN" sheetId="7" r:id="rId5"/>
    <sheet name="Pristine Patrimoniale" sheetId="4" r:id="rId6"/>
    <sheet name="Pristine - capitalisation " sheetId="3"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8" l="1"/>
  <c r="D54" i="8"/>
  <c r="E63" i="8"/>
  <c r="E69" i="8"/>
  <c r="E64" i="8"/>
  <c r="E61" i="8"/>
  <c r="D55" i="8"/>
  <c r="D51" i="8"/>
  <c r="D52" i="8"/>
  <c r="AH47" i="8"/>
  <c r="D19" i="8"/>
  <c r="E41" i="8"/>
  <c r="F26" i="8"/>
  <c r="F10" i="8"/>
  <c r="L28" i="8"/>
  <c r="G10" i="8"/>
  <c r="G11" i="8" s="1"/>
  <c r="F11" i="8"/>
  <c r="E26" i="8"/>
  <c r="F30" i="8" l="1"/>
  <c r="E11" i="8"/>
  <c r="M33" i="4"/>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36" i="8"/>
  <c r="G36" i="8" s="1"/>
  <c r="H36" i="8" s="1"/>
  <c r="I36" i="8" s="1"/>
  <c r="J36" i="8" s="1"/>
  <c r="K36" i="8" s="1"/>
  <c r="L36" i="8" s="1"/>
  <c r="M36" i="8" s="1"/>
  <c r="N36" i="8" s="1"/>
  <c r="O36" i="8" s="1"/>
  <c r="P36" i="8" s="1"/>
  <c r="Q36" i="8" s="1"/>
  <c r="R36" i="8" s="1"/>
  <c r="S36" i="8" s="1"/>
  <c r="T36" i="8" s="1"/>
  <c r="U36" i="8" s="1"/>
  <c r="V36" i="8" s="1"/>
  <c r="W36" i="8" s="1"/>
  <c r="X36" i="8" s="1"/>
  <c r="Y36" i="8" s="1"/>
  <c r="Z36" i="8" s="1"/>
  <c r="AA36" i="8" s="1"/>
  <c r="AB36" i="8" s="1"/>
  <c r="AC36" i="8" s="1"/>
  <c r="AD36" i="8" s="1"/>
  <c r="AE36" i="8" s="1"/>
  <c r="AF36" i="8" s="1"/>
  <c r="AG36" i="8" s="1"/>
  <c r="AH36" i="8" s="1"/>
  <c r="F35" i="8"/>
  <c r="G35" i="8" s="1"/>
  <c r="H35" i="8" s="1"/>
  <c r="I35" i="8" s="1"/>
  <c r="J35" i="8" s="1"/>
  <c r="K35" i="8" s="1"/>
  <c r="L35" i="8" s="1"/>
  <c r="M35" i="8" s="1"/>
  <c r="N35" i="8" s="1"/>
  <c r="O35" i="8" s="1"/>
  <c r="P35" i="8" s="1"/>
  <c r="Q35" i="8" s="1"/>
  <c r="R35" i="8" s="1"/>
  <c r="S35" i="8" s="1"/>
  <c r="T35" i="8" s="1"/>
  <c r="U35" i="8" s="1"/>
  <c r="V35" i="8" s="1"/>
  <c r="W35" i="8" s="1"/>
  <c r="X35" i="8" s="1"/>
  <c r="Y35" i="8" s="1"/>
  <c r="Z35" i="8" s="1"/>
  <c r="AA35" i="8" s="1"/>
  <c r="AB35" i="8" s="1"/>
  <c r="AC35" i="8" s="1"/>
  <c r="AD35" i="8" s="1"/>
  <c r="AE35" i="8" s="1"/>
  <c r="AF35" i="8" s="1"/>
  <c r="AG35" i="8" s="1"/>
  <c r="AH35" i="8" s="1"/>
  <c r="M28" i="8"/>
  <c r="N28" i="8" s="1"/>
  <c r="O28" i="8" s="1"/>
  <c r="P28" i="8" s="1"/>
  <c r="Q28" i="8" s="1"/>
  <c r="R28" i="8" s="1"/>
  <c r="S28" i="8" s="1"/>
  <c r="T28" i="8" s="1"/>
  <c r="U28" i="8" s="1"/>
  <c r="V28" i="8" s="1"/>
  <c r="W28" i="8" s="1"/>
  <c r="X28" i="8" s="1"/>
  <c r="Y28" i="8" s="1"/>
  <c r="Z28" i="8" s="1"/>
  <c r="AA28" i="8" s="1"/>
  <c r="AB28" i="8" s="1"/>
  <c r="AC28" i="8" s="1"/>
  <c r="AD28" i="8" s="1"/>
  <c r="AE28" i="8" s="1"/>
  <c r="AF28" i="8" s="1"/>
  <c r="AG28" i="8" s="1"/>
  <c r="AH28" i="8" s="1"/>
  <c r="L9" i="8"/>
  <c r="M9" i="8" s="1"/>
  <c r="N9" i="8" s="1"/>
  <c r="O9" i="8" s="1"/>
  <c r="P9" i="8" s="1"/>
  <c r="Q9" i="8" s="1"/>
  <c r="R9" i="8" s="1"/>
  <c r="S9" i="8" s="1"/>
  <c r="T9" i="8" s="1"/>
  <c r="U9" i="8" s="1"/>
  <c r="V9" i="8" s="1"/>
  <c r="W9" i="8" s="1"/>
  <c r="X9" i="8" s="1"/>
  <c r="Y9" i="8" s="1"/>
  <c r="Z9" i="8" s="1"/>
  <c r="AA9" i="8" s="1"/>
  <c r="AB9" i="8" s="1"/>
  <c r="AC9" i="8" s="1"/>
  <c r="AD9" i="8" s="1"/>
  <c r="AE9" i="8" s="1"/>
  <c r="AF9" i="8" s="1"/>
  <c r="AG9" i="8" s="1"/>
  <c r="AH9" i="8" s="1"/>
  <c r="G30" i="8"/>
  <c r="H30" i="8" s="1"/>
  <c r="I30" i="8" s="1"/>
  <c r="J30" i="8" s="1"/>
  <c r="K30" i="8" s="1"/>
  <c r="L30" i="8" s="1"/>
  <c r="M30" i="8" s="1"/>
  <c r="N30" i="8" s="1"/>
  <c r="O30" i="8" s="1"/>
  <c r="P30" i="8" s="1"/>
  <c r="Q30" i="8" s="1"/>
  <c r="R30" i="8" s="1"/>
  <c r="S30" i="8" s="1"/>
  <c r="T30" i="8" s="1"/>
  <c r="U30" i="8" s="1"/>
  <c r="V30" i="8" s="1"/>
  <c r="W30" i="8" s="1"/>
  <c r="X30" i="8" s="1"/>
  <c r="Y30" i="8" s="1"/>
  <c r="Z30" i="8" s="1"/>
  <c r="AA30" i="8" s="1"/>
  <c r="AB30" i="8" s="1"/>
  <c r="AC30" i="8" s="1"/>
  <c r="AD30" i="8" s="1"/>
  <c r="AE30" i="8" s="1"/>
  <c r="AF30" i="8" s="1"/>
  <c r="AG30" i="8" s="1"/>
  <c r="AH30" i="8" s="1"/>
  <c r="H10" i="8"/>
  <c r="I10" i="8" s="1"/>
  <c r="J10" i="8" s="1"/>
  <c r="K10" i="8" s="1"/>
  <c r="L10" i="8" s="1"/>
  <c r="M10" i="8" s="1"/>
  <c r="N10" i="8" s="1"/>
  <c r="O10" i="8" s="1"/>
  <c r="P10" i="8" s="1"/>
  <c r="Q10" i="8" s="1"/>
  <c r="R10" i="8" s="1"/>
  <c r="S10" i="8" s="1"/>
  <c r="T10" i="8" s="1"/>
  <c r="U10" i="8" s="1"/>
  <c r="V10" i="8" s="1"/>
  <c r="W10" i="8" s="1"/>
  <c r="X10" i="8" s="1"/>
  <c r="Y10" i="8" s="1"/>
  <c r="Z10" i="8" s="1"/>
  <c r="AA10" i="8" s="1"/>
  <c r="AB10" i="8" s="1"/>
  <c r="AC10" i="8" s="1"/>
  <c r="AD10" i="8" s="1"/>
  <c r="AE10" i="8" s="1"/>
  <c r="AF10" i="8" s="1"/>
  <c r="AG10" i="8" s="1"/>
  <c r="AH10" i="8" s="1"/>
  <c r="S55" i="8" l="1"/>
  <c r="E32" i="8" l="1"/>
  <c r="E38" i="8"/>
  <c r="E40" i="8" s="1"/>
  <c r="G26" i="8" l="1"/>
  <c r="G41" i="8"/>
  <c r="F41" i="8"/>
  <c r="E42" i="8"/>
  <c r="E65" i="8" s="1"/>
  <c r="E67" i="8" s="1"/>
  <c r="F32" i="8"/>
  <c r="G32" i="8"/>
  <c r="H11" i="8"/>
  <c r="F38" i="8" l="1"/>
  <c r="F40" i="8" s="1"/>
  <c r="F61" i="8"/>
  <c r="G38" i="8"/>
  <c r="G40" i="8" s="1"/>
  <c r="G42" i="8" s="1"/>
  <c r="G61" i="8"/>
  <c r="H26" i="8"/>
  <c r="H41" i="8"/>
  <c r="E43" i="8"/>
  <c r="E44" i="8" s="1"/>
  <c r="F42" i="8"/>
  <c r="F63" i="8" s="1"/>
  <c r="F65" i="8" s="1"/>
  <c r="F67" i="8" s="1"/>
  <c r="I11" i="8"/>
  <c r="H32" i="8"/>
  <c r="E50" i="8" l="1"/>
  <c r="H38" i="8"/>
  <c r="H40" i="8" s="1"/>
  <c r="H42" i="8" s="1"/>
  <c r="H61" i="8"/>
  <c r="G43" i="8"/>
  <c r="G63" i="8"/>
  <c r="G65" i="8" s="1"/>
  <c r="G67" i="8" s="1"/>
  <c r="I26" i="8"/>
  <c r="I41" i="8"/>
  <c r="F43" i="8"/>
  <c r="F44" i="8" s="1"/>
  <c r="G44" i="8"/>
  <c r="J11" i="8"/>
  <c r="I32" i="8"/>
  <c r="C35" i="7"/>
  <c r="D27" i="7"/>
  <c r="E25" i="7"/>
  <c r="F25" i="7" s="1"/>
  <c r="C17" i="7"/>
  <c r="E9" i="7"/>
  <c r="F9" i="7" s="1"/>
  <c r="G9" i="7" s="1"/>
  <c r="H9" i="7" s="1"/>
  <c r="I9" i="7" s="1"/>
  <c r="J9" i="7" s="1"/>
  <c r="K9" i="7" s="1"/>
  <c r="L9" i="7" s="1"/>
  <c r="M9" i="7" s="1"/>
  <c r="C37" i="4"/>
  <c r="D37" i="4" s="1"/>
  <c r="F37" i="4" s="1"/>
  <c r="G37" i="4" s="1"/>
  <c r="H37" i="4" s="1"/>
  <c r="M37" i="4" s="1"/>
  <c r="D11" i="4" s="1"/>
  <c r="J35" i="4"/>
  <c r="B35" i="4"/>
  <c r="C34" i="4"/>
  <c r="C33" i="4"/>
  <c r="D33" i="4" s="1"/>
  <c r="D32" i="4"/>
  <c r="F32" i="4" s="1"/>
  <c r="G32" i="4" s="1"/>
  <c r="H32" i="4" s="1"/>
  <c r="M32" i="4" s="1"/>
  <c r="C32" i="4"/>
  <c r="E20" i="4"/>
  <c r="E19" i="4"/>
  <c r="E15" i="4"/>
  <c r="E14" i="4"/>
  <c r="E10" i="4"/>
  <c r="E9" i="4"/>
  <c r="E8" i="4"/>
  <c r="E7" i="4"/>
  <c r="C10" i="3"/>
  <c r="D10" i="3"/>
  <c r="E10" i="3"/>
  <c r="D30" i="3"/>
  <c r="E30" i="3"/>
  <c r="E39" i="3"/>
  <c r="C56" i="3"/>
  <c r="C58" i="3" s="1"/>
  <c r="D25" i="3" s="1"/>
  <c r="D56" i="3"/>
  <c r="D58" i="3" s="1"/>
  <c r="E25" i="3" s="1"/>
  <c r="C69" i="3"/>
  <c r="D69" i="3"/>
  <c r="C78" i="3"/>
  <c r="D78" i="3"/>
  <c r="F53" i="2"/>
  <c r="E53" i="2"/>
  <c r="D53" i="2"/>
  <c r="C53" i="2"/>
  <c r="F52" i="2"/>
  <c r="E52" i="2"/>
  <c r="D52" i="2"/>
  <c r="C52" i="2"/>
  <c r="F51" i="2"/>
  <c r="E51" i="2"/>
  <c r="D51" i="2"/>
  <c r="C51" i="2"/>
  <c r="F50" i="2"/>
  <c r="E50" i="2"/>
  <c r="D50" i="2"/>
  <c r="C50" i="2"/>
  <c r="E41" i="2"/>
  <c r="F40" i="2" s="1"/>
  <c r="F27" i="2"/>
  <c r="E27" i="2"/>
  <c r="E28" i="2" s="1"/>
  <c r="D27" i="2"/>
  <c r="D28" i="2" s="1"/>
  <c r="F26" i="2"/>
  <c r="E26" i="2"/>
  <c r="D26" i="2"/>
  <c r="C26" i="2"/>
  <c r="C25" i="2"/>
  <c r="C27" i="2" s="1"/>
  <c r="C14" i="2"/>
  <c r="F11" i="2"/>
  <c r="E11" i="2"/>
  <c r="D11" i="2"/>
  <c r="D13" i="2" s="1"/>
  <c r="C11" i="2"/>
  <c r="C12" i="2" s="1"/>
  <c r="F9" i="2"/>
  <c r="E9" i="2"/>
  <c r="D9" i="2"/>
  <c r="D41" i="2" s="1"/>
  <c r="E40" i="2" s="1"/>
  <c r="E42" i="2" s="1"/>
  <c r="C9" i="2"/>
  <c r="G50" i="8" l="1"/>
  <c r="G69" i="8"/>
  <c r="F50" i="8"/>
  <c r="F69" i="8"/>
  <c r="I38" i="8"/>
  <c r="I40" i="8" s="1"/>
  <c r="I42" i="8" s="1"/>
  <c r="I61" i="8"/>
  <c r="H43" i="8"/>
  <c r="H44" i="8" s="1"/>
  <c r="H63" i="8"/>
  <c r="H65" i="8" s="1"/>
  <c r="H67" i="8" s="1"/>
  <c r="J26" i="8"/>
  <c r="J41" i="8"/>
  <c r="K11" i="8"/>
  <c r="J32" i="8"/>
  <c r="E26" i="7"/>
  <c r="F26" i="7" s="1"/>
  <c r="G26" i="7" s="1"/>
  <c r="H26" i="7" s="1"/>
  <c r="I26" i="7" s="1"/>
  <c r="J26" i="7" s="1"/>
  <c r="K26" i="7" s="1"/>
  <c r="L26" i="7" s="1"/>
  <c r="M26" i="7" s="1"/>
  <c r="D10" i="7"/>
  <c r="D11" i="7" s="1"/>
  <c r="D12" i="7" s="1"/>
  <c r="D28" i="7"/>
  <c r="D29" i="7" s="1"/>
  <c r="E8" i="7"/>
  <c r="G25" i="7"/>
  <c r="I33" i="4"/>
  <c r="K33" i="4" s="1"/>
  <c r="L33" i="4" s="1"/>
  <c r="F33" i="4"/>
  <c r="G33" i="4" s="1"/>
  <c r="H33" i="4" s="1"/>
  <c r="E11" i="4"/>
  <c r="E12" i="4" s="1"/>
  <c r="D12" i="4"/>
  <c r="D34" i="4"/>
  <c r="I34" i="4" s="1"/>
  <c r="K34" i="4" s="1"/>
  <c r="L34" i="4" s="1"/>
  <c r="M34" i="4" s="1"/>
  <c r="C12" i="4"/>
  <c r="C17" i="4" s="1"/>
  <c r="C21" i="4" s="1"/>
  <c r="C80" i="3"/>
  <c r="D34" i="3" s="1"/>
  <c r="D80" i="3"/>
  <c r="E34" i="3" s="1"/>
  <c r="C13" i="3"/>
  <c r="D16" i="3" s="1"/>
  <c r="E21" i="3" s="1"/>
  <c r="E13" i="3"/>
  <c r="D13" i="3"/>
  <c r="F29" i="2"/>
  <c r="C28" i="2"/>
  <c r="C29" i="2" s="1"/>
  <c r="F42" i="2"/>
  <c r="F13" i="2"/>
  <c r="D12" i="2"/>
  <c r="F28" i="2"/>
  <c r="C41" i="2"/>
  <c r="E12" i="2"/>
  <c r="E15" i="2" s="1"/>
  <c r="E17" i="2" s="1"/>
  <c r="D15" i="2"/>
  <c r="D17" i="2" s="1"/>
  <c r="E13" i="2"/>
  <c r="F12" i="2"/>
  <c r="F15" i="2" s="1"/>
  <c r="F17" i="2" s="1"/>
  <c r="D29" i="2"/>
  <c r="C13" i="2"/>
  <c r="C15" i="2" s="1"/>
  <c r="C17" i="2" s="1"/>
  <c r="E29" i="2"/>
  <c r="F41" i="2"/>
  <c r="H50" i="8" l="1"/>
  <c r="H69" i="8"/>
  <c r="J38" i="8"/>
  <c r="J61" i="8"/>
  <c r="I43" i="8"/>
  <c r="I44" i="8" s="1"/>
  <c r="I63" i="8"/>
  <c r="I65" i="8" s="1"/>
  <c r="I67" i="8" s="1"/>
  <c r="J40" i="8"/>
  <c r="J42" i="8" s="1"/>
  <c r="K26" i="8"/>
  <c r="K41" i="8"/>
  <c r="L11" i="8"/>
  <c r="K32" i="8"/>
  <c r="F27" i="7"/>
  <c r="F28" i="7" s="1"/>
  <c r="F29" i="7" s="1"/>
  <c r="E27" i="7"/>
  <c r="E10" i="7"/>
  <c r="F8" i="7"/>
  <c r="H25" i="7"/>
  <c r="G27" i="7"/>
  <c r="E28" i="7"/>
  <c r="E29" i="7" s="1"/>
  <c r="M35" i="4"/>
  <c r="D16" i="4" s="1"/>
  <c r="E16" i="4" s="1"/>
  <c r="E17" i="4" s="1"/>
  <c r="E21" i="4" s="1"/>
  <c r="C16" i="3"/>
  <c r="D21" i="3" s="1"/>
  <c r="D22" i="3" s="1"/>
  <c r="D23" i="3" s="1"/>
  <c r="D26" i="3" s="1"/>
  <c r="D31" i="3" s="1"/>
  <c r="D35" i="3" s="1"/>
  <c r="D41" i="3" s="1"/>
  <c r="D46" i="3" s="1"/>
  <c r="E22" i="3"/>
  <c r="E23" i="3" s="1"/>
  <c r="E26" i="3" s="1"/>
  <c r="E31" i="3" s="1"/>
  <c r="E35" i="3" s="1"/>
  <c r="E41" i="3" s="1"/>
  <c r="E46" i="3" s="1"/>
  <c r="E31" i="2"/>
  <c r="E35" i="2" s="1"/>
  <c r="E19" i="2"/>
  <c r="E33" i="2" s="1"/>
  <c r="E38" i="2" s="1"/>
  <c r="E44" i="2" s="1"/>
  <c r="E46" i="2" s="1"/>
  <c r="E21" i="2"/>
  <c r="E18" i="2"/>
  <c r="F21" i="2"/>
  <c r="F18" i="2"/>
  <c r="F19" i="2" s="1"/>
  <c r="F33" i="2" s="1"/>
  <c r="F38" i="2" s="1"/>
  <c r="F44" i="2" s="1"/>
  <c r="F46" i="2" s="1"/>
  <c r="F31" i="2"/>
  <c r="F35" i="2" s="1"/>
  <c r="C31" i="2"/>
  <c r="C35" i="2" s="1"/>
  <c r="C19" i="2"/>
  <c r="C33" i="2" s="1"/>
  <c r="C38" i="2" s="1"/>
  <c r="C44" i="2" s="1"/>
  <c r="C46" i="2" s="1"/>
  <c r="C21" i="2"/>
  <c r="C18" i="2"/>
  <c r="D21" i="2"/>
  <c r="D18" i="2"/>
  <c r="D19" i="2" s="1"/>
  <c r="D33" i="2" s="1"/>
  <c r="D38" i="2" s="1"/>
  <c r="D44" i="2" s="1"/>
  <c r="D46" i="2" s="1"/>
  <c r="D31" i="2"/>
  <c r="D35" i="2" s="1"/>
  <c r="C42" i="2"/>
  <c r="D40" i="2"/>
  <c r="D42" i="2" s="1"/>
  <c r="I50" i="8" l="1"/>
  <c r="I69" i="8"/>
  <c r="K38" i="8"/>
  <c r="K40" i="8" s="1"/>
  <c r="K42" i="8" s="1"/>
  <c r="K63" i="8" s="1"/>
  <c r="K65" i="8" s="1"/>
  <c r="K61" i="8"/>
  <c r="J43" i="8"/>
  <c r="J44" i="8" s="1"/>
  <c r="J63" i="8"/>
  <c r="J65" i="8" s="1"/>
  <c r="J67" i="8" s="1"/>
  <c r="L26" i="8"/>
  <c r="L41" i="8"/>
  <c r="L32" i="8"/>
  <c r="M11" i="8"/>
  <c r="G28" i="7"/>
  <c r="G29" i="7" s="1"/>
  <c r="F10" i="7"/>
  <c r="G8" i="7"/>
  <c r="H27" i="7"/>
  <c r="I25" i="7"/>
  <c r="E11" i="7"/>
  <c r="E12" i="7" s="1"/>
  <c r="D17" i="4"/>
  <c r="D21" i="4" s="1"/>
  <c r="K67" i="8" l="1"/>
  <c r="J50" i="8"/>
  <c r="J69" i="8"/>
  <c r="L38" i="8"/>
  <c r="L40" i="8" s="1"/>
  <c r="L42" i="8" s="1"/>
  <c r="L61" i="8"/>
  <c r="M26" i="8"/>
  <c r="M41" i="8"/>
  <c r="K43" i="8"/>
  <c r="K44" i="8" s="1"/>
  <c r="M32" i="8"/>
  <c r="N11" i="8"/>
  <c r="I27" i="7"/>
  <c r="J25" i="7"/>
  <c r="F11" i="7"/>
  <c r="F12" i="7" s="1"/>
  <c r="H28" i="7"/>
  <c r="H29" i="7" s="1"/>
  <c r="G10" i="7"/>
  <c r="H8" i="7"/>
  <c r="K50" i="8" l="1"/>
  <c r="K69" i="8"/>
  <c r="M38" i="8"/>
  <c r="M40" i="8" s="1"/>
  <c r="M42" i="8" s="1"/>
  <c r="M61" i="8"/>
  <c r="L43" i="8"/>
  <c r="L44" i="8" s="1"/>
  <c r="L63" i="8"/>
  <c r="L65" i="8" s="1"/>
  <c r="L67" i="8" s="1"/>
  <c r="N26" i="8"/>
  <c r="N41" i="8"/>
  <c r="N32" i="8"/>
  <c r="O11" i="8"/>
  <c r="I8" i="7"/>
  <c r="H10" i="7"/>
  <c r="G11" i="7"/>
  <c r="G12" i="7" s="1"/>
  <c r="J27" i="7"/>
  <c r="K25" i="7"/>
  <c r="I28" i="7"/>
  <c r="I29" i="7" s="1"/>
  <c r="L50" i="8" l="1"/>
  <c r="L69" i="8"/>
  <c r="N38" i="8"/>
  <c r="N40" i="8" s="1"/>
  <c r="N42" i="8" s="1"/>
  <c r="N63" i="8" s="1"/>
  <c r="N65" i="8" s="1"/>
  <c r="N61" i="8"/>
  <c r="O26" i="8"/>
  <c r="O41" i="8"/>
  <c r="M43" i="8"/>
  <c r="M44" i="8" s="1"/>
  <c r="M63" i="8"/>
  <c r="M65" i="8" s="1"/>
  <c r="M67" i="8" s="1"/>
  <c r="O32" i="8"/>
  <c r="P11" i="8"/>
  <c r="J28" i="7"/>
  <c r="J29" i="7" s="1"/>
  <c r="H11" i="7"/>
  <c r="H12" i="7" s="1"/>
  <c r="J8" i="7"/>
  <c r="I10" i="7"/>
  <c r="L25" i="7"/>
  <c r="K27" i="7"/>
  <c r="M50" i="8" l="1"/>
  <c r="M69" i="8"/>
  <c r="N67" i="8"/>
  <c r="O38" i="8"/>
  <c r="O40" i="8" s="1"/>
  <c r="O42" i="8" s="1"/>
  <c r="O61" i="8"/>
  <c r="P26" i="8"/>
  <c r="P41" i="8"/>
  <c r="N43" i="8"/>
  <c r="N44" i="8" s="1"/>
  <c r="Q11" i="8"/>
  <c r="P32" i="8"/>
  <c r="I11" i="7"/>
  <c r="I12" i="7" s="1"/>
  <c r="K8" i="7"/>
  <c r="J10" i="7"/>
  <c r="K28" i="7"/>
  <c r="K29" i="7" s="1"/>
  <c r="M25" i="7"/>
  <c r="M27" i="7" s="1"/>
  <c r="L27" i="7"/>
  <c r="N50" i="8" l="1"/>
  <c r="N69" i="8"/>
  <c r="P38" i="8"/>
  <c r="P40" i="8" s="1"/>
  <c r="P42" i="8" s="1"/>
  <c r="P61" i="8"/>
  <c r="O43" i="8"/>
  <c r="O44" i="8" s="1"/>
  <c r="O63" i="8"/>
  <c r="O65" i="8" s="1"/>
  <c r="O67" i="8" s="1"/>
  <c r="Q26" i="8"/>
  <c r="Q41" i="8"/>
  <c r="Q32" i="8"/>
  <c r="R11" i="8"/>
  <c r="L28" i="7"/>
  <c r="L29" i="7" s="1"/>
  <c r="J11" i="7"/>
  <c r="J12" i="7" s="1"/>
  <c r="M28" i="7"/>
  <c r="M29" i="7" s="1"/>
  <c r="C31" i="7" s="1"/>
  <c r="C37" i="7" s="1"/>
  <c r="K10" i="7"/>
  <c r="L8" i="7"/>
  <c r="O50" i="8" l="1"/>
  <c r="O69" i="8"/>
  <c r="Q38" i="8"/>
  <c r="Q40" i="8" s="1"/>
  <c r="Q42" i="8" s="1"/>
  <c r="Q61" i="8"/>
  <c r="R26" i="8"/>
  <c r="R41" i="8"/>
  <c r="P43" i="8"/>
  <c r="P44" i="8" s="1"/>
  <c r="P63" i="8"/>
  <c r="P65" i="8" s="1"/>
  <c r="P67" i="8" s="1"/>
  <c r="R32" i="8"/>
  <c r="S11" i="8"/>
  <c r="L10" i="7"/>
  <c r="M8" i="7"/>
  <c r="M10" i="7" s="1"/>
  <c r="K11" i="7"/>
  <c r="K12" i="7" s="1"/>
  <c r="P50" i="8" l="1"/>
  <c r="P69" i="8"/>
  <c r="R38" i="8"/>
  <c r="R40" i="8" s="1"/>
  <c r="R42" i="8" s="1"/>
  <c r="R63" i="8" s="1"/>
  <c r="R65" i="8" s="1"/>
  <c r="R61" i="8"/>
  <c r="Q43" i="8"/>
  <c r="Q44" i="8" s="1"/>
  <c r="Q63" i="8"/>
  <c r="Q65" i="8" s="1"/>
  <c r="Q67" i="8" s="1"/>
  <c r="S26" i="8"/>
  <c r="S41" i="8"/>
  <c r="T11" i="8"/>
  <c r="S32" i="8"/>
  <c r="M11" i="7"/>
  <c r="M12" i="7" s="1"/>
  <c r="L11" i="7"/>
  <c r="L12" i="7" s="1"/>
  <c r="Q50" i="8" l="1"/>
  <c r="Q69" i="8"/>
  <c r="R67" i="8"/>
  <c r="S38" i="8"/>
  <c r="S40" i="8" s="1"/>
  <c r="S42" i="8" s="1"/>
  <c r="S61" i="8"/>
  <c r="T26" i="8"/>
  <c r="T41" i="8"/>
  <c r="R43" i="8"/>
  <c r="R44" i="8" s="1"/>
  <c r="T32" i="8"/>
  <c r="U11" i="8"/>
  <c r="C13" i="7"/>
  <c r="C19" i="7" s="1"/>
  <c r="R50" i="8" l="1"/>
  <c r="R69" i="8"/>
  <c r="T38" i="8"/>
  <c r="T40" i="8" s="1"/>
  <c r="T42" i="8" s="1"/>
  <c r="T61" i="8"/>
  <c r="S43" i="8"/>
  <c r="S44" i="8" s="1"/>
  <c r="S63" i="8"/>
  <c r="S65" i="8" s="1"/>
  <c r="S67" i="8" s="1"/>
  <c r="U26" i="8"/>
  <c r="U41" i="8"/>
  <c r="V11" i="8"/>
  <c r="U32" i="8"/>
  <c r="S50" i="8" l="1"/>
  <c r="S69" i="8"/>
  <c r="U38" i="8"/>
  <c r="U40" i="8" s="1"/>
  <c r="U42" i="8" s="1"/>
  <c r="U61" i="8"/>
  <c r="T43" i="8"/>
  <c r="T44" i="8" s="1"/>
  <c r="T63" i="8"/>
  <c r="T65" i="8" s="1"/>
  <c r="T67" i="8" s="1"/>
  <c r="V26" i="8"/>
  <c r="V41" i="8"/>
  <c r="V32" i="8"/>
  <c r="W11" i="8"/>
  <c r="T50" i="8" l="1"/>
  <c r="T69" i="8"/>
  <c r="V38" i="8"/>
  <c r="V40" i="8" s="1"/>
  <c r="V42" i="8" s="1"/>
  <c r="V61" i="8"/>
  <c r="W26" i="8"/>
  <c r="W41" i="8"/>
  <c r="U43" i="8"/>
  <c r="U44" i="8" s="1"/>
  <c r="U63" i="8"/>
  <c r="U65" i="8" s="1"/>
  <c r="U67" i="8" s="1"/>
  <c r="X11" i="8"/>
  <c r="W32" i="8"/>
  <c r="U50" i="8" l="1"/>
  <c r="U69" i="8"/>
  <c r="W38" i="8"/>
  <c r="W40" i="8" s="1"/>
  <c r="W42" i="8" s="1"/>
  <c r="W61" i="8"/>
  <c r="X26" i="8"/>
  <c r="X41" i="8"/>
  <c r="V43" i="8"/>
  <c r="V44" i="8" s="1"/>
  <c r="V63" i="8"/>
  <c r="V65" i="8" s="1"/>
  <c r="V67" i="8" s="1"/>
  <c r="X32" i="8"/>
  <c r="Y11" i="8"/>
  <c r="V50" i="8" l="1"/>
  <c r="V69" i="8"/>
  <c r="X38" i="8"/>
  <c r="X40" i="8" s="1"/>
  <c r="X42" i="8" s="1"/>
  <c r="X61" i="8"/>
  <c r="Y26" i="8"/>
  <c r="Y41" i="8"/>
  <c r="W43" i="8"/>
  <c r="W44" i="8" s="1"/>
  <c r="W63" i="8"/>
  <c r="W65" i="8" s="1"/>
  <c r="W67" i="8" s="1"/>
  <c r="Y32" i="8"/>
  <c r="Z11" i="8"/>
  <c r="W50" i="8" l="1"/>
  <c r="W69" i="8"/>
  <c r="Y38" i="8"/>
  <c r="Y40" i="8" s="1"/>
  <c r="Y42" i="8" s="1"/>
  <c r="Y63" i="8" s="1"/>
  <c r="Y65" i="8" s="1"/>
  <c r="Y61" i="8"/>
  <c r="X43" i="8"/>
  <c r="X44" i="8" s="1"/>
  <c r="X63" i="8"/>
  <c r="X65" i="8" s="1"/>
  <c r="X67" i="8" s="1"/>
  <c r="Z26" i="8"/>
  <c r="Z41" i="8"/>
  <c r="AA11" i="8"/>
  <c r="Z32" i="8"/>
  <c r="X50" i="8" l="1"/>
  <c r="X69" i="8"/>
  <c r="Y67" i="8"/>
  <c r="Z38" i="8"/>
  <c r="Z40" i="8" s="1"/>
  <c r="Z42" i="8" s="1"/>
  <c r="Z61" i="8"/>
  <c r="AA26" i="8"/>
  <c r="AA41" i="8"/>
  <c r="Y43" i="8"/>
  <c r="Y44" i="8" s="1"/>
  <c r="AA32" i="8"/>
  <c r="AB11" i="8"/>
  <c r="Y50" i="8" l="1"/>
  <c r="Y69" i="8"/>
  <c r="AA38" i="8"/>
  <c r="AA40" i="8" s="1"/>
  <c r="AA42" i="8" s="1"/>
  <c r="AA61" i="8"/>
  <c r="AB26" i="8"/>
  <c r="AB41" i="8"/>
  <c r="Z43" i="8"/>
  <c r="Z44" i="8" s="1"/>
  <c r="Z63" i="8"/>
  <c r="Z65" i="8" s="1"/>
  <c r="Z67" i="8" s="1"/>
  <c r="AB32" i="8"/>
  <c r="AC11" i="8"/>
  <c r="Z50" i="8" l="1"/>
  <c r="Z69" i="8"/>
  <c r="AB38" i="8"/>
  <c r="AB40" i="8" s="1"/>
  <c r="AB42" i="8" s="1"/>
  <c r="AB63" i="8" s="1"/>
  <c r="AB65" i="8" s="1"/>
  <c r="AB61" i="8"/>
  <c r="AC26" i="8"/>
  <c r="AC41" i="8"/>
  <c r="AA43" i="8"/>
  <c r="AA44" i="8" s="1"/>
  <c r="AA63" i="8"/>
  <c r="AA65" i="8" s="1"/>
  <c r="AA67" i="8" s="1"/>
  <c r="AC32" i="8"/>
  <c r="AD11" i="8"/>
  <c r="AA50" i="8" l="1"/>
  <c r="AA69" i="8"/>
  <c r="AB67" i="8"/>
  <c r="AC38" i="8"/>
  <c r="AC40" i="8" s="1"/>
  <c r="AC42" i="8" s="1"/>
  <c r="AC61" i="8"/>
  <c r="AD26" i="8"/>
  <c r="AD41" i="8"/>
  <c r="AB43" i="8"/>
  <c r="AB44" i="8" s="1"/>
  <c r="AD32" i="8"/>
  <c r="AE11" i="8"/>
  <c r="AB50" i="8" l="1"/>
  <c r="AB69" i="8"/>
  <c r="AD38" i="8"/>
  <c r="AD40" i="8" s="1"/>
  <c r="AD42" i="8" s="1"/>
  <c r="AD61" i="8"/>
  <c r="AC43" i="8"/>
  <c r="AC63" i="8"/>
  <c r="AC65" i="8" s="1"/>
  <c r="AC67" i="8" s="1"/>
  <c r="AC44" i="8"/>
  <c r="AE26" i="8"/>
  <c r="AE41" i="8"/>
  <c r="AF11" i="8"/>
  <c r="AE32" i="8"/>
  <c r="AC50" i="8" l="1"/>
  <c r="AC69" i="8"/>
  <c r="AE38" i="8"/>
  <c r="AE40" i="8" s="1"/>
  <c r="AE42" i="8" s="1"/>
  <c r="AE63" i="8" s="1"/>
  <c r="AE65" i="8" s="1"/>
  <c r="AE61" i="8"/>
  <c r="AD43" i="8"/>
  <c r="AD44" i="8" s="1"/>
  <c r="AD63" i="8"/>
  <c r="AD65" i="8" s="1"/>
  <c r="AD67" i="8" s="1"/>
  <c r="AF26" i="8"/>
  <c r="AF41" i="8"/>
  <c r="AF32" i="8"/>
  <c r="AH11" i="8"/>
  <c r="AG11" i="8"/>
  <c r="AE67" i="8" l="1"/>
  <c r="AD50" i="8"/>
  <c r="AD69" i="8"/>
  <c r="AF38" i="8"/>
  <c r="AF40" i="8" s="1"/>
  <c r="AF42" i="8" s="1"/>
  <c r="AF63" i="8" s="1"/>
  <c r="AF65" i="8" s="1"/>
  <c r="AF61" i="8"/>
  <c r="AH26" i="8"/>
  <c r="AH41" i="8"/>
  <c r="AG26" i="8"/>
  <c r="AG41" i="8"/>
  <c r="AE43" i="8"/>
  <c r="AE44" i="8" s="1"/>
  <c r="AG32" i="8"/>
  <c r="AH32" i="8"/>
  <c r="AF67" i="8" l="1"/>
  <c r="AE50" i="8"/>
  <c r="AE69" i="8"/>
  <c r="AH38" i="8"/>
  <c r="AH61" i="8"/>
  <c r="AG38" i="8"/>
  <c r="AG40" i="8" s="1"/>
  <c r="AG42" i="8" s="1"/>
  <c r="AG63" i="8" s="1"/>
  <c r="AG65" i="8" s="1"/>
  <c r="AG61" i="8"/>
  <c r="AH40" i="8"/>
  <c r="AH42" i="8" s="1"/>
  <c r="AF43" i="8"/>
  <c r="AF44" i="8" s="1"/>
  <c r="AG67" i="8" l="1"/>
  <c r="AF50" i="8"/>
  <c r="AF69" i="8"/>
  <c r="AH43" i="8"/>
  <c r="AH44" i="8" s="1"/>
  <c r="AH63" i="8"/>
  <c r="AH65" i="8" s="1"/>
  <c r="AH67" i="8" s="1"/>
  <c r="AG43" i="8"/>
  <c r="AG44" i="8" s="1"/>
  <c r="AG50" i="8" l="1"/>
  <c r="AG69" i="8"/>
  <c r="AH50" i="8"/>
  <c r="AH6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tc={F7152E20-5BF1-4FDD-8A13-87C57233A6D8}</author>
    <author>tc={C6E51BE4-7309-4CFE-BEB8-FBC50A9E70D1}</author>
  </authors>
  <commentList>
    <comment ref="D19" authorId="0" shapeId="0" xr:uid="{F7152E20-5BF1-4FDD-8A13-87C57233A6D8}">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En 2021, la catégorie 53 était admissible à la passation intégrale en charge pour la machinerie et l'équipement de fabrication. 
</t>
      </text>
    </comment>
    <comment ref="E64" authorId="1" shapeId="0" xr:uid="{C6E51BE4-7309-4CFE-BEB8-FBC50A9E70D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L'entreprise serait considérée comme une entreprise et non comme une co-entreprise puisque WDI garde le lien avec les actifs (WDI financera l'achat du matériel du projet). On comptabilisera donc la part de WDI dans les actifs et passifs de l'entreprise commune. Il faut donc inclure l'amortissement du matériel dans le calcul de la marge d'exploitation. Si le contrat avait été considéré comme une co-entreprise (une entité incorporée aurait été créée) la méthode de la mise en équivalence aurait pu être utilisée. Auquel cas, la quote-part du projet serait apparue après le bénéfice d'exploitation et n'aurait pas eu d'impact sur le bénéfice d'exploitation.</t>
      </text>
    </comment>
  </commentList>
</comments>
</file>

<file path=xl/sharedStrings.xml><?xml version="1.0" encoding="utf-8"?>
<sst xmlns="http://schemas.openxmlformats.org/spreadsheetml/2006/main" count="315" uniqueCount="243">
  <si>
    <t>Analyse de l'investissement dans le projet de partenariat public privé d'une installation de traitement des déchets</t>
  </si>
  <si>
    <t>Données</t>
  </si>
  <si>
    <t>Taux d'actualisation</t>
  </si>
  <si>
    <t xml:space="preserve">Taux d'imposition </t>
  </si>
  <si>
    <t xml:space="preserve">Taux d'inflation </t>
  </si>
  <si>
    <t>Croissance ménages unifamiliaux</t>
  </si>
  <si>
    <t>Croissance clients commerciaux</t>
  </si>
  <si>
    <t xml:space="preserve">Municipalités – Nombre de ménages </t>
  </si>
  <si>
    <t xml:space="preserve">Frais mensuels par ménage </t>
  </si>
  <si>
    <t>Produits annuels provenant des municipalités</t>
  </si>
  <si>
    <t>Notes</t>
  </si>
  <si>
    <t>Flux de trésorerie initiaux (année 0)</t>
  </si>
  <si>
    <t>$</t>
  </si>
  <si>
    <t>Investissement</t>
  </si>
  <si>
    <t>Matériel</t>
  </si>
  <si>
    <t>Économie d’impôts</t>
  </si>
  <si>
    <t>Économie d’impôts liée au matériel</t>
  </si>
  <si>
    <t xml:space="preserve">Investissement dans le fonds de roulement </t>
  </si>
  <si>
    <t>Flux de trésorerie d’exploitation différentiels nets</t>
  </si>
  <si>
    <t>Entrées de trésorerie</t>
  </si>
  <si>
    <r>
      <t xml:space="preserve">Frais d’utilisation perçus – clients commerciaux </t>
    </r>
    <r>
      <rPr>
        <sz val="11"/>
        <color rgb="FFFF0000"/>
        <rFont val="Arial"/>
        <family val="2"/>
      </rPr>
      <t>(Ann. V)</t>
    </r>
  </si>
  <si>
    <t>Vente de compost (Ann. V, croissance selon un taux d’inflation de 2 %)</t>
  </si>
  <si>
    <t>Total des entrées de trésorerie</t>
  </si>
  <si>
    <t>Sorties de trésorerie</t>
  </si>
  <si>
    <t>Charges d’exploitation avant amortissement (Ann. V, croissance selon un taux 
   d’inflation de 2 %)</t>
  </si>
  <si>
    <t>Coûts de collecte (Ann. V, croissance selon un taux d’inflation de 2 %)</t>
  </si>
  <si>
    <t>Flux de trésorerie d’exploitation nets avant impôts – installation</t>
  </si>
  <si>
    <t>Part de 50 % de WDI</t>
  </si>
  <si>
    <t>Perte de redevances liées aux sites d’enfouissement – 10 % des frais annuels 
   d’utilisation provenant des municipalités (discussion lors d’une réunion du conseil)</t>
  </si>
  <si>
    <t>Flux de trésorerie d’exploitation nets avant impôts – WDI</t>
  </si>
  <si>
    <t>Impôts sur les bénéfices (26,5 %)</t>
  </si>
  <si>
    <t>Flux de trésorerie d’exploitation nets – WDI</t>
  </si>
  <si>
    <t>Flux de trésorerie à la fin du projet</t>
  </si>
  <si>
    <t>Hypothèse posée pour la démonstration pédagogique</t>
  </si>
  <si>
    <t xml:space="preserve">Valeur résiduelle </t>
  </si>
  <si>
    <t>Conséquence de l'hypothèse précédente</t>
  </si>
  <si>
    <t>VAPE</t>
  </si>
  <si>
    <t xml:space="preserve">Récupération du fonds de roulement </t>
  </si>
  <si>
    <t xml:space="preserve">Valeur actualisée des flux de trésorerie </t>
  </si>
  <si>
    <t>Valeur actualisée nette</t>
  </si>
  <si>
    <t>Valeur actualisée du coût du matériel de remplacement dans 15 ans</t>
  </si>
  <si>
    <t>Analyse de sensibilité</t>
  </si>
  <si>
    <t>Valeur actualisée de l’économie d’impôts sur le matériel de remplacement dans 15 ans</t>
  </si>
  <si>
    <t>Valeur actualisée nette, en supposant que du matériel de remplacement soit nécessaire</t>
  </si>
  <si>
    <t>Calcul de l'impact sur les objectifs stratégiques</t>
  </si>
  <si>
    <t>Augmenter le bénéfice d'exploitation à 9% d'ici 2022</t>
  </si>
  <si>
    <t>Quote-Part de WDI dans les produits du projet (produits*50%)</t>
  </si>
  <si>
    <t>A</t>
  </si>
  <si>
    <t>Flux de trésorerie du projet avant impôt</t>
  </si>
  <si>
    <t>Amortissement (hypothèse: amortissement linéaire sur 30 ans)</t>
  </si>
  <si>
    <t>Bénéfice d'exploitation</t>
  </si>
  <si>
    <t>B</t>
  </si>
  <si>
    <t>B/A</t>
  </si>
  <si>
    <t>Accroître les flux de trésorerie disponibles annuels d’au moins 1 700 000 $</t>
  </si>
  <si>
    <t>NOTES</t>
  </si>
  <si>
    <t xml:space="preserve">Comme le matériel fait partie de la catégorie 53, et qu’il sera acquis et utilisé après le 20 novembre 2018 et avant 2024, il est entièrement déductible dans l’année d’acquisition. </t>
  </si>
  <si>
    <t>Par souci de simplicité, on suppose que le traitement sera semblable dans 15 ans.</t>
  </si>
  <si>
    <r>
      <t>Bien que l’entente (Ann. V) mentionne que WDI a droit à 50</t>
    </r>
    <r>
      <rPr>
        <sz val="11"/>
        <color theme="1"/>
        <rFont val="Calibri"/>
        <family val="2"/>
      </rPr>
      <t> </t>
    </r>
    <r>
      <rPr>
        <sz val="11"/>
        <color theme="1"/>
        <rFont val="Arial"/>
        <family val="2"/>
      </rPr>
      <t>% du bénéfice net avant impôts, aux fins de la préparation de l’analyse de la VAN de l’investissement du point de vue de WDI, on suppose</t>
    </r>
  </si>
  <si>
    <t xml:space="preserve">que 50 % des flux de trésorerie nets avant impôts appartiendraient à WDI. </t>
  </si>
  <si>
    <t>Option 2 : Prestation de services-conseils</t>
  </si>
  <si>
    <t>Annexe I
Option 2 : Services-conseils</t>
  </si>
  <si>
    <t>Services-conseils :</t>
  </si>
  <si>
    <t>2021 (9 mois)</t>
  </si>
  <si>
    <t>Hypothèses/justification</t>
  </si>
  <si>
    <t>Produits :</t>
  </si>
  <si>
    <t>Services-conseils</t>
  </si>
  <si>
    <t>Charges :</t>
  </si>
  <si>
    <t>Salaires</t>
  </si>
  <si>
    <t>Selon les employés et le salaire annuel, avec inflation</t>
  </si>
  <si>
    <t>Avantages sociaux</t>
  </si>
  <si>
    <t>25% des salaires versés, comme le reste de WDI</t>
  </si>
  <si>
    <t>Charges d'exploitation</t>
  </si>
  <si>
    <t>23% des salaires (déjà ajustés avec l'inflation)</t>
  </si>
  <si>
    <t>Marketing et dépenses connexes</t>
  </si>
  <si>
    <t>Incluant les frais de représentation déductibles à 50%</t>
  </si>
  <si>
    <t>Charges totales</t>
  </si>
  <si>
    <t>Impôt sur les bénéfices (26,5%)</t>
  </si>
  <si>
    <t xml:space="preserve">Bénéfice net de la division </t>
  </si>
  <si>
    <t xml:space="preserve">Marge d'exploitation </t>
  </si>
  <si>
    <t>Bénéfice différenciel - impact sur les activités actuelles</t>
  </si>
  <si>
    <t>Coût de renonciation découlant des recommandations perdues</t>
  </si>
  <si>
    <t>Application de la marge avant impôt, excluant l'amortissement car fixe, pour estimer les produits et charges des recommandations perdues</t>
  </si>
  <si>
    <t>Honoraires épargnés</t>
  </si>
  <si>
    <t>En prenant en compte l'augmentation future des honoraires</t>
  </si>
  <si>
    <t>Bénéfice d'exploitation perdu</t>
  </si>
  <si>
    <t xml:space="preserve">Bénéfice net perdu </t>
  </si>
  <si>
    <t xml:space="preserve">Bénéfice d'exploitation différentiel </t>
  </si>
  <si>
    <t>Bénéfice net différentiel</t>
  </si>
  <si>
    <t xml:space="preserve">Marge d'exploitation différentielle </t>
  </si>
  <si>
    <t xml:space="preserve">Flux de trésorerie disponibles </t>
  </si>
  <si>
    <t>Variation des comptes clients</t>
  </si>
  <si>
    <t xml:space="preserve">   Solde d'ouverture des comptes clients</t>
  </si>
  <si>
    <t xml:space="preserve">  Clients non encaissés fin d'année</t>
  </si>
  <si>
    <t xml:space="preserve">  Variation des comptse clients</t>
  </si>
  <si>
    <t>Flux de trésorerie nets  (objectif)</t>
  </si>
  <si>
    <t>Flux de trésorerie nets (en proportion de l'objectif)</t>
  </si>
  <si>
    <t>Heures facturables utilisées par semaine</t>
  </si>
  <si>
    <t>Thom Lancaster</t>
  </si>
  <si>
    <t>Techniciens</t>
  </si>
  <si>
    <t>Hypothèse : 4 semaines de vacances par année</t>
  </si>
  <si>
    <t>Techniciens superviseurs</t>
  </si>
  <si>
    <t>Ingénieurs principaux</t>
  </si>
  <si>
    <t>Données utilisées pour les calculs ci-dessus</t>
  </si>
  <si>
    <t>Nombre d’employés</t>
  </si>
  <si>
    <t>Salaire annuel de départ</t>
  </si>
  <si>
    <t>Adjoint administratif</t>
  </si>
  <si>
    <t>Heures facturables par personne</t>
  </si>
  <si>
    <t>Taux horaire facturable</t>
  </si>
  <si>
    <t>Inflation</t>
  </si>
  <si>
    <t>Option 3 - Usines de recyclage -Analyse de la MCV et de la perte découlant de la fermeture temporaire</t>
  </si>
  <si>
    <t xml:space="preserve">Objectif : Calculer la marge sur coûts variables des diverses matières recyclables ET déterminer la marge sur coûts variables différentielle ou la perte découlant de la fermeture temporaire de la division du recyclage. </t>
  </si>
  <si>
    <t xml:space="preserve">Notes </t>
  </si>
  <si>
    <t>Carton ondulé</t>
  </si>
  <si>
    <t>Papiers mélangés</t>
  </si>
  <si>
    <t>Verre</t>
  </si>
  <si>
    <t>Total pour les matières recyclables actuelles</t>
  </si>
  <si>
    <t>Plastiques PET</t>
  </si>
  <si>
    <t>Aluminium</t>
  </si>
  <si>
    <t>Option 3 - Usines de recyclage - analyse de rentabilité</t>
  </si>
  <si>
    <t>Objectif : Calculer le bénéfice d’exploitation et le bénéfice net des différents scénarios pour la division du recyclage.</t>
  </si>
  <si>
    <t>Scénario 2</t>
  </si>
  <si>
    <t>Scénario 3 – 1</t>
  </si>
  <si>
    <t>Scénario 3 – 2</t>
  </si>
  <si>
    <t>Recyclage carton ondulé, vente verre et papiers</t>
  </si>
  <si>
    <t>Recyclage carton ondulé, ajout aluminium</t>
  </si>
  <si>
    <t>Recyclage carton ondulé, ajout plastiques</t>
  </si>
  <si>
    <t>Option 3 : Usines de recyclage - Analyse de l'investissement</t>
  </si>
  <si>
    <t>Objectif : Calculer la VAN du recyclage de l’aluminium et des plastiques PET, et les flux de trésorerie disponibles connexes.</t>
  </si>
  <si>
    <t>Flux de trésorerie d’exploitation nets liés à l’aluminium</t>
  </si>
  <si>
    <t>Total de la marge sur coûts variables</t>
  </si>
  <si>
    <t>Coûts d’exploitation différentiels, augmentant au taux de 2 %</t>
  </si>
  <si>
    <t>Flux de trésorerie d’exploitation différentiels avant impôts</t>
  </si>
  <si>
    <r>
      <t xml:space="preserve">Impôts sur les bénéfices </t>
    </r>
    <r>
      <rPr>
        <sz val="11"/>
        <color theme="1"/>
        <rFont val="Calibri"/>
        <family val="2"/>
      </rPr>
      <t>–</t>
    </r>
    <r>
      <rPr>
        <sz val="11"/>
        <color theme="1"/>
        <rFont val="Arial"/>
        <family val="2"/>
      </rPr>
      <t xml:space="preserve"> 26,5 %</t>
    </r>
  </si>
  <si>
    <t>Flux de trésorerie d’exploitation nets différentiels après impôts</t>
  </si>
  <si>
    <t>Valeur actualisée</t>
  </si>
  <si>
    <t>Valeur actualisée nette du recyclage d’aluminium</t>
  </si>
  <si>
    <r>
      <t xml:space="preserve">Flux de trésorerie d’exploitation nets liés aux plastiques </t>
    </r>
    <r>
      <rPr>
        <b/>
        <sz val="11"/>
        <color rgb="FFFF0000"/>
        <rFont val="Arial"/>
        <family val="2"/>
      </rPr>
      <t xml:space="preserve">PET </t>
    </r>
  </si>
  <si>
    <t>Valeur actualisée nette du recyclage de plastiques PET</t>
  </si>
  <si>
    <t>Option 4 : Évaluation de Pristine - Approche patrimoniale</t>
  </si>
  <si>
    <t>Objectif : Calculer la valeur de Pristine selon l’approche patrimoniale.</t>
  </si>
  <si>
    <t xml:space="preserve">Valeur comptable </t>
  </si>
  <si>
    <t>Ajustement 
à la JVM</t>
  </si>
  <si>
    <t xml:space="preserve">JVM </t>
  </si>
  <si>
    <t>Trésorerie</t>
  </si>
  <si>
    <t xml:space="preserve">Créances clients, montant net </t>
  </si>
  <si>
    <t xml:space="preserve">Titres négociables </t>
  </si>
  <si>
    <t xml:space="preserve">Frais payés d’avance </t>
  </si>
  <si>
    <t>Impôts latents / frais de vente</t>
  </si>
  <si>
    <t>Note 1</t>
  </si>
  <si>
    <t>Immobilisations corporelles (net)</t>
  </si>
  <si>
    <t>R-D en cours</t>
  </si>
  <si>
    <t>Donnée fournie</t>
  </si>
  <si>
    <t xml:space="preserve">WDI n’a pas l’option d’acheter les actifs si elle décide de renoncer à l’achat des actions; il n’est donc pas nécessaire que l’analyse tienne compte d’un coût de renonciation lié à l’achat des actifs. </t>
  </si>
  <si>
    <t>Fournisseurs</t>
  </si>
  <si>
    <t xml:space="preserve">Impôts à payer </t>
  </si>
  <si>
    <t>Actif net</t>
  </si>
  <si>
    <t>Note 1: Calcul des impôts latents et des frais de vente pour les titres négociables et les immobilisations corporelles</t>
  </si>
  <si>
    <t>JVM (Ann. VIII)</t>
  </si>
  <si>
    <t>Frais de vente @ 5 % (Ann. VIII)</t>
  </si>
  <si>
    <t xml:space="preserve">Produit net </t>
  </si>
  <si>
    <t>PBR (Ann. VIII)</t>
  </si>
  <si>
    <t>Gain (perte) en capital</t>
  </si>
  <si>
    <t>Gain (perte) imposable</t>
  </si>
  <si>
    <t>Impôts estimés @ 24 %*</t>
  </si>
  <si>
    <t>Plus faible du prix et du produit</t>
  </si>
  <si>
    <t>FNACC (Ann. VIII)</t>
  </si>
  <si>
    <t>Récupération / (perte finale)</t>
  </si>
  <si>
    <t>Impôts estimés @ 26,5 %</t>
  </si>
  <si>
    <t>Impôts latents et frais de vente</t>
  </si>
  <si>
    <t>C = A - B</t>
  </si>
  <si>
    <t>D</t>
  </si>
  <si>
    <t>E = C - D</t>
  </si>
  <si>
    <t>F = E × 50 %</t>
  </si>
  <si>
    <t>G = F × 24 %</t>
  </si>
  <si>
    <t>H</t>
  </si>
  <si>
    <t>I</t>
  </si>
  <si>
    <t>J = H - I</t>
  </si>
  <si>
    <t>K = J × 26,5 %</t>
  </si>
  <si>
    <t>L = B + G + K</t>
  </si>
  <si>
    <t>Immobilisations corporelles</t>
  </si>
  <si>
    <t>Terrain</t>
  </si>
  <si>
    <t>Aucune récupération / perte finale sur le terrain</t>
  </si>
  <si>
    <t>Bâtiment</t>
  </si>
  <si>
    <t>Pas de perte en capital sur des immobilisations amortissables</t>
  </si>
  <si>
    <t>Total des immobilisations corporelles</t>
  </si>
  <si>
    <t>[5]</t>
  </si>
  <si>
    <t>Titres négociables</t>
  </si>
  <si>
    <t>Aucune récupération / perte finale sur les titres négociables</t>
  </si>
  <si>
    <t>[2]</t>
  </si>
  <si>
    <t>* Suppose que des dividendes suffisants sont versés pour obtenir un remboursement complet dans le compte de l’IMRTD (54 2/3 % - 30 2/3 % = 24 %).</t>
  </si>
  <si>
    <t>Option 4 : Évaluation de Pristine Méthode de la capitalisation des flux</t>
  </si>
  <si>
    <t>1. Normalisation du BAIIA</t>
  </si>
  <si>
    <t>Bénéfice avant impôts</t>
  </si>
  <si>
    <t>Éléments de normalisation :</t>
  </si>
  <si>
    <t>Salaires – propriétaire (réel)</t>
  </si>
  <si>
    <t>Augmentation des flux de trésorerie de 100 000$, car un poste similaire à celui de Connie est normalement rémunéré 400 000$ dans des sociétés comparables.</t>
  </si>
  <si>
    <t xml:space="preserve"> Loyers inférieurs aux taux du marché</t>
  </si>
  <si>
    <t>Diminution des flux de trésorerie de 125 000$, afin que les flux de trésorerie tiennent compte des tarifs en vigueur sur le marché.</t>
  </si>
  <si>
    <t>Bénéfice normalisé avant impôts</t>
  </si>
  <si>
    <t>Produits d’intérêts découlant des actifs excédentaires – 
   titres négociables</t>
  </si>
  <si>
    <t>Les titres négociables constituent des actifs excédentaires; les produits d’intérêts connexes doivent donc être éliminés.</t>
  </si>
  <si>
    <t>Amortissement</t>
  </si>
  <si>
    <t>BAIIA normalisé</t>
  </si>
  <si>
    <t xml:space="preserve">
Bas : Moyenne de 2018 à 2020</t>
  </si>
  <si>
    <t>Haut : Montant de 2020</t>
  </si>
  <si>
    <t>Fourchette de BAIIA sélectionnée</t>
  </si>
  <si>
    <t>2. Tableau de capitalisation</t>
  </si>
  <si>
    <t>Bas</t>
  </si>
  <si>
    <t>Haut</t>
  </si>
  <si>
    <t>Fourchette de BAIIA choisie</t>
  </si>
  <si>
    <t>Impôts sur les bénéfices (26,5 %)</t>
  </si>
  <si>
    <t>Flux de trésorerie normalisés après impôts</t>
  </si>
  <si>
    <t>Réinvestissement de maintien, déduction faite de l'économie 
   d’impôts</t>
  </si>
  <si>
    <t>note 1</t>
  </si>
  <si>
    <t>Flux de trésorerie discrétionnaires disponibles prévisibles normalisés</t>
  </si>
  <si>
    <t>3. Flux de trésorerie discrétionnaire capitalisés</t>
  </si>
  <si>
    <t>CMPC – Taux de capitalisation</t>
  </si>
  <si>
    <t xml:space="preserve">Multiple de capitalisation, arrondi à deux décimales  </t>
  </si>
  <si>
    <t>Flux de trésorerie discrétionnaires capitalisés</t>
  </si>
  <si>
    <t>4. Valeur capitalisée des activités</t>
  </si>
  <si>
    <t>VA de l'économie d’impôts liée à la FNACC des actifs existants</t>
  </si>
  <si>
    <t>note 2</t>
  </si>
  <si>
    <t xml:space="preserve">Valeur capitalisée des activités </t>
  </si>
  <si>
    <t>5. Valeur des actifs excédentaires</t>
  </si>
  <si>
    <t>Ajouter la valeur des actifs excédentaires :</t>
  </si>
  <si>
    <t>Voir analyse approche patrimoniale</t>
  </si>
  <si>
    <t>Valeur de l’entreprise</t>
  </si>
  <si>
    <t>6. Emprunts portants intérpet</t>
  </si>
  <si>
    <t xml:space="preserve">Moins : Encours des emprunts portant intérêt   </t>
  </si>
  <si>
    <t>Valeur des capitaux propres</t>
  </si>
  <si>
    <t>Notes supplémentaires :</t>
  </si>
  <si>
    <t>Coût initial</t>
  </si>
  <si>
    <t>DPA</t>
  </si>
  <si>
    <t>Taux d’imposition</t>
  </si>
  <si>
    <t>Taux d’actualisation</t>
  </si>
  <si>
    <t>Valeur actualisée de l’économie 
   d’impôts</t>
  </si>
  <si>
    <t xml:space="preserve">Réinvestissement de maintien net </t>
  </si>
  <si>
    <t>Note 2</t>
  </si>
  <si>
    <t xml:space="preserve">Formule de l’économie d’impôts = [(JVM estimée ou Solde de la FNACC × Taux de DPA × Taux d’imposition) / (Taux d’actualisation + Taux de DPA)]   </t>
  </si>
  <si>
    <t>Économie d’impôts liée au bâtiment</t>
  </si>
  <si>
    <t>FNACC</t>
  </si>
  <si>
    <t>Note 1</t>
  </si>
  <si>
    <t>Valeur actualisée totale de la FNACC des actifs existants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</si>
</sst>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6" formatCode="#,##0\ &quot;$&quot;_);[Red]\(#,##0\ &quot;$&quot;\)"/>
    <numFmt numFmtId="42" formatCode="_ * #,##0_)\ &quot;$&quot;_ ;_ * \(#,##0\)\ &quot;$&quot;_ ;_ * &quot;-&quot;_)\ &quot;$&quot;_ ;_ @_ "/>
    <numFmt numFmtId="44" formatCode="_ * #,##0.00_)\ &quot;$&quot;_ ;_ * \(#,##0.00\)\ &quot;$&quot;_ ;_ * &quot;-&quot;??_)\ &quot;$&quot;_ ;_ @_ "/>
    <numFmt numFmtId="43" formatCode="_ * #,##0.00_)_ ;_ * \(#,##0.00\)_ ;_ * &quot;-&quot;??_)_ ;_ @_ "/>
    <numFmt numFmtId="164" formatCode="&quot;$&quot;#,##0.00_);[Red]\(&quot;$&quot;#,##0.00\)"/>
    <numFmt numFmtId="165" formatCode="_(&quot;$&quot;* #,##0_);_(&quot;$&quot;* \(#,##0\);_(&quot;$&quot;* &quot;-&quot;_);_(@_)"/>
    <numFmt numFmtId="166" formatCode="_(* #,##0_);_(* \(#,##0\);_(* &quot;-&quot;_);_(@_)"/>
    <numFmt numFmtId="167" formatCode="_(* #,##0.00_);_(* \(#,##0.00\);_(* &quot;-&quot;??_);_(@_)"/>
    <numFmt numFmtId="168" formatCode="_ * #,##0_)_ ;_ * \(#,##0\)_ ;_ * &quot;-&quot;??_)_ ;_ @_ "/>
    <numFmt numFmtId="169" formatCode="_ * #,##0.00_)\ _$_ ;_ * \(#,##0.00\)\ _$_ ;_ * &quot;-&quot;??_)\ _$_ ;_ @_ "/>
    <numFmt numFmtId="170" formatCode="_ * #,##0.0000_)_ ;_ * \(#,##0.0000\)_ ;_ * &quot;-&quot;??_)_ ;_ @_ "/>
    <numFmt numFmtId="171" formatCode="_ * #,##0_)\ _$_ ;_ * \(#,##0\)\ _$_ ;_ * &quot;-&quot;_)\ _$_ ;_ @_ "/>
    <numFmt numFmtId="172" formatCode="0_^%"/>
    <numFmt numFmtId="173" formatCode="_(* #,##0.00_);_(* \(#,##0.00\);_(* &quot;-&quot;_);_(@_)"/>
    <numFmt numFmtId="174" formatCode="0.0_^%"/>
    <numFmt numFmtId="175" formatCode="_(* #,##0.0000_);_(* \(#,##0.0000\);_(* &quot;-&quot;_);_(@_)"/>
    <numFmt numFmtId="176" formatCode="_-* #,##0.0000_-;\-* #,##0.0000_-;_-* &quot;-&quot;??_-;_-@_-"/>
    <numFmt numFmtId="177" formatCode="_(* #,##0_);_(* \(#,##0\);_(* &quot;-&quot;??_);_(@_)"/>
    <numFmt numFmtId="178" formatCode="_-* #,##0_-;\-* #,##0_-;_-* &quot;-&quot;_-;_-@_-"/>
    <numFmt numFmtId="179" formatCode="_-* #,##0_-;\-* #,##0_-;_-* &quot;-&quot;??_-;_-@_-"/>
    <numFmt numFmtId="180" formatCode="_-&quot;$&quot;* #,##0_-;\-&quot;$&quot;* #,##0_-;_-&quot;$&quot;* &quot;-&quot;??_-;_-@_-"/>
    <numFmt numFmtId="181" formatCode="&quot;$&quot;#,##0.00;[Red]\-&quot;$&quot;#,##0.00"/>
    <numFmt numFmtId="182" formatCode="0.0%"/>
  </numFmts>
  <fonts count="32" x14ac:knownFonts="1">
    <font>
      <sz val="11"/>
      <color theme="1"/>
      <name val="Calibri"/>
      <family val="2"/>
      <scheme val="minor"/>
    </font>
    <font>
      <sz val="11"/>
      <color theme="1"/>
      <name val="Calibri"/>
      <family val="2"/>
      <scheme val="minor"/>
    </font>
    <font>
      <sz val="10"/>
      <color theme="1"/>
      <name val="Arial"/>
      <family val="2"/>
    </font>
    <font>
      <b/>
      <u/>
      <sz val="12"/>
      <color theme="1"/>
      <name val="Arial"/>
      <family val="2"/>
    </font>
    <font>
      <sz val="12"/>
      <color theme="1"/>
      <name val="Arial"/>
      <family val="2"/>
    </font>
    <font>
      <i/>
      <sz val="12"/>
      <color theme="1"/>
      <name val="Arial"/>
      <family val="2"/>
    </font>
    <font>
      <b/>
      <sz val="12"/>
      <color theme="1"/>
      <name val="Arial"/>
      <family val="2"/>
    </font>
    <font>
      <b/>
      <i/>
      <sz val="12"/>
      <color theme="1"/>
      <name val="Arial"/>
      <family val="2"/>
    </font>
    <font>
      <b/>
      <sz val="12"/>
      <name val="Arial"/>
      <family val="2"/>
    </font>
    <font>
      <u/>
      <sz val="12"/>
      <color theme="1"/>
      <name val="Arial"/>
      <family val="2"/>
    </font>
    <font>
      <b/>
      <sz val="11"/>
      <color theme="1"/>
      <name val="Arial"/>
      <family val="2"/>
    </font>
    <font>
      <sz val="11"/>
      <name val="Arial"/>
      <family val="2"/>
    </font>
    <font>
      <sz val="11"/>
      <color theme="1"/>
      <name val="Arial"/>
      <family val="2"/>
    </font>
    <font>
      <b/>
      <sz val="11"/>
      <name val="Arial"/>
      <family val="2"/>
    </font>
    <font>
      <strike/>
      <sz val="11"/>
      <name val="Arial"/>
      <family val="2"/>
    </font>
    <font>
      <sz val="11"/>
      <color rgb="FFFF0000"/>
      <name val="Arial"/>
      <family val="2"/>
    </font>
    <font>
      <i/>
      <sz val="11"/>
      <name val="Arial"/>
      <family val="2"/>
    </font>
    <font>
      <sz val="12"/>
      <name val="Arial"/>
      <family val="2"/>
    </font>
    <font>
      <sz val="11"/>
      <name val="Calibri"/>
      <family val="2"/>
      <scheme val="minor"/>
    </font>
    <font>
      <sz val="11"/>
      <color theme="1"/>
      <name val="Calibri"/>
      <family val="2"/>
    </font>
    <font>
      <b/>
      <sz val="11"/>
      <color rgb="FFFF0000"/>
      <name val="Arial"/>
      <family val="2"/>
    </font>
    <font>
      <i/>
      <sz val="11"/>
      <color theme="1"/>
      <name val="Arial"/>
      <family val="2"/>
    </font>
    <font>
      <b/>
      <i/>
      <sz val="11"/>
      <color theme="1"/>
      <name val="Arial"/>
      <family val="2"/>
    </font>
    <font>
      <i/>
      <sz val="11"/>
      <color theme="1"/>
      <name val="Arial"/>
      <family val="2"/>
    </font>
    <font>
      <sz val="11"/>
      <color theme="1"/>
      <name val="Arial"/>
      <family val="2"/>
    </font>
    <font>
      <b/>
      <i/>
      <sz val="11"/>
      <color theme="1"/>
      <name val="Arial"/>
      <family val="2"/>
    </font>
    <font>
      <sz val="11"/>
      <color theme="9" tint="-0.499984740745262"/>
      <name val="Arial"/>
      <family val="2"/>
    </font>
    <font>
      <b/>
      <sz val="11"/>
      <color theme="1"/>
      <name val="Arial"/>
      <family val="2"/>
    </font>
    <font>
      <b/>
      <sz val="11"/>
      <color theme="9" tint="-0.499984740745262"/>
      <name val="Arial"/>
      <family val="2"/>
    </font>
    <font>
      <b/>
      <sz val="11"/>
      <name val="Arial"/>
      <family val="2"/>
    </font>
    <font>
      <b/>
      <sz val="11"/>
      <color rgb="FF00B050"/>
      <name val="Arial"/>
      <family val="2"/>
    </font>
    <font>
      <b/>
      <sz val="11"/>
      <color rgb="FF00B050"/>
      <name val="Arial"/>
      <family val="2"/>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5" tint="0.59999389629810485"/>
        <bgColor indexed="64"/>
      </patternFill>
    </fill>
  </fills>
  <borders count="22">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thin">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double">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top/>
      <bottom/>
      <diagonal/>
    </border>
    <border>
      <left/>
      <right/>
      <top style="thin">
        <color indexed="64"/>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297">
    <xf numFmtId="0" fontId="0" fillId="0" borderId="0" xfId="0"/>
    <xf numFmtId="43" fontId="2" fillId="2" borderId="0" xfId="1" applyFont="1" applyFill="1"/>
    <xf numFmtId="0" fontId="2" fillId="2" borderId="0" xfId="0" applyFont="1" applyFill="1"/>
    <xf numFmtId="49" fontId="3" fillId="2" borderId="1" xfId="0" applyNumberFormat="1" applyFont="1" applyFill="1" applyBorder="1"/>
    <xf numFmtId="43" fontId="4" fillId="2" borderId="0" xfId="1" applyFont="1" applyFill="1"/>
    <xf numFmtId="0" fontId="4" fillId="2" borderId="0" xfId="0" applyFont="1" applyFill="1"/>
    <xf numFmtId="0" fontId="5" fillId="2" borderId="0" xfId="0" applyFont="1" applyFill="1" applyAlignment="1">
      <alignment horizontal="left"/>
    </xf>
    <xf numFmtId="0" fontId="7" fillId="2" borderId="0" xfId="0" applyFont="1" applyFill="1" applyAlignment="1">
      <alignment horizontal="left"/>
    </xf>
    <xf numFmtId="0" fontId="5" fillId="2" borderId="0" xfId="0" applyFont="1" applyFill="1" applyAlignment="1">
      <alignment horizontal="left" wrapText="1"/>
    </xf>
    <xf numFmtId="10" fontId="4" fillId="2" borderId="0" xfId="1" applyNumberFormat="1" applyFont="1" applyFill="1" applyBorder="1"/>
    <xf numFmtId="43" fontId="4" fillId="2" borderId="0" xfId="1" applyFont="1" applyFill="1" applyBorder="1"/>
    <xf numFmtId="168" fontId="4" fillId="2" borderId="0" xfId="1" applyNumberFormat="1" applyFont="1" applyFill="1" applyBorder="1"/>
    <xf numFmtId="168" fontId="4" fillId="2" borderId="8" xfId="1" applyNumberFormat="1" applyFont="1" applyFill="1" applyBorder="1"/>
    <xf numFmtId="0" fontId="6" fillId="2" borderId="0" xfId="0" applyFont="1" applyFill="1"/>
    <xf numFmtId="168" fontId="4" fillId="2" borderId="0" xfId="1" applyNumberFormat="1" applyFont="1" applyFill="1"/>
    <xf numFmtId="168" fontId="4" fillId="2" borderId="0" xfId="0" applyNumberFormat="1" applyFont="1" applyFill="1"/>
    <xf numFmtId="9" fontId="4" fillId="2" borderId="0" xfId="2" applyFont="1" applyFill="1"/>
    <xf numFmtId="0" fontId="5" fillId="2" borderId="0" xfId="0" applyFont="1" applyFill="1"/>
    <xf numFmtId="43" fontId="7" fillId="2" borderId="0" xfId="1" applyFont="1" applyFill="1" applyAlignment="1">
      <alignment vertical="center"/>
    </xf>
    <xf numFmtId="43" fontId="6" fillId="2" borderId="0" xfId="1" applyFont="1" applyFill="1" applyAlignment="1">
      <alignment vertical="center"/>
    </xf>
    <xf numFmtId="0" fontId="4" fillId="2" borderId="0" xfId="0" applyFont="1" applyFill="1" applyAlignment="1">
      <alignment horizontal="center"/>
    </xf>
    <xf numFmtId="9" fontId="4" fillId="2" borderId="0" xfId="0" applyNumberFormat="1" applyFont="1" applyFill="1"/>
    <xf numFmtId="0" fontId="9" fillId="2" borderId="0" xfId="0" applyFont="1" applyFill="1" applyAlignment="1">
      <alignment vertical="center" wrapText="1"/>
    </xf>
    <xf numFmtId="0" fontId="6" fillId="2" borderId="0" xfId="0" applyFont="1" applyFill="1" applyAlignment="1">
      <alignment horizontal="center"/>
    </xf>
    <xf numFmtId="0" fontId="7" fillId="2" borderId="0" xfId="0" applyFont="1" applyFill="1"/>
    <xf numFmtId="0" fontId="4" fillId="2" borderId="0" xfId="0" applyFont="1" applyFill="1" applyAlignment="1">
      <alignment vertical="center" wrapText="1"/>
    </xf>
    <xf numFmtId="0" fontId="4" fillId="2" borderId="8" xfId="0" applyFont="1" applyFill="1" applyBorder="1" applyAlignment="1">
      <alignment vertical="center" wrapText="1"/>
    </xf>
    <xf numFmtId="168" fontId="4" fillId="2" borderId="8" xfId="1" applyNumberFormat="1" applyFont="1" applyFill="1" applyBorder="1" applyAlignment="1">
      <alignment horizontal="right" vertical="center" wrapText="1"/>
    </xf>
    <xf numFmtId="0" fontId="6" fillId="2" borderId="8" xfId="0" applyFont="1" applyFill="1" applyBorder="1" applyAlignment="1">
      <alignment vertical="center" wrapText="1"/>
    </xf>
    <xf numFmtId="168" fontId="4" fillId="2" borderId="8" xfId="0" applyNumberFormat="1" applyFont="1" applyFill="1" applyBorder="1"/>
    <xf numFmtId="9" fontId="4" fillId="2" borderId="0" xfId="1" applyNumberFormat="1" applyFont="1" applyFill="1"/>
    <xf numFmtId="170" fontId="4" fillId="2" borderId="0" xfId="1" applyNumberFormat="1" applyFont="1" applyFill="1"/>
    <xf numFmtId="0" fontId="6" fillId="2" borderId="0" xfId="0" applyFont="1" applyFill="1" applyAlignment="1">
      <alignment vertical="center" wrapText="1"/>
    </xf>
    <xf numFmtId="0" fontId="6" fillId="2" borderId="14" xfId="0" applyFont="1" applyFill="1" applyBorder="1" applyAlignment="1">
      <alignment vertical="center" wrapText="1"/>
    </xf>
    <xf numFmtId="168" fontId="6" fillId="2" borderId="14" xfId="1" applyNumberFormat="1" applyFont="1" applyFill="1" applyBorder="1"/>
    <xf numFmtId="0" fontId="5" fillId="2" borderId="0" xfId="0" applyFont="1" applyFill="1" applyAlignment="1">
      <alignment wrapText="1"/>
    </xf>
    <xf numFmtId="0" fontId="6" fillId="2" borderId="12" xfId="0" applyFont="1" applyFill="1" applyBorder="1"/>
    <xf numFmtId="9" fontId="8" fillId="2" borderId="10" xfId="2" applyFont="1" applyFill="1" applyBorder="1" applyAlignment="1">
      <alignment horizontal="center"/>
    </xf>
    <xf numFmtId="9" fontId="8" fillId="2" borderId="13" xfId="2" applyFont="1" applyFill="1" applyBorder="1" applyAlignment="1">
      <alignment horizontal="center"/>
    </xf>
    <xf numFmtId="9" fontId="4" fillId="2" borderId="0" xfId="2" applyFont="1" applyFill="1" applyBorder="1"/>
    <xf numFmtId="0" fontId="3" fillId="2" borderId="0" xfId="0" applyFont="1" applyFill="1" applyAlignment="1">
      <alignment vertical="center"/>
    </xf>
    <xf numFmtId="169" fontId="5" fillId="2" borderId="0" xfId="0" applyNumberFormat="1" applyFont="1" applyFill="1" applyAlignment="1">
      <alignment wrapText="1"/>
    </xf>
    <xf numFmtId="0" fontId="4" fillId="2" borderId="0" xfId="0" applyFont="1" applyFill="1" applyAlignment="1">
      <alignment horizontal="right" wrapText="1"/>
    </xf>
    <xf numFmtId="0" fontId="4" fillId="2" borderId="8" xfId="0" applyFont="1" applyFill="1" applyBorder="1"/>
    <xf numFmtId="0" fontId="5" fillId="2" borderId="0" xfId="0" applyFont="1" applyFill="1" applyAlignment="1">
      <alignment horizontal="right" wrapText="1"/>
    </xf>
    <xf numFmtId="0" fontId="4" fillId="2" borderId="15" xfId="0" applyFont="1" applyFill="1" applyBorder="1" applyAlignment="1">
      <alignment vertical="center" wrapText="1"/>
    </xf>
    <xf numFmtId="168" fontId="4" fillId="2" borderId="15" xfId="1" applyNumberFormat="1" applyFont="1" applyFill="1" applyBorder="1"/>
    <xf numFmtId="168" fontId="6" fillId="2" borderId="0" xfId="1" applyNumberFormat="1" applyFont="1" applyFill="1" applyBorder="1"/>
    <xf numFmtId="0" fontId="4" fillId="2" borderId="8" xfId="0" applyFont="1" applyFill="1" applyBorder="1" applyAlignment="1">
      <alignment vertical="center"/>
    </xf>
    <xf numFmtId="0" fontId="4" fillId="2" borderId="16" xfId="0" applyFont="1" applyFill="1" applyBorder="1" applyAlignment="1">
      <alignment vertical="center" wrapText="1"/>
    </xf>
    <xf numFmtId="168" fontId="4" fillId="2" borderId="16" xfId="1" applyNumberFormat="1" applyFont="1" applyFill="1" applyBorder="1"/>
    <xf numFmtId="168" fontId="8" fillId="0" borderId="10" xfId="0" applyNumberFormat="1" applyFont="1" applyBorder="1"/>
    <xf numFmtId="0" fontId="5" fillId="2" borderId="0" xfId="0" applyFont="1" applyFill="1" applyAlignment="1">
      <alignment vertical="center"/>
    </xf>
    <xf numFmtId="43" fontId="4" fillId="2" borderId="0" xfId="0" applyNumberFormat="1" applyFont="1" applyFill="1"/>
    <xf numFmtId="0" fontId="6" fillId="2" borderId="17"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4" fillId="2" borderId="17" xfId="0" applyFont="1" applyFill="1" applyBorder="1" applyAlignment="1">
      <alignment vertical="center"/>
    </xf>
    <xf numFmtId="0" fontId="4" fillId="2" borderId="17" xfId="0" applyFont="1" applyFill="1" applyBorder="1" applyAlignment="1">
      <alignment horizontal="right" vertical="center" wrapText="1"/>
    </xf>
    <xf numFmtId="0" fontId="5" fillId="2" borderId="17" xfId="0" applyFont="1" applyFill="1" applyBorder="1" applyAlignment="1">
      <alignment horizontal="right" vertical="center" wrapText="1"/>
    </xf>
    <xf numFmtId="6" fontId="4" fillId="2" borderId="17" xfId="0" applyNumberFormat="1" applyFont="1" applyFill="1" applyBorder="1" applyAlignment="1">
      <alignment horizontal="right" vertical="center" wrapText="1"/>
    </xf>
    <xf numFmtId="0" fontId="4" fillId="2" borderId="17" xfId="0" applyFont="1" applyFill="1" applyBorder="1" applyAlignment="1">
      <alignment vertical="center" wrapText="1"/>
    </xf>
    <xf numFmtId="3" fontId="4" fillId="2" borderId="17" xfId="0" applyNumberFormat="1" applyFont="1" applyFill="1" applyBorder="1" applyAlignment="1">
      <alignment horizontal="right" vertical="center" wrapText="1"/>
    </xf>
    <xf numFmtId="3" fontId="5" fillId="2" borderId="17" xfId="0" applyNumberFormat="1" applyFont="1" applyFill="1" applyBorder="1" applyAlignment="1">
      <alignment horizontal="right" vertical="center" wrapText="1"/>
    </xf>
    <xf numFmtId="6" fontId="4" fillId="2" borderId="0" xfId="0" applyNumberFormat="1" applyFont="1" applyFill="1"/>
    <xf numFmtId="0" fontId="4" fillId="2" borderId="2" xfId="0" applyFont="1" applyFill="1" applyBorder="1"/>
    <xf numFmtId="3" fontId="5" fillId="2" borderId="0" xfId="0" applyNumberFormat="1" applyFont="1" applyFill="1" applyAlignment="1">
      <alignment horizontal="right" vertical="center" wrapText="1"/>
    </xf>
    <xf numFmtId="0" fontId="4" fillId="2" borderId="5" xfId="0" applyFont="1" applyFill="1" applyBorder="1"/>
    <xf numFmtId="9" fontId="4" fillId="2" borderId="6" xfId="0" applyNumberFormat="1" applyFont="1" applyFill="1" applyBorder="1"/>
    <xf numFmtId="166" fontId="11" fillId="0" borderId="0" xfId="0" applyNumberFormat="1" applyFont="1"/>
    <xf numFmtId="0" fontId="10" fillId="0" borderId="0" xfId="0" applyFont="1"/>
    <xf numFmtId="0" fontId="12" fillId="0" borderId="0" xfId="0" applyFont="1"/>
    <xf numFmtId="166" fontId="11" fillId="0" borderId="0" xfId="0" applyNumberFormat="1" applyFont="1" applyAlignment="1">
      <alignment horizontal="left"/>
    </xf>
    <xf numFmtId="166" fontId="13" fillId="0" borderId="0" xfId="0" applyNumberFormat="1" applyFont="1" applyAlignment="1">
      <alignment horizontal="center"/>
    </xf>
    <xf numFmtId="0" fontId="13" fillId="0" borderId="8" xfId="0" quotePrefix="1" applyFont="1" applyBorder="1" applyAlignment="1">
      <alignment horizontal="center" wrapText="1"/>
    </xf>
    <xf numFmtId="0" fontId="10" fillId="0" borderId="0" xfId="0" quotePrefix="1" applyFont="1" applyAlignment="1">
      <alignment horizontal="center" wrapText="1"/>
    </xf>
    <xf numFmtId="0" fontId="11" fillId="0" borderId="0" xfId="0" applyFont="1" applyAlignment="1">
      <alignment horizontal="center"/>
    </xf>
    <xf numFmtId="171" fontId="11" fillId="0" borderId="0" xfId="1" applyNumberFormat="1" applyFont="1" applyFill="1" applyBorder="1" applyAlignment="1"/>
    <xf numFmtId="166" fontId="11" fillId="0" borderId="0" xfId="1" applyNumberFormat="1" applyFont="1" applyFill="1" applyBorder="1" applyAlignment="1">
      <alignment horizontal="right" wrapText="1"/>
    </xf>
    <xf numFmtId="171" fontId="11" fillId="0" borderId="0" xfId="1" applyNumberFormat="1" applyFont="1" applyFill="1" applyBorder="1" applyAlignment="1">
      <alignment horizontal="right" wrapText="1"/>
    </xf>
    <xf numFmtId="0" fontId="11" fillId="0" borderId="0" xfId="0" applyFont="1" applyAlignment="1">
      <alignment horizontal="left"/>
    </xf>
    <xf numFmtId="171" fontId="11" fillId="0" borderId="15" xfId="1" applyNumberFormat="1" applyFont="1" applyFill="1" applyBorder="1" applyAlignment="1"/>
    <xf numFmtId="171" fontId="11" fillId="0" borderId="8" xfId="1" applyNumberFormat="1" applyFont="1" applyFill="1" applyBorder="1" applyAlignment="1"/>
    <xf numFmtId="42" fontId="11" fillId="0" borderId="16" xfId="1" applyNumberFormat="1" applyFont="1" applyFill="1" applyBorder="1" applyAlignment="1"/>
    <xf numFmtId="165" fontId="11" fillId="0" borderId="0" xfId="1" applyNumberFormat="1" applyFont="1" applyFill="1" applyBorder="1" applyAlignment="1">
      <alignment horizontal="right" wrapText="1"/>
    </xf>
    <xf numFmtId="0" fontId="11" fillId="0" borderId="0" xfId="0" applyFont="1" applyAlignment="1">
      <alignment horizontal="center" wrapText="1"/>
    </xf>
    <xf numFmtId="166" fontId="11" fillId="0" borderId="0" xfId="0" applyNumberFormat="1" applyFont="1" applyAlignment="1">
      <alignment horizontal="center" wrapText="1"/>
    </xf>
    <xf numFmtId="166" fontId="11" fillId="0" borderId="0" xfId="0" applyNumberFormat="1" applyFont="1" applyAlignment="1">
      <alignment horizontal="center"/>
    </xf>
    <xf numFmtId="166" fontId="11" fillId="0" borderId="0" xfId="0" applyNumberFormat="1" applyFont="1" applyAlignment="1">
      <alignment vertical="top"/>
    </xf>
    <xf numFmtId="166" fontId="11" fillId="0" borderId="0" xfId="0" applyNumberFormat="1" applyFont="1" applyAlignment="1">
      <alignment wrapText="1"/>
    </xf>
    <xf numFmtId="166" fontId="13" fillId="0" borderId="0" xfId="0" applyNumberFormat="1" applyFont="1"/>
    <xf numFmtId="0" fontId="13" fillId="0" borderId="8" xfId="0" applyFont="1" applyBorder="1" applyAlignment="1">
      <alignment horizontal="center"/>
    </xf>
    <xf numFmtId="166" fontId="13" fillId="0" borderId="8" xfId="0" applyNumberFormat="1" applyFont="1" applyBorder="1" applyAlignment="1">
      <alignment horizontal="center"/>
    </xf>
    <xf numFmtId="42" fontId="11" fillId="0" borderId="0" xfId="1" applyNumberFormat="1" applyFont="1" applyFill="1" applyBorder="1" applyAlignment="1"/>
    <xf numFmtId="172" fontId="11" fillId="0" borderId="0" xfId="2" applyNumberFormat="1" applyFont="1" applyFill="1" applyBorder="1" applyAlignment="1"/>
    <xf numFmtId="173" fontId="11" fillId="0" borderId="8" xfId="1" applyNumberFormat="1" applyFont="1" applyFill="1" applyBorder="1" applyAlignment="1"/>
    <xf numFmtId="166" fontId="14" fillId="0" borderId="0" xfId="0" applyNumberFormat="1" applyFont="1"/>
    <xf numFmtId="166" fontId="15" fillId="0" borderId="0" xfId="0" applyNumberFormat="1" applyFont="1"/>
    <xf numFmtId="171" fontId="11" fillId="0" borderId="14" xfId="1" applyNumberFormat="1" applyFont="1" applyFill="1" applyBorder="1" applyAlignment="1"/>
    <xf numFmtId="0" fontId="11" fillId="0" borderId="0" xfId="0" applyFont="1"/>
    <xf numFmtId="166" fontId="11" fillId="0" borderId="0" xfId="0" applyNumberFormat="1" applyFont="1" applyAlignment="1">
      <alignment vertical="center" wrapText="1"/>
    </xf>
    <xf numFmtId="167" fontId="12" fillId="0" borderId="0" xfId="0" applyNumberFormat="1" applyFont="1"/>
    <xf numFmtId="171" fontId="12" fillId="0" borderId="0" xfId="0" applyNumberFormat="1" applyFont="1"/>
    <xf numFmtId="171" fontId="11" fillId="0" borderId="0" xfId="0" applyNumberFormat="1" applyFont="1"/>
    <xf numFmtId="172" fontId="12" fillId="0" borderId="0" xfId="2" applyNumberFormat="1" applyFont="1"/>
    <xf numFmtId="172" fontId="11" fillId="0" borderId="0" xfId="2" applyNumberFormat="1" applyFont="1"/>
    <xf numFmtId="174" fontId="12" fillId="0" borderId="0" xfId="2" applyNumberFormat="1" applyFont="1"/>
    <xf numFmtId="174" fontId="11" fillId="0" borderId="0" xfId="2" applyNumberFormat="1" applyFont="1"/>
    <xf numFmtId="175" fontId="11" fillId="0" borderId="0" xfId="0" applyNumberFormat="1" applyFont="1" applyAlignment="1">
      <alignment wrapText="1"/>
    </xf>
    <xf numFmtId="176" fontId="11" fillId="0" borderId="0" xfId="1" applyNumberFormat="1" applyFont="1" applyFill="1" applyBorder="1" applyAlignment="1">
      <alignment wrapText="1"/>
    </xf>
    <xf numFmtId="172" fontId="12" fillId="0" borderId="8" xfId="2" applyNumberFormat="1" applyFont="1" applyBorder="1"/>
    <xf numFmtId="172" fontId="11" fillId="0" borderId="8" xfId="2" applyNumberFormat="1" applyFont="1" applyBorder="1"/>
    <xf numFmtId="167" fontId="12" fillId="0" borderId="0" xfId="0" applyNumberFormat="1" applyFont="1" applyAlignment="1">
      <alignment vertical="top" wrapText="1"/>
    </xf>
    <xf numFmtId="171" fontId="11" fillId="0" borderId="8" xfId="0" applyNumberFormat="1" applyFont="1" applyBorder="1"/>
    <xf numFmtId="177" fontId="12" fillId="0" borderId="8" xfId="0" applyNumberFormat="1" applyFont="1" applyBorder="1"/>
    <xf numFmtId="177" fontId="11" fillId="0" borderId="8" xfId="0" applyNumberFormat="1" applyFont="1" applyBorder="1"/>
    <xf numFmtId="171" fontId="11" fillId="0" borderId="16" xfId="0" applyNumberFormat="1" applyFont="1" applyBorder="1"/>
    <xf numFmtId="178" fontId="11" fillId="0" borderId="0" xfId="0" applyNumberFormat="1" applyFont="1" applyAlignment="1">
      <alignment horizontal="left"/>
    </xf>
    <xf numFmtId="167" fontId="11" fillId="0" borderId="0" xfId="0" applyNumberFormat="1" applyFont="1"/>
    <xf numFmtId="177" fontId="12" fillId="0" borderId="0" xfId="0" applyNumberFormat="1" applyFont="1"/>
    <xf numFmtId="177" fontId="11" fillId="0" borderId="0" xfId="0" applyNumberFormat="1" applyFont="1"/>
    <xf numFmtId="166" fontId="16" fillId="0" borderId="0" xfId="0" applyNumberFormat="1" applyFont="1"/>
    <xf numFmtId="164" fontId="11" fillId="0" borderId="0" xfId="0" applyNumberFormat="1" applyFont="1" applyAlignment="1">
      <alignment wrapText="1"/>
    </xf>
    <xf numFmtId="166" fontId="16" fillId="0" borderId="0" xfId="0" applyNumberFormat="1" applyFont="1" applyAlignment="1">
      <alignment horizontal="right" wrapText="1"/>
    </xf>
    <xf numFmtId="0" fontId="10" fillId="0" borderId="0" xfId="0" applyFont="1" applyAlignment="1">
      <alignment wrapText="1"/>
    </xf>
    <xf numFmtId="166" fontId="11" fillId="0" borderId="0" xfId="1" applyNumberFormat="1" applyFont="1" applyFill="1" applyBorder="1" applyAlignment="1">
      <alignment horizontal="center" wrapText="1"/>
    </xf>
    <xf numFmtId="0" fontId="5" fillId="0" borderId="20" xfId="0" applyFont="1" applyBorder="1"/>
    <xf numFmtId="171" fontId="13" fillId="0" borderId="0" xfId="1" applyNumberFormat="1" applyFont="1" applyFill="1" applyBorder="1" applyAlignment="1"/>
    <xf numFmtId="0" fontId="11" fillId="0" borderId="0" xfId="0" applyFont="1" applyAlignment="1">
      <alignment horizontal="left" vertical="center"/>
    </xf>
    <xf numFmtId="166" fontId="13" fillId="0" borderId="0" xfId="0" applyNumberFormat="1" applyFont="1" applyAlignment="1">
      <alignment vertical="center"/>
    </xf>
    <xf numFmtId="166" fontId="11" fillId="0" borderId="0" xfId="0" applyNumberFormat="1" applyFont="1" applyAlignment="1">
      <alignment horizontal="left" vertical="center" indent="5"/>
    </xf>
    <xf numFmtId="166" fontId="11" fillId="0" borderId="8" xfId="0" applyNumberFormat="1" applyFont="1" applyBorder="1" applyAlignment="1">
      <alignment horizontal="center" wrapText="1"/>
    </xf>
    <xf numFmtId="166" fontId="13" fillId="0" borderId="8" xfId="0" applyNumberFormat="1" applyFont="1" applyBorder="1" applyAlignment="1">
      <alignment horizontal="center" wrapText="1"/>
    </xf>
    <xf numFmtId="166" fontId="11" fillId="0" borderId="0" xfId="0" applyNumberFormat="1" applyFont="1" applyAlignment="1">
      <alignment vertical="center"/>
    </xf>
    <xf numFmtId="167" fontId="12" fillId="0" borderId="0" xfId="0" applyNumberFormat="1" applyFont="1" applyAlignment="1">
      <alignment horizontal="center"/>
    </xf>
    <xf numFmtId="166" fontId="11" fillId="0" borderId="0" xfId="0" applyNumberFormat="1" applyFont="1" applyAlignment="1">
      <alignment horizontal="center" vertical="center" wrapText="1"/>
    </xf>
    <xf numFmtId="171" fontId="11" fillId="0" borderId="0" xfId="1" applyNumberFormat="1" applyFont="1" applyFill="1" applyBorder="1" applyAlignment="1">
      <alignment vertical="center" wrapText="1"/>
    </xf>
    <xf numFmtId="167" fontId="11" fillId="0" borderId="0" xfId="0" applyNumberFormat="1" applyFont="1" applyAlignment="1">
      <alignment horizontal="center"/>
    </xf>
    <xf numFmtId="166" fontId="13" fillId="0" borderId="0" xfId="0" applyNumberFormat="1" applyFont="1" applyAlignment="1">
      <alignment vertical="center" wrapText="1"/>
    </xf>
    <xf numFmtId="165" fontId="11" fillId="0" borderId="0" xfId="1" applyNumberFormat="1" applyFont="1" applyFill="1" applyBorder="1" applyAlignment="1">
      <alignment horizontal="right" vertical="center" wrapText="1"/>
    </xf>
    <xf numFmtId="166" fontId="11" fillId="0" borderId="8" xfId="0" applyNumberFormat="1" applyFont="1" applyBorder="1" applyAlignment="1">
      <alignment horizontal="center" vertical="center" wrapText="1"/>
    </xf>
    <xf numFmtId="0" fontId="11" fillId="0" borderId="8" xfId="0" applyFont="1" applyBorder="1" applyAlignment="1">
      <alignment horizontal="center" vertical="center" wrapText="1"/>
    </xf>
    <xf numFmtId="166" fontId="16" fillId="0" borderId="0" xfId="0" applyNumberFormat="1" applyFont="1" applyAlignment="1">
      <alignment horizontal="center" vertical="center" wrapText="1"/>
    </xf>
    <xf numFmtId="166" fontId="11" fillId="0" borderId="0" xfId="0" applyNumberFormat="1" applyFont="1" applyAlignment="1">
      <alignment horizontal="left" vertical="center" wrapText="1" indent="1"/>
    </xf>
    <xf numFmtId="166" fontId="11" fillId="0" borderId="0" xfId="0" applyNumberFormat="1" applyFont="1" applyAlignment="1">
      <alignment horizontal="center" vertical="center"/>
    </xf>
    <xf numFmtId="166" fontId="11" fillId="0" borderId="0" xfId="1" applyNumberFormat="1" applyFont="1" applyFill="1" applyBorder="1" applyAlignment="1">
      <alignment horizontal="center" vertical="center" wrapText="1"/>
    </xf>
    <xf numFmtId="166" fontId="11" fillId="0" borderId="14" xfId="0" applyNumberFormat="1" applyFont="1" applyBorder="1" applyAlignment="1">
      <alignment horizontal="left" vertical="center" indent="1"/>
    </xf>
    <xf numFmtId="166" fontId="11" fillId="0" borderId="0" xfId="0" applyNumberFormat="1" applyFont="1" applyAlignment="1">
      <alignment horizontal="left" vertical="center" indent="1"/>
    </xf>
    <xf numFmtId="166" fontId="11" fillId="0" borderId="14" xfId="0" applyNumberFormat="1" applyFont="1" applyBorder="1"/>
    <xf numFmtId="166" fontId="11" fillId="0" borderId="0" xfId="0" applyNumberFormat="1" applyFont="1" applyAlignment="1">
      <alignment horizontal="right" vertical="center"/>
    </xf>
    <xf numFmtId="166" fontId="11" fillId="0" borderId="0" xfId="1" applyNumberFormat="1" applyFont="1" applyFill="1" applyBorder="1" applyAlignment="1">
      <alignment horizontal="right" vertical="center" wrapText="1"/>
    </xf>
    <xf numFmtId="0" fontId="13" fillId="0" borderId="0" xfId="0" applyFont="1" applyAlignment="1">
      <alignment horizontal="center"/>
    </xf>
    <xf numFmtId="0" fontId="13" fillId="0" borderId="0" xfId="0" applyFont="1" applyAlignment="1">
      <alignment horizontal="center" wrapText="1"/>
    </xf>
    <xf numFmtId="167" fontId="13" fillId="0" borderId="0" xfId="0" applyNumberFormat="1" applyFont="1" applyAlignment="1">
      <alignment horizontal="center" wrapText="1"/>
    </xf>
    <xf numFmtId="0" fontId="13" fillId="0" borderId="0" xfId="0" applyFont="1"/>
    <xf numFmtId="169" fontId="11" fillId="0" borderId="0" xfId="1" applyNumberFormat="1" applyFont="1" applyBorder="1"/>
    <xf numFmtId="169" fontId="11" fillId="0" borderId="0" xfId="1" applyNumberFormat="1" applyFont="1" applyFill="1" applyBorder="1"/>
    <xf numFmtId="0" fontId="17" fillId="0" borderId="0" xfId="0" applyFont="1" applyAlignment="1">
      <alignment horizontal="left" vertical="center" indent="5"/>
    </xf>
    <xf numFmtId="179" fontId="11" fillId="0" borderId="0" xfId="0" applyNumberFormat="1" applyFont="1"/>
    <xf numFmtId="43" fontId="11" fillId="0" borderId="0" xfId="1" applyFont="1" applyBorder="1"/>
    <xf numFmtId="43" fontId="11" fillId="0" borderId="0" xfId="1" applyFont="1" applyBorder="1" applyAlignment="1">
      <alignment horizontal="center"/>
    </xf>
    <xf numFmtId="0" fontId="11" fillId="0" borderId="0" xfId="0" applyFont="1" applyAlignment="1">
      <alignment wrapText="1"/>
    </xf>
    <xf numFmtId="167" fontId="10" fillId="0" borderId="0" xfId="0" applyNumberFormat="1" applyFont="1" applyAlignment="1">
      <alignment horizontal="left"/>
    </xf>
    <xf numFmtId="0" fontId="10" fillId="0" borderId="0" xfId="0" applyFont="1" applyAlignment="1">
      <alignment horizontal="center"/>
    </xf>
    <xf numFmtId="0" fontId="12" fillId="0" borderId="0" xfId="0" applyFont="1" applyAlignment="1">
      <alignment wrapText="1"/>
    </xf>
    <xf numFmtId="0" fontId="13" fillId="0" borderId="0" xfId="0" applyFont="1" applyAlignment="1">
      <alignment horizontal="center" vertical="top" wrapText="1"/>
    </xf>
    <xf numFmtId="167" fontId="13" fillId="0" borderId="0" xfId="0" applyNumberFormat="1" applyFont="1"/>
    <xf numFmtId="42" fontId="11" fillId="0" borderId="0" xfId="3" applyNumberFormat="1" applyFont="1" applyBorder="1"/>
    <xf numFmtId="180" fontId="11" fillId="0" borderId="0" xfId="3" applyNumberFormat="1" applyFont="1" applyBorder="1"/>
    <xf numFmtId="172" fontId="11" fillId="0" borderId="0" xfId="2" applyNumberFormat="1" applyFont="1" applyBorder="1"/>
    <xf numFmtId="9" fontId="11" fillId="0" borderId="0" xfId="3" applyNumberFormat="1" applyFont="1" applyBorder="1"/>
    <xf numFmtId="164" fontId="12" fillId="0" borderId="0" xfId="0" applyNumberFormat="1" applyFont="1"/>
    <xf numFmtId="167" fontId="10" fillId="0" borderId="0" xfId="0" applyNumberFormat="1" applyFont="1"/>
    <xf numFmtId="42" fontId="11" fillId="0" borderId="0" xfId="0" applyNumberFormat="1" applyFont="1"/>
    <xf numFmtId="171" fontId="11" fillId="0" borderId="0" xfId="3" applyNumberFormat="1" applyFont="1"/>
    <xf numFmtId="171" fontId="11" fillId="0" borderId="8" xfId="3" applyNumberFormat="1" applyFont="1" applyBorder="1"/>
    <xf numFmtId="167" fontId="12" fillId="0" borderId="0" xfId="0" applyNumberFormat="1" applyFont="1" applyAlignment="1">
      <alignment wrapText="1"/>
    </xf>
    <xf numFmtId="42" fontId="11" fillId="0" borderId="0" xfId="3" applyNumberFormat="1" applyFont="1" applyAlignment="1">
      <alignment horizontal="center"/>
    </xf>
    <xf numFmtId="167" fontId="10" fillId="0" borderId="0" xfId="0" applyNumberFormat="1" applyFont="1" applyAlignment="1">
      <alignment horizontal="center"/>
    </xf>
    <xf numFmtId="171" fontId="13" fillId="0" borderId="0" xfId="0" applyNumberFormat="1" applyFont="1"/>
    <xf numFmtId="171" fontId="11" fillId="0" borderId="14" xfId="0" applyNumberFormat="1" applyFont="1" applyBorder="1"/>
    <xf numFmtId="167" fontId="10" fillId="0" borderId="0" xfId="0" applyNumberFormat="1" applyFont="1" applyAlignment="1">
      <alignment wrapText="1"/>
    </xf>
    <xf numFmtId="0" fontId="12" fillId="0" borderId="0" xfId="0" applyFont="1" applyAlignment="1">
      <alignment horizontal="center"/>
    </xf>
    <xf numFmtId="42" fontId="12" fillId="0" borderId="0" xfId="0" applyNumberFormat="1" applyFont="1"/>
    <xf numFmtId="171" fontId="12" fillId="0" borderId="8" xfId="0" applyNumberFormat="1" applyFont="1" applyBorder="1"/>
    <xf numFmtId="171" fontId="12" fillId="0" borderId="0" xfId="3" applyNumberFormat="1" applyFont="1"/>
    <xf numFmtId="171" fontId="12" fillId="0" borderId="8" xfId="3" applyNumberFormat="1" applyFont="1" applyBorder="1"/>
    <xf numFmtId="42" fontId="12" fillId="0" borderId="0" xfId="3" applyNumberFormat="1" applyFont="1" applyBorder="1"/>
    <xf numFmtId="180" fontId="12" fillId="0" borderId="0" xfId="3" applyNumberFormat="1" applyFont="1" applyBorder="1"/>
    <xf numFmtId="42" fontId="12" fillId="0" borderId="0" xfId="3" applyNumberFormat="1" applyFont="1" applyAlignment="1">
      <alignment horizontal="center"/>
    </xf>
    <xf numFmtId="171" fontId="10" fillId="0" borderId="0" xfId="0" applyNumberFormat="1" applyFont="1"/>
    <xf numFmtId="171" fontId="12" fillId="0" borderId="14" xfId="0" applyNumberFormat="1" applyFont="1" applyBorder="1"/>
    <xf numFmtId="167" fontId="13" fillId="0" borderId="0" xfId="0" applyNumberFormat="1" applyFont="1" applyAlignment="1">
      <alignment horizontal="left"/>
    </xf>
    <xf numFmtId="0" fontId="5" fillId="2" borderId="0" xfId="0" applyFont="1" applyFill="1" applyAlignment="1">
      <alignment vertical="center" wrapText="1"/>
    </xf>
    <xf numFmtId="166" fontId="10" fillId="0" borderId="0" xfId="0" applyNumberFormat="1" applyFont="1" applyAlignment="1">
      <alignment horizontal="center"/>
    </xf>
    <xf numFmtId="167" fontId="21" fillId="0" borderId="0" xfId="0" applyNumberFormat="1" applyFont="1"/>
    <xf numFmtId="177" fontId="21" fillId="0" borderId="0" xfId="0" applyNumberFormat="1" applyFont="1"/>
    <xf numFmtId="171" fontId="12" fillId="0" borderId="0" xfId="1" applyNumberFormat="1" applyFont="1"/>
    <xf numFmtId="179" fontId="12" fillId="0" borderId="0" xfId="1" applyNumberFormat="1" applyFont="1"/>
    <xf numFmtId="171" fontId="12" fillId="0" borderId="0" xfId="3" applyNumberFormat="1" applyFont="1" applyBorder="1"/>
    <xf numFmtId="171" fontId="12" fillId="0" borderId="15" xfId="1" applyNumberFormat="1" applyFont="1" applyBorder="1"/>
    <xf numFmtId="177" fontId="12" fillId="0" borderId="0" xfId="3" applyNumberFormat="1" applyFont="1" applyBorder="1"/>
    <xf numFmtId="42" fontId="12" fillId="0" borderId="16" xfId="3" applyNumberFormat="1" applyFont="1" applyBorder="1"/>
    <xf numFmtId="171" fontId="11" fillId="0" borderId="0" xfId="3" applyNumberFormat="1" applyFont="1" applyBorder="1"/>
    <xf numFmtId="171" fontId="11" fillId="0" borderId="16" xfId="3" applyNumberFormat="1" applyFont="1" applyBorder="1"/>
    <xf numFmtId="177" fontId="10" fillId="0" borderId="0" xfId="3" applyNumberFormat="1" applyFont="1"/>
    <xf numFmtId="177" fontId="12" fillId="0" borderId="0" xfId="3" applyNumberFormat="1" applyFont="1"/>
    <xf numFmtId="42" fontId="12" fillId="0" borderId="14" xfId="3" applyNumberFormat="1" applyFont="1" applyBorder="1"/>
    <xf numFmtId="9" fontId="10" fillId="0" borderId="0" xfId="0" applyNumberFormat="1" applyFont="1"/>
    <xf numFmtId="167" fontId="12" fillId="3" borderId="0" xfId="0" applyNumberFormat="1" applyFont="1" applyFill="1"/>
    <xf numFmtId="177" fontId="10" fillId="0" borderId="0" xfId="0" applyNumberFormat="1" applyFont="1"/>
    <xf numFmtId="0" fontId="13" fillId="0" borderId="0" xfId="0" applyFont="1" applyAlignment="1">
      <alignment horizontal="center" vertical="top"/>
    </xf>
    <xf numFmtId="0" fontId="10" fillId="0" borderId="0" xfId="0" applyFont="1" applyAlignment="1">
      <alignment horizontal="center" vertical="top"/>
    </xf>
    <xf numFmtId="0" fontId="22" fillId="0" borderId="0" xfId="0" applyFont="1" applyAlignment="1">
      <alignment horizontal="center" vertical="top"/>
    </xf>
    <xf numFmtId="167" fontId="10" fillId="4" borderId="1" xfId="0" applyNumberFormat="1" applyFont="1" applyFill="1" applyBorder="1" applyAlignment="1">
      <alignment wrapText="1"/>
    </xf>
    <xf numFmtId="167" fontId="12" fillId="4" borderId="7" xfId="0" applyNumberFormat="1" applyFont="1" applyFill="1" applyBorder="1" applyAlignment="1">
      <alignment horizontal="center"/>
    </xf>
    <xf numFmtId="167" fontId="12" fillId="4" borderId="7" xfId="0" applyNumberFormat="1" applyFont="1" applyFill="1" applyBorder="1"/>
    <xf numFmtId="167" fontId="12" fillId="4" borderId="2" xfId="0" applyNumberFormat="1" applyFont="1" applyFill="1" applyBorder="1"/>
    <xf numFmtId="167" fontId="12" fillId="4" borderId="3" xfId="0" applyNumberFormat="1" applyFont="1" applyFill="1" applyBorder="1" applyAlignment="1">
      <alignment wrapText="1"/>
    </xf>
    <xf numFmtId="9" fontId="12" fillId="4" borderId="0" xfId="2" applyFont="1" applyFill="1" applyBorder="1" applyAlignment="1">
      <alignment horizontal="center"/>
    </xf>
    <xf numFmtId="167" fontId="12" fillId="4" borderId="4" xfId="0" applyNumberFormat="1" applyFont="1" applyFill="1" applyBorder="1"/>
    <xf numFmtId="167" fontId="12" fillId="4" borderId="3" xfId="0" applyNumberFormat="1" applyFont="1" applyFill="1" applyBorder="1"/>
    <xf numFmtId="182" fontId="12" fillId="4" borderId="0" xfId="2" applyNumberFormat="1" applyFont="1" applyFill="1" applyBorder="1" applyAlignment="1">
      <alignment horizontal="center"/>
    </xf>
    <xf numFmtId="171" fontId="21" fillId="4" borderId="0" xfId="1" applyNumberFormat="1" applyFont="1" applyFill="1" applyBorder="1"/>
    <xf numFmtId="167" fontId="12" fillId="4" borderId="5" xfId="0" applyNumberFormat="1" applyFont="1" applyFill="1" applyBorder="1"/>
    <xf numFmtId="0" fontId="22" fillId="4" borderId="11" xfId="0" applyFont="1" applyFill="1" applyBorder="1" applyAlignment="1">
      <alignment horizontal="center" vertical="top"/>
    </xf>
    <xf numFmtId="177" fontId="21" fillId="4" borderId="11" xfId="0" applyNumberFormat="1" applyFont="1" applyFill="1" applyBorder="1"/>
    <xf numFmtId="171" fontId="12" fillId="4" borderId="11" xfId="1" applyNumberFormat="1" applyFont="1" applyFill="1" applyBorder="1"/>
    <xf numFmtId="171" fontId="12" fillId="4" borderId="6" xfId="1" applyNumberFormat="1" applyFont="1" applyFill="1" applyBorder="1"/>
    <xf numFmtId="167" fontId="22" fillId="0" borderId="0" xfId="0" applyNumberFormat="1" applyFont="1"/>
    <xf numFmtId="0" fontId="10" fillId="3" borderId="0" xfId="0" applyFont="1" applyFill="1" applyAlignment="1">
      <alignment horizontal="center" vertical="top"/>
    </xf>
    <xf numFmtId="177" fontId="12" fillId="3" borderId="0" xfId="3" applyNumberFormat="1" applyFont="1" applyFill="1"/>
    <xf numFmtId="167" fontId="10" fillId="3" borderId="0" xfId="0" applyNumberFormat="1" applyFont="1" applyFill="1"/>
    <xf numFmtId="10" fontId="12" fillId="0" borderId="0" xfId="2" applyNumberFormat="1" applyFont="1"/>
    <xf numFmtId="169" fontId="23" fillId="4" borderId="8" xfId="1" applyNumberFormat="1" applyFont="1" applyFill="1" applyBorder="1"/>
    <xf numFmtId="169" fontId="23" fillId="4" borderId="9" xfId="1" applyNumberFormat="1" applyFont="1" applyFill="1" applyBorder="1"/>
    <xf numFmtId="177" fontId="13" fillId="0" borderId="0" xfId="0" applyNumberFormat="1" applyFont="1" applyAlignment="1">
      <alignment horizontal="center"/>
    </xf>
    <xf numFmtId="177" fontId="10" fillId="0" borderId="0" xfId="0" applyNumberFormat="1" applyFont="1" applyAlignment="1">
      <alignment horizontal="center"/>
    </xf>
    <xf numFmtId="167" fontId="10" fillId="0" borderId="8" xfId="0" applyNumberFormat="1" applyFont="1" applyBorder="1"/>
    <xf numFmtId="177" fontId="12" fillId="0" borderId="21" xfId="0" applyNumberFormat="1" applyFont="1" applyBorder="1"/>
    <xf numFmtId="177" fontId="24" fillId="0" borderId="21" xfId="0" applyNumberFormat="1" applyFont="1" applyBorder="1"/>
    <xf numFmtId="167" fontId="24" fillId="0" borderId="0" xfId="0" applyNumberFormat="1" applyFont="1" applyAlignment="1">
      <alignment horizontal="center"/>
    </xf>
    <xf numFmtId="167" fontId="24" fillId="4" borderId="3" xfId="0" applyNumberFormat="1" applyFont="1" applyFill="1" applyBorder="1"/>
    <xf numFmtId="171" fontId="23" fillId="4" borderId="4" xfId="1" applyNumberFormat="1" applyFont="1" applyFill="1" applyBorder="1"/>
    <xf numFmtId="167" fontId="24" fillId="0" borderId="0" xfId="0" applyNumberFormat="1" applyFont="1"/>
    <xf numFmtId="167" fontId="26" fillId="0" borderId="0" xfId="0" applyNumberFormat="1" applyFont="1"/>
    <xf numFmtId="167" fontId="12" fillId="4" borderId="0" xfId="0" applyNumberFormat="1" applyFont="1" applyFill="1"/>
    <xf numFmtId="0" fontId="22" fillId="4" borderId="0" xfId="0" applyFont="1" applyFill="1" applyAlignment="1">
      <alignment horizontal="center" vertical="top"/>
    </xf>
    <xf numFmtId="177" fontId="21" fillId="4" borderId="0" xfId="0" applyNumberFormat="1" applyFont="1" applyFill="1"/>
    <xf numFmtId="0" fontId="25" fillId="4" borderId="0" xfId="0" applyFont="1" applyFill="1" applyAlignment="1">
      <alignment horizontal="center" vertical="top"/>
    </xf>
    <xf numFmtId="177" fontId="23" fillId="4" borderId="0" xfId="0" applyNumberFormat="1" applyFont="1" applyFill="1"/>
    <xf numFmtId="177" fontId="24" fillId="0" borderId="0" xfId="0" applyNumberFormat="1" applyFont="1"/>
    <xf numFmtId="177" fontId="27" fillId="0" borderId="0" xfId="0" applyNumberFormat="1" applyFont="1"/>
    <xf numFmtId="167" fontId="28" fillId="0" borderId="0" xfId="0" applyNumberFormat="1" applyFont="1"/>
    <xf numFmtId="182" fontId="10" fillId="0" borderId="0" xfId="2" applyNumberFormat="1" applyFont="1"/>
    <xf numFmtId="182" fontId="27" fillId="0" borderId="0" xfId="2" applyNumberFormat="1" applyFont="1"/>
    <xf numFmtId="167" fontId="27" fillId="5" borderId="0" xfId="0" applyNumberFormat="1" applyFont="1" applyFill="1"/>
    <xf numFmtId="0" fontId="29" fillId="0" borderId="0" xfId="0" applyFont="1" applyAlignment="1">
      <alignment horizontal="center"/>
    </xf>
    <xf numFmtId="167" fontId="30" fillId="0" borderId="0" xfId="0" applyNumberFormat="1" applyFont="1"/>
    <xf numFmtId="167" fontId="31" fillId="0" borderId="0" xfId="0" applyNumberFormat="1" applyFont="1"/>
    <xf numFmtId="167" fontId="12" fillId="6" borderId="0" xfId="0" applyNumberFormat="1" applyFont="1" applyFill="1"/>
    <xf numFmtId="171" fontId="12" fillId="6" borderId="0" xfId="3" applyNumberFormat="1" applyFont="1" applyFill="1"/>
    <xf numFmtId="167" fontId="12" fillId="6" borderId="0" xfId="0" applyNumberFormat="1" applyFont="1" applyFill="1" applyAlignment="1">
      <alignment wrapText="1"/>
    </xf>
    <xf numFmtId="42" fontId="12" fillId="6" borderId="14" xfId="3" applyNumberFormat="1" applyFont="1" applyFill="1" applyBorder="1"/>
    <xf numFmtId="171" fontId="10" fillId="0" borderId="0" xfId="2" applyNumberFormat="1" applyFont="1"/>
    <xf numFmtId="171" fontId="27" fillId="0" borderId="0" xfId="2" applyNumberFormat="1" applyFont="1"/>
    <xf numFmtId="44" fontId="11" fillId="0" borderId="0" xfId="0" applyNumberFormat="1" applyFont="1"/>
    <xf numFmtId="9" fontId="11" fillId="0" borderId="0" xfId="0" applyNumberFormat="1" applyFont="1"/>
    <xf numFmtId="0" fontId="10" fillId="0" borderId="0" xfId="0" applyFont="1" applyAlignment="1">
      <alignment horizontal="center" vertical="top" wrapText="1"/>
    </xf>
    <xf numFmtId="0" fontId="16" fillId="0" borderId="0" xfId="0" applyFont="1"/>
    <xf numFmtId="179" fontId="11" fillId="0" borderId="0" xfId="1" applyNumberFormat="1" applyFont="1" applyBorder="1"/>
    <xf numFmtId="180" fontId="12" fillId="0" borderId="0" xfId="0" applyNumberFormat="1" applyFont="1"/>
    <xf numFmtId="180" fontId="11" fillId="0" borderId="0" xfId="0" applyNumberFormat="1" applyFont="1"/>
    <xf numFmtId="44" fontId="11" fillId="0" borderId="0" xfId="3" applyFont="1" applyBorder="1"/>
    <xf numFmtId="42" fontId="13" fillId="0" borderId="0" xfId="3" applyNumberFormat="1" applyFont="1" applyBorder="1"/>
    <xf numFmtId="181" fontId="18" fillId="0" borderId="0" xfId="0" applyNumberFormat="1" applyFont="1"/>
    <xf numFmtId="0" fontId="18" fillId="0" borderId="0" xfId="0" applyFont="1"/>
    <xf numFmtId="167" fontId="10" fillId="6" borderId="0" xfId="0" applyNumberFormat="1" applyFont="1" applyFill="1" applyAlignment="1">
      <alignment wrapText="1"/>
    </xf>
    <xf numFmtId="0" fontId="4" fillId="2" borderId="17" xfId="0" applyFont="1" applyFill="1" applyBorder="1" applyAlignment="1">
      <alignment vertical="center" wrapText="1"/>
    </xf>
    <xf numFmtId="0" fontId="6" fillId="2" borderId="18"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6" fillId="2" borderId="0" xfId="0" applyFont="1" applyFill="1" applyAlignment="1">
      <alignment horizontal="center"/>
    </xf>
    <xf numFmtId="43" fontId="6" fillId="2" borderId="0" xfId="1" applyFont="1" applyFill="1" applyAlignment="1">
      <alignment horizontal="center" vertical="center" wrapText="1"/>
    </xf>
    <xf numFmtId="168" fontId="6" fillId="2" borderId="0" xfId="1" applyNumberFormat="1" applyFont="1" applyFill="1" applyAlignment="1">
      <alignment horizontal="center"/>
    </xf>
    <xf numFmtId="0" fontId="5" fillId="2" borderId="0" xfId="0" applyFont="1" applyFill="1" applyAlignment="1">
      <alignment horizontal="left" vertical="center"/>
    </xf>
    <xf numFmtId="0" fontId="13" fillId="0" borderId="0" xfId="0" applyFont="1"/>
    <xf numFmtId="0" fontId="11" fillId="0" borderId="0" xfId="0" applyFont="1" applyAlignment="1">
      <alignment horizontal="left" wrapText="1"/>
    </xf>
    <xf numFmtId="0" fontId="11" fillId="0" borderId="0" xfId="0" applyFont="1"/>
    <xf numFmtId="166" fontId="16" fillId="0" borderId="0" xfId="0" applyNumberFormat="1" applyFont="1" applyAlignment="1">
      <alignment horizontal="center" vertical="center" wrapText="1"/>
    </xf>
    <xf numFmtId="166" fontId="16" fillId="0" borderId="0" xfId="0" applyNumberFormat="1" applyFont="1" applyAlignment="1">
      <alignment horizontal="left" vertical="center" wrapText="1"/>
    </xf>
    <xf numFmtId="0" fontId="10" fillId="0" borderId="0" xfId="0" applyFont="1" applyAlignment="1">
      <alignment wrapText="1"/>
    </xf>
    <xf numFmtId="166" fontId="13" fillId="0" borderId="0" xfId="0" applyNumberFormat="1" applyFont="1" applyAlignment="1">
      <alignment horizontal="left" vertical="center" wrapText="1"/>
    </xf>
    <xf numFmtId="166" fontId="11" fillId="0" borderId="0" xfId="0" applyNumberFormat="1" applyFont="1" applyAlignment="1">
      <alignment wrapText="1"/>
    </xf>
    <xf numFmtId="166" fontId="16" fillId="0" borderId="0" xfId="0" applyNumberFormat="1" applyFont="1" applyAlignment="1">
      <alignment horizontal="left" wrapText="1"/>
    </xf>
    <xf numFmtId="166" fontId="13" fillId="0" borderId="0" xfId="0" applyNumberFormat="1" applyFont="1" applyAlignment="1">
      <alignment wrapText="1"/>
    </xf>
    <xf numFmtId="166" fontId="11" fillId="0" borderId="0" xfId="0" applyNumberFormat="1" applyFont="1" applyAlignment="1">
      <alignment vertical="center" wrapText="1"/>
    </xf>
  </cellXfs>
  <cellStyles count="4">
    <cellStyle name="Milliers" xfId="1" builtinId="3"/>
    <cellStyle name="Monétaire" xfId="3" builtinId="4"/>
    <cellStyle name="Normal" xfId="0" builtinId="0"/>
    <cellStyle name="Pourcentage" xfId="2" builtinId="5"/>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Marie-Ève Quenneville" id="{138EFE1B-712A-43A3-A066-6E907D893BA4}" userId="S::marie-eve.quenneville@hec.ca::1834e381-f276-462b-ad40-56932688273f" providerId="AD"/>
</personList>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9" dT="2023-09-11T18:28:09.52" personId="{138EFE1B-712A-43A3-A066-6E907D893BA4}" id="{F7152E20-5BF1-4FDD-8A13-87C57233A6D8}">
    <text xml:space="preserve">En 2021, la catégorie 53 était admissible à la passation intégrale en charge pour la machinerie et l'équipement de fabrication. 
</text>
  </threadedComment>
  <threadedComment ref="E64" dT="2023-10-02T16:40:25.13" personId="{138EFE1B-712A-43A3-A066-6E907D893BA4}" id="{C6E51BE4-7309-4CFE-BEB8-FBC50A9E70D1}">
    <text>L'entreprise serait considérée comme une entreprise et non comme une co-entreprise puisque WDI garde le lien avec les actifs (WDI financera l'achat du matériel du projet). On comptabilisera donc la part de WDI dans les actifs et passifs de l'entreprise commune. Il faut donc inclure l'amortissement du matériel dans le calcul de la marge d'exploitation. Si le contrat avait été considéré comme une co-entreprise (une entité incorporée aurait été créée) la méthode de la mise en équivalence aurait pu être utilisée. Auquel cas, la quote-part du projet serait apparue après le bénéfice d'exploitation et n'aurait pas eu d'impact sur le bénéfice d'exploitation.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64090-A74D-45A2-916A-D48D34325F9B}">
  <sheetPr codeName="Feuil1">
    <tabColor theme="9"/>
  </sheetPr>
  <dimension ref="A1:AI79"/>
  <sheetViews>
    <sheetView tabSelected="1" topLeftCell="A46" zoomScaleNormal="100" workbookViewId="0">
      <selection activeCell="B72" sqref="B72"/>
    </sheetView>
  </sheetViews>
  <sheetFormatPr baseColWidth="10" defaultColWidth="9.33203125" defaultRowHeight="13.8" x14ac:dyDescent="0.25"/>
  <cols>
    <col min="1" max="1" width="9.33203125" style="133"/>
    <col min="2" max="2" width="88" style="100" customWidth="1"/>
    <col min="3" max="3" width="8.44140625" style="100" bestFit="1" customWidth="1"/>
    <col min="4" max="4" width="17.33203125" style="100" customWidth="1"/>
    <col min="5" max="5" width="17.33203125" style="100" bestFit="1" customWidth="1"/>
    <col min="6" max="6" width="15.6640625" style="100" customWidth="1"/>
    <col min="7" max="7" width="16.33203125" style="100" customWidth="1"/>
    <col min="8" max="8" width="15.6640625" style="100" customWidth="1"/>
    <col min="9" max="10" width="15.88671875" style="100" bestFit="1" customWidth="1"/>
    <col min="11" max="11" width="14.6640625" style="100" bestFit="1" customWidth="1"/>
    <col min="12" max="12" width="15.109375" style="100" bestFit="1" customWidth="1"/>
    <col min="13" max="13" width="15.88671875" style="100" bestFit="1" customWidth="1"/>
    <col min="14" max="14" width="14.6640625" style="100" bestFit="1" customWidth="1"/>
    <col min="15" max="15" width="15.88671875" style="100" bestFit="1" customWidth="1"/>
    <col min="16" max="18" width="14.6640625" style="100" bestFit="1" customWidth="1"/>
    <col min="19" max="19" width="16.33203125" style="100" bestFit="1" customWidth="1"/>
    <col min="20" max="26" width="14.6640625" style="100" bestFit="1" customWidth="1"/>
    <col min="27" max="27" width="16.33203125" style="100" customWidth="1"/>
    <col min="28" max="28" width="15.6640625" style="100" customWidth="1"/>
    <col min="29" max="29" width="15.5546875" style="100" customWidth="1"/>
    <col min="30" max="34" width="15.33203125" style="100" bestFit="1" customWidth="1"/>
    <col min="35" max="35" width="12.33203125" style="100" bestFit="1" customWidth="1"/>
    <col min="36" max="16384" width="9.33203125" style="100"/>
  </cols>
  <sheetData>
    <row r="1" spans="1:35" ht="28.5" customHeight="1" x14ac:dyDescent="0.25">
      <c r="A1" s="171" t="s">
        <v>0</v>
      </c>
      <c r="B1" s="175"/>
      <c r="C1" s="133"/>
    </row>
    <row r="2" spans="1:35" ht="28.5" customHeight="1" thickBot="1" x14ac:dyDescent="0.3">
      <c r="A2" s="171"/>
      <c r="B2" s="175"/>
      <c r="C2" s="133"/>
    </row>
    <row r="3" spans="1:35" ht="28.5" customHeight="1" x14ac:dyDescent="0.25">
      <c r="A3" s="171"/>
      <c r="B3" s="213" t="s">
        <v>1</v>
      </c>
      <c r="C3" s="214"/>
      <c r="D3" s="215"/>
      <c r="E3" s="215"/>
      <c r="F3" s="215"/>
      <c r="G3" s="215"/>
      <c r="H3" s="215"/>
      <c r="I3" s="215"/>
      <c r="J3" s="215"/>
      <c r="K3" s="215"/>
      <c r="L3" s="215"/>
      <c r="M3" s="215"/>
      <c r="N3" s="215"/>
      <c r="O3" s="215"/>
      <c r="P3" s="215"/>
      <c r="Q3" s="215"/>
      <c r="R3" s="215"/>
      <c r="S3" s="215"/>
      <c r="T3" s="215"/>
      <c r="U3" s="215"/>
      <c r="V3" s="215"/>
      <c r="W3" s="215"/>
      <c r="X3" s="215"/>
      <c r="Y3" s="215"/>
      <c r="Z3" s="215"/>
      <c r="AA3" s="215"/>
      <c r="AB3" s="215"/>
      <c r="AC3" s="215"/>
      <c r="AD3" s="215"/>
      <c r="AE3" s="215"/>
      <c r="AF3" s="215"/>
      <c r="AG3" s="215"/>
      <c r="AH3" s="216"/>
    </row>
    <row r="4" spans="1:35" x14ac:dyDescent="0.25">
      <c r="A4" s="171"/>
      <c r="B4" s="217" t="s">
        <v>2</v>
      </c>
      <c r="C4" s="218">
        <v>0.1</v>
      </c>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c r="AG4" s="245"/>
      <c r="AH4" s="219"/>
    </row>
    <row r="5" spans="1:35" x14ac:dyDescent="0.25">
      <c r="A5" s="171"/>
      <c r="B5" s="220" t="s">
        <v>3</v>
      </c>
      <c r="C5" s="221">
        <v>0.26500000000000001</v>
      </c>
      <c r="D5" s="245"/>
      <c r="E5" s="245"/>
      <c r="F5" s="245"/>
      <c r="G5" s="245"/>
      <c r="H5" s="245"/>
      <c r="I5" s="245"/>
      <c r="J5" s="245"/>
      <c r="K5" s="245"/>
      <c r="L5" s="245"/>
      <c r="M5" s="245"/>
      <c r="N5" s="245"/>
      <c r="O5" s="245"/>
      <c r="P5" s="245"/>
      <c r="Q5" s="245"/>
      <c r="R5" s="245"/>
      <c r="S5" s="245"/>
      <c r="T5" s="245"/>
      <c r="U5" s="245"/>
      <c r="V5" s="245"/>
      <c r="W5" s="245"/>
      <c r="X5" s="245"/>
      <c r="Y5" s="245"/>
      <c r="Z5" s="245"/>
      <c r="AA5" s="245"/>
      <c r="AB5" s="245"/>
      <c r="AC5" s="245"/>
      <c r="AD5" s="245"/>
      <c r="AE5" s="245"/>
      <c r="AF5" s="245"/>
      <c r="AG5" s="245"/>
      <c r="AH5" s="219"/>
    </row>
    <row r="6" spans="1:35" x14ac:dyDescent="0.25">
      <c r="A6" s="171"/>
      <c r="B6" s="217" t="s">
        <v>4</v>
      </c>
      <c r="C6" s="221">
        <v>0.02</v>
      </c>
      <c r="D6" s="245"/>
      <c r="E6" s="245"/>
      <c r="F6" s="245"/>
      <c r="G6" s="245"/>
      <c r="H6" s="245"/>
      <c r="I6" s="245"/>
      <c r="J6" s="245"/>
      <c r="K6" s="245"/>
      <c r="L6" s="245"/>
      <c r="M6" s="245"/>
      <c r="N6" s="245"/>
      <c r="O6" s="245"/>
      <c r="P6" s="245"/>
      <c r="Q6" s="245"/>
      <c r="R6" s="245"/>
      <c r="S6" s="245"/>
      <c r="T6" s="245"/>
      <c r="U6" s="245"/>
      <c r="V6" s="245"/>
      <c r="W6" s="245"/>
      <c r="X6" s="245"/>
      <c r="Y6" s="245"/>
      <c r="Z6" s="245"/>
      <c r="AA6" s="245"/>
      <c r="AB6" s="245"/>
      <c r="AC6" s="245"/>
      <c r="AD6" s="245"/>
      <c r="AE6" s="245"/>
      <c r="AF6" s="245"/>
      <c r="AG6" s="245"/>
      <c r="AH6" s="219"/>
    </row>
    <row r="7" spans="1:35" x14ac:dyDescent="0.25">
      <c r="A7" s="171"/>
      <c r="B7" s="217" t="s">
        <v>5</v>
      </c>
      <c r="C7" s="221">
        <v>5.0000000000000001E-3</v>
      </c>
      <c r="D7" s="245"/>
      <c r="E7" s="245"/>
      <c r="F7" s="245"/>
      <c r="G7" s="245"/>
      <c r="H7" s="245"/>
      <c r="I7" s="245"/>
      <c r="J7" s="245"/>
      <c r="K7" s="245"/>
      <c r="L7" s="245"/>
      <c r="M7" s="245"/>
      <c r="N7" s="245"/>
      <c r="O7" s="245"/>
      <c r="P7" s="245"/>
      <c r="Q7" s="245"/>
      <c r="R7" s="245"/>
      <c r="S7" s="245"/>
      <c r="T7" s="245"/>
      <c r="U7" s="245"/>
      <c r="V7" s="245"/>
      <c r="W7" s="245"/>
      <c r="X7" s="245"/>
      <c r="Y7" s="245"/>
      <c r="Z7" s="245"/>
      <c r="AA7" s="245"/>
      <c r="AB7" s="245"/>
      <c r="AC7" s="245"/>
      <c r="AD7" s="245"/>
      <c r="AE7" s="245"/>
      <c r="AF7" s="245"/>
      <c r="AG7" s="245"/>
      <c r="AH7" s="219"/>
    </row>
    <row r="8" spans="1:35" x14ac:dyDescent="0.25">
      <c r="A8" s="171"/>
      <c r="B8" s="217" t="s">
        <v>6</v>
      </c>
      <c r="C8" s="221">
        <v>0.01</v>
      </c>
      <c r="D8" s="245"/>
      <c r="E8" s="245"/>
      <c r="F8" s="245"/>
      <c r="G8" s="245"/>
      <c r="H8" s="245"/>
      <c r="I8" s="245"/>
      <c r="J8" s="245"/>
      <c r="K8" s="245"/>
      <c r="L8" s="245"/>
      <c r="M8" s="245"/>
      <c r="N8" s="245"/>
      <c r="O8" s="245"/>
      <c r="P8" s="245"/>
      <c r="Q8" s="245"/>
      <c r="R8" s="245"/>
      <c r="S8" s="245"/>
      <c r="T8" s="245"/>
      <c r="U8" s="245"/>
      <c r="V8" s="245"/>
      <c r="W8" s="245"/>
      <c r="X8" s="245"/>
      <c r="Y8" s="245"/>
      <c r="Z8" s="245"/>
      <c r="AA8" s="245"/>
      <c r="AB8" s="245"/>
      <c r="AC8" s="245"/>
      <c r="AD8" s="245"/>
      <c r="AE8" s="245"/>
      <c r="AF8" s="245"/>
      <c r="AG8" s="245"/>
      <c r="AH8" s="219"/>
    </row>
    <row r="9" spans="1:35" ht="14.4" x14ac:dyDescent="0.3">
      <c r="B9" s="220" t="s">
        <v>7</v>
      </c>
      <c r="C9" s="246"/>
      <c r="D9" s="247"/>
      <c r="E9" s="222">
        <v>150000</v>
      </c>
      <c r="F9" s="222">
        <v>157000</v>
      </c>
      <c r="G9" s="222">
        <v>158000</v>
      </c>
      <c r="H9" s="222">
        <v>160000</v>
      </c>
      <c r="I9" s="222">
        <v>163000</v>
      </c>
      <c r="J9" s="222">
        <v>165000</v>
      </c>
      <c r="K9" s="222">
        <v>167000</v>
      </c>
      <c r="L9" s="222">
        <f t="shared" ref="L9:AH9" si="0">ROUND(K9*(1+$C$7),0)</f>
        <v>167835</v>
      </c>
      <c r="M9" s="222">
        <f t="shared" si="0"/>
        <v>168674</v>
      </c>
      <c r="N9" s="222">
        <f t="shared" si="0"/>
        <v>169517</v>
      </c>
      <c r="O9" s="222">
        <f t="shared" si="0"/>
        <v>170365</v>
      </c>
      <c r="P9" s="222">
        <f t="shared" si="0"/>
        <v>171217</v>
      </c>
      <c r="Q9" s="222">
        <f t="shared" si="0"/>
        <v>172073</v>
      </c>
      <c r="R9" s="222">
        <f t="shared" si="0"/>
        <v>172933</v>
      </c>
      <c r="S9" s="222">
        <f t="shared" si="0"/>
        <v>173798</v>
      </c>
      <c r="T9" s="222">
        <f t="shared" si="0"/>
        <v>174667</v>
      </c>
      <c r="U9" s="222">
        <f t="shared" si="0"/>
        <v>175540</v>
      </c>
      <c r="V9" s="222">
        <f t="shared" si="0"/>
        <v>176418</v>
      </c>
      <c r="W9" s="222">
        <f t="shared" si="0"/>
        <v>177300</v>
      </c>
      <c r="X9" s="222">
        <f t="shared" si="0"/>
        <v>178187</v>
      </c>
      <c r="Y9" s="222">
        <f t="shared" si="0"/>
        <v>179078</v>
      </c>
      <c r="Z9" s="222">
        <f t="shared" si="0"/>
        <v>179973</v>
      </c>
      <c r="AA9" s="222">
        <f t="shared" si="0"/>
        <v>180873</v>
      </c>
      <c r="AB9" s="222">
        <f t="shared" si="0"/>
        <v>181777</v>
      </c>
      <c r="AC9" s="222">
        <f t="shared" si="0"/>
        <v>182686</v>
      </c>
      <c r="AD9" s="222">
        <f t="shared" si="0"/>
        <v>183599</v>
      </c>
      <c r="AE9" s="222">
        <f t="shared" si="0"/>
        <v>184517</v>
      </c>
      <c r="AF9" s="222">
        <f t="shared" si="0"/>
        <v>185440</v>
      </c>
      <c r="AG9" s="222">
        <f t="shared" si="0"/>
        <v>186367</v>
      </c>
      <c r="AH9" s="242">
        <f t="shared" si="0"/>
        <v>187299</v>
      </c>
      <c r="AI9" s="243"/>
    </row>
    <row r="10" spans="1:35" s="243" customFormat="1" ht="14.4" x14ac:dyDescent="0.3">
      <c r="A10" s="240"/>
      <c r="B10" s="241" t="s">
        <v>8</v>
      </c>
      <c r="C10" s="248"/>
      <c r="D10" s="249"/>
      <c r="E10" s="233">
        <v>6.5</v>
      </c>
      <c r="F10" s="233">
        <f>ROUND(E10*1.02,2)</f>
        <v>6.63</v>
      </c>
      <c r="G10" s="233">
        <f>ROUND(F10*1.02,2)</f>
        <v>6.76</v>
      </c>
      <c r="H10" s="233">
        <f t="shared" ref="H10:AH10" si="1">ROUND(G10*1.02,2)</f>
        <v>6.9</v>
      </c>
      <c r="I10" s="233">
        <f t="shared" si="1"/>
        <v>7.04</v>
      </c>
      <c r="J10" s="233">
        <f t="shared" si="1"/>
        <v>7.18</v>
      </c>
      <c r="K10" s="233">
        <f t="shared" si="1"/>
        <v>7.32</v>
      </c>
      <c r="L10" s="233">
        <f t="shared" si="1"/>
        <v>7.47</v>
      </c>
      <c r="M10" s="233">
        <f t="shared" si="1"/>
        <v>7.62</v>
      </c>
      <c r="N10" s="233">
        <f t="shared" si="1"/>
        <v>7.77</v>
      </c>
      <c r="O10" s="233">
        <f t="shared" si="1"/>
        <v>7.93</v>
      </c>
      <c r="P10" s="233">
        <f t="shared" si="1"/>
        <v>8.09</v>
      </c>
      <c r="Q10" s="233">
        <f t="shared" si="1"/>
        <v>8.25</v>
      </c>
      <c r="R10" s="233">
        <f t="shared" si="1"/>
        <v>8.42</v>
      </c>
      <c r="S10" s="233">
        <f t="shared" si="1"/>
        <v>8.59</v>
      </c>
      <c r="T10" s="233">
        <f t="shared" si="1"/>
        <v>8.76</v>
      </c>
      <c r="U10" s="233">
        <f t="shared" si="1"/>
        <v>8.94</v>
      </c>
      <c r="V10" s="233">
        <f t="shared" si="1"/>
        <v>9.1199999999999992</v>
      </c>
      <c r="W10" s="233">
        <f t="shared" si="1"/>
        <v>9.3000000000000007</v>
      </c>
      <c r="X10" s="233">
        <f t="shared" si="1"/>
        <v>9.49</v>
      </c>
      <c r="Y10" s="233">
        <f t="shared" si="1"/>
        <v>9.68</v>
      </c>
      <c r="Z10" s="233">
        <f t="shared" si="1"/>
        <v>9.8699999999999992</v>
      </c>
      <c r="AA10" s="233">
        <f t="shared" si="1"/>
        <v>10.07</v>
      </c>
      <c r="AB10" s="233">
        <f t="shared" si="1"/>
        <v>10.27</v>
      </c>
      <c r="AC10" s="233">
        <f t="shared" si="1"/>
        <v>10.48</v>
      </c>
      <c r="AD10" s="233">
        <f t="shared" si="1"/>
        <v>10.69</v>
      </c>
      <c r="AE10" s="233">
        <f t="shared" si="1"/>
        <v>10.9</v>
      </c>
      <c r="AF10" s="233">
        <f t="shared" si="1"/>
        <v>11.12</v>
      </c>
      <c r="AG10" s="233">
        <f t="shared" si="1"/>
        <v>11.34</v>
      </c>
      <c r="AH10" s="234">
        <f t="shared" si="1"/>
        <v>11.57</v>
      </c>
      <c r="AI10" s="244"/>
    </row>
    <row r="11" spans="1:35" ht="15" thickBot="1" x14ac:dyDescent="0.35">
      <c r="B11" s="223" t="s">
        <v>9</v>
      </c>
      <c r="C11" s="224"/>
      <c r="D11" s="225"/>
      <c r="E11" s="226">
        <f>E9*E10*12</f>
        <v>11700000</v>
      </c>
      <c r="F11" s="226">
        <f>F9*F10*12</f>
        <v>12490920</v>
      </c>
      <c r="G11" s="226">
        <f>G9*G10*12</f>
        <v>12816960</v>
      </c>
      <c r="H11" s="226">
        <f t="shared" ref="H11:AH11" si="2">H9*H10*12</f>
        <v>13248000</v>
      </c>
      <c r="I11" s="226">
        <f t="shared" si="2"/>
        <v>13770240</v>
      </c>
      <c r="J11" s="226">
        <f t="shared" si="2"/>
        <v>14216400</v>
      </c>
      <c r="K11" s="226">
        <f t="shared" si="2"/>
        <v>14669280</v>
      </c>
      <c r="L11" s="226">
        <f t="shared" si="2"/>
        <v>15044729.399999999</v>
      </c>
      <c r="M11" s="226">
        <f t="shared" si="2"/>
        <v>15423550.560000002</v>
      </c>
      <c r="N11" s="226">
        <f t="shared" si="2"/>
        <v>15805765.079999998</v>
      </c>
      <c r="O11" s="226">
        <f t="shared" si="2"/>
        <v>16211933.399999999</v>
      </c>
      <c r="P11" s="226">
        <f t="shared" si="2"/>
        <v>16621746.359999999</v>
      </c>
      <c r="Q11" s="226">
        <f t="shared" si="2"/>
        <v>17035227</v>
      </c>
      <c r="R11" s="226">
        <f t="shared" si="2"/>
        <v>17473150.32</v>
      </c>
      <c r="S11" s="226">
        <f t="shared" si="2"/>
        <v>17915097.84</v>
      </c>
      <c r="T11" s="226">
        <f t="shared" si="2"/>
        <v>18360995.039999999</v>
      </c>
      <c r="U11" s="226">
        <f t="shared" si="2"/>
        <v>18831931.199999999</v>
      </c>
      <c r="V11" s="226">
        <f t="shared" si="2"/>
        <v>19307185.919999998</v>
      </c>
      <c r="W11" s="226">
        <f t="shared" si="2"/>
        <v>19786680.000000004</v>
      </c>
      <c r="X11" s="226">
        <f t="shared" si="2"/>
        <v>20291935.560000002</v>
      </c>
      <c r="Y11" s="226">
        <f t="shared" si="2"/>
        <v>20801700.48</v>
      </c>
      <c r="Z11" s="226">
        <f t="shared" si="2"/>
        <v>21316002.119999997</v>
      </c>
      <c r="AA11" s="226">
        <f t="shared" si="2"/>
        <v>21856693.32</v>
      </c>
      <c r="AB11" s="226">
        <f t="shared" si="2"/>
        <v>22402197.48</v>
      </c>
      <c r="AC11" s="226">
        <f t="shared" si="2"/>
        <v>22974591.359999999</v>
      </c>
      <c r="AD11" s="226">
        <f t="shared" si="2"/>
        <v>23552079.719999999</v>
      </c>
      <c r="AE11" s="226">
        <f t="shared" si="2"/>
        <v>24134823.600000001</v>
      </c>
      <c r="AF11" s="226">
        <f t="shared" si="2"/>
        <v>24745113.599999998</v>
      </c>
      <c r="AG11" s="226">
        <f t="shared" si="2"/>
        <v>25360821.359999999</v>
      </c>
      <c r="AH11" s="227">
        <f t="shared" si="2"/>
        <v>26004593.160000004</v>
      </c>
    </row>
    <row r="12" spans="1:35" ht="14.4" x14ac:dyDescent="0.3">
      <c r="C12" s="212"/>
      <c r="D12" s="195"/>
      <c r="E12" s="197"/>
      <c r="F12" s="197"/>
      <c r="G12" s="197"/>
      <c r="H12" s="197"/>
      <c r="I12" s="197"/>
      <c r="J12" s="197"/>
      <c r="K12" s="197"/>
      <c r="L12" s="197"/>
      <c r="M12" s="197"/>
      <c r="N12" s="197"/>
      <c r="O12" s="197"/>
      <c r="P12" s="197"/>
      <c r="Q12" s="197"/>
      <c r="R12" s="197"/>
      <c r="S12" s="197"/>
      <c r="T12" s="197"/>
      <c r="U12" s="197"/>
      <c r="V12" s="197"/>
      <c r="W12" s="197"/>
      <c r="X12" s="197"/>
      <c r="Y12" s="197"/>
      <c r="Z12" s="197"/>
      <c r="AA12" s="197"/>
      <c r="AB12" s="197"/>
      <c r="AC12" s="197"/>
      <c r="AD12" s="197"/>
      <c r="AE12" s="197"/>
      <c r="AF12" s="197"/>
      <c r="AG12" s="197"/>
      <c r="AH12" s="197"/>
    </row>
    <row r="13" spans="1:35" x14ac:dyDescent="0.25">
      <c r="C13" s="177" t="s">
        <v>10</v>
      </c>
      <c r="D13" s="150">
        <v>2021</v>
      </c>
      <c r="E13" s="150">
        <v>2022</v>
      </c>
      <c r="F13" s="150">
        <v>2023</v>
      </c>
      <c r="G13" s="150">
        <v>2024</v>
      </c>
      <c r="H13" s="150">
        <v>2025</v>
      </c>
      <c r="I13" s="150">
        <v>2026</v>
      </c>
      <c r="J13" s="150">
        <v>2027</v>
      </c>
      <c r="K13" s="150">
        <v>2028</v>
      </c>
      <c r="L13" s="150">
        <v>2029</v>
      </c>
      <c r="M13" s="150">
        <v>2030</v>
      </c>
      <c r="N13" s="150">
        <v>2031</v>
      </c>
      <c r="O13" s="150">
        <v>2032</v>
      </c>
      <c r="P13" s="150">
        <v>2033</v>
      </c>
      <c r="Q13" s="150">
        <v>2034</v>
      </c>
      <c r="R13" s="150">
        <v>2035</v>
      </c>
      <c r="S13" s="150">
        <v>2036</v>
      </c>
      <c r="T13" s="150">
        <v>2037</v>
      </c>
      <c r="U13" s="150">
        <v>2038</v>
      </c>
      <c r="V13" s="150">
        <v>2039</v>
      </c>
      <c r="W13" s="150">
        <v>2040</v>
      </c>
      <c r="X13" s="150">
        <v>2041</v>
      </c>
      <c r="Y13" s="150">
        <v>2042</v>
      </c>
      <c r="Z13" s="150">
        <v>2043</v>
      </c>
      <c r="AA13" s="150">
        <v>2044</v>
      </c>
      <c r="AB13" s="150">
        <v>2045</v>
      </c>
      <c r="AC13" s="150">
        <v>2046</v>
      </c>
      <c r="AD13" s="150">
        <v>2047</v>
      </c>
      <c r="AE13" s="150">
        <v>2048</v>
      </c>
      <c r="AF13" s="150">
        <v>2049</v>
      </c>
      <c r="AG13" s="150">
        <v>2050</v>
      </c>
      <c r="AH13" s="150">
        <v>2051</v>
      </c>
    </row>
    <row r="14" spans="1:35" s="171" customFormat="1" x14ac:dyDescent="0.25">
      <c r="A14" s="177"/>
      <c r="B14" s="171" t="s">
        <v>11</v>
      </c>
      <c r="C14" s="177"/>
      <c r="D14" s="193" t="s">
        <v>12</v>
      </c>
      <c r="E14" s="193" t="s">
        <v>12</v>
      </c>
      <c r="F14" s="193" t="s">
        <v>12</v>
      </c>
      <c r="G14" s="193" t="s">
        <v>12</v>
      </c>
      <c r="H14" s="193" t="s">
        <v>12</v>
      </c>
      <c r="I14" s="193" t="s">
        <v>12</v>
      </c>
      <c r="J14" s="193" t="s">
        <v>12</v>
      </c>
      <c r="K14" s="193" t="s">
        <v>12</v>
      </c>
      <c r="L14" s="193" t="s">
        <v>12</v>
      </c>
      <c r="M14" s="193" t="s">
        <v>12</v>
      </c>
      <c r="N14" s="193" t="s">
        <v>12</v>
      </c>
      <c r="O14" s="193" t="s">
        <v>12</v>
      </c>
      <c r="P14" s="193" t="s">
        <v>12</v>
      </c>
      <c r="Q14" s="193" t="s">
        <v>12</v>
      </c>
      <c r="R14" s="193" t="s">
        <v>12</v>
      </c>
      <c r="S14" s="193" t="s">
        <v>12</v>
      </c>
      <c r="T14" s="193" t="s">
        <v>12</v>
      </c>
      <c r="U14" s="193" t="s">
        <v>12</v>
      </c>
      <c r="V14" s="193" t="s">
        <v>12</v>
      </c>
      <c r="W14" s="193" t="s">
        <v>12</v>
      </c>
      <c r="X14" s="193" t="s">
        <v>12</v>
      </c>
      <c r="Y14" s="193" t="s">
        <v>12</v>
      </c>
      <c r="Z14" s="193" t="s">
        <v>12</v>
      </c>
      <c r="AA14" s="193" t="s">
        <v>12</v>
      </c>
      <c r="AB14" s="193" t="s">
        <v>12</v>
      </c>
      <c r="AC14" s="193" t="s">
        <v>12</v>
      </c>
      <c r="AD14" s="193" t="s">
        <v>12</v>
      </c>
      <c r="AE14" s="193" t="s">
        <v>12</v>
      </c>
      <c r="AF14" s="193" t="s">
        <v>12</v>
      </c>
      <c r="AG14" s="193" t="s">
        <v>12</v>
      </c>
      <c r="AH14" s="193" t="s">
        <v>12</v>
      </c>
    </row>
    <row r="15" spans="1:35" x14ac:dyDescent="0.25">
      <c r="B15" s="171" t="s">
        <v>13</v>
      </c>
      <c r="C15" s="171"/>
      <c r="D15" s="204"/>
      <c r="E15" s="150"/>
      <c r="F15" s="150"/>
      <c r="G15" s="150"/>
      <c r="H15" s="150"/>
      <c r="I15" s="150"/>
      <c r="J15" s="150"/>
      <c r="K15" s="150"/>
      <c r="L15" s="150"/>
      <c r="M15" s="150"/>
      <c r="N15" s="150"/>
      <c r="O15" s="150"/>
      <c r="P15" s="150"/>
      <c r="Q15" s="150"/>
      <c r="R15" s="150"/>
      <c r="S15" s="150"/>
      <c r="T15" s="150"/>
      <c r="U15" s="150"/>
      <c r="V15" s="150"/>
      <c r="W15" s="150"/>
      <c r="X15" s="150"/>
      <c r="Y15" s="150"/>
      <c r="Z15" s="150"/>
      <c r="AA15" s="150"/>
      <c r="AB15" s="150"/>
      <c r="AC15" s="150"/>
      <c r="AD15" s="150"/>
      <c r="AE15" s="150"/>
      <c r="AF15" s="150"/>
      <c r="AG15" s="150"/>
      <c r="AH15" s="150"/>
    </row>
    <row r="16" spans="1:35" x14ac:dyDescent="0.25">
      <c r="B16" s="100" t="s">
        <v>14</v>
      </c>
      <c r="D16" s="184">
        <v>-12000000</v>
      </c>
      <c r="E16" s="150"/>
      <c r="F16" s="150"/>
      <c r="G16" s="150"/>
      <c r="H16" s="150"/>
      <c r="I16" s="150"/>
      <c r="J16" s="150"/>
      <c r="K16" s="150"/>
      <c r="L16" s="150"/>
      <c r="M16" s="150"/>
      <c r="N16" s="150"/>
      <c r="O16" s="150"/>
      <c r="P16" s="150"/>
      <c r="Q16" s="150"/>
      <c r="R16" s="150"/>
      <c r="S16" s="150"/>
      <c r="T16" s="150"/>
      <c r="U16" s="150"/>
      <c r="V16" s="150"/>
      <c r="W16" s="150"/>
      <c r="X16" s="150"/>
      <c r="Y16" s="150"/>
      <c r="Z16" s="150"/>
      <c r="AA16" s="150"/>
      <c r="AB16" s="150"/>
      <c r="AC16" s="150"/>
      <c r="AD16" s="150"/>
      <c r="AE16" s="150"/>
      <c r="AF16" s="150"/>
      <c r="AG16" s="150"/>
      <c r="AH16" s="150"/>
    </row>
    <row r="17" spans="1:35" x14ac:dyDescent="0.25">
      <c r="D17" s="205"/>
      <c r="E17" s="150"/>
      <c r="F17" s="150"/>
      <c r="G17" s="150"/>
      <c r="H17" s="150"/>
      <c r="I17" s="150"/>
      <c r="J17" s="150"/>
      <c r="K17" s="150"/>
      <c r="L17" s="150"/>
      <c r="M17" s="150"/>
      <c r="N17" s="150"/>
      <c r="O17" s="150"/>
      <c r="P17" s="150"/>
      <c r="Q17" s="150"/>
      <c r="R17" s="150"/>
      <c r="S17" s="150"/>
      <c r="T17" s="150"/>
      <c r="U17" s="150"/>
      <c r="V17" s="150"/>
      <c r="W17" s="150"/>
      <c r="X17" s="150"/>
      <c r="Y17" s="150"/>
      <c r="Z17" s="150"/>
      <c r="AA17" s="150"/>
      <c r="AB17" s="150"/>
      <c r="AC17" s="150"/>
      <c r="AD17" s="150"/>
      <c r="AE17" s="150"/>
      <c r="AF17" s="150"/>
      <c r="AG17" s="150"/>
      <c r="AH17" s="150"/>
    </row>
    <row r="18" spans="1:35" x14ac:dyDescent="0.25">
      <c r="B18" s="171" t="s">
        <v>15</v>
      </c>
      <c r="C18" s="209"/>
      <c r="D18" s="205"/>
      <c r="E18" s="150"/>
      <c r="F18" s="150"/>
      <c r="G18" s="150"/>
      <c r="H18" s="150"/>
      <c r="I18" s="150"/>
      <c r="J18" s="150"/>
      <c r="K18" s="150"/>
      <c r="L18" s="150"/>
      <c r="M18" s="150"/>
      <c r="N18" s="150"/>
      <c r="O18" s="150"/>
      <c r="P18" s="150"/>
      <c r="Q18" s="150"/>
      <c r="R18" s="150"/>
      <c r="S18" s="150"/>
      <c r="T18" s="150"/>
      <c r="U18" s="150"/>
      <c r="V18" s="150"/>
      <c r="W18" s="150"/>
      <c r="X18" s="150"/>
      <c r="Y18" s="150"/>
      <c r="Z18" s="150"/>
      <c r="AA18" s="150"/>
      <c r="AB18" s="150"/>
      <c r="AC18" s="150"/>
      <c r="AD18" s="150"/>
      <c r="AE18" s="150"/>
      <c r="AF18" s="150"/>
      <c r="AG18" s="150"/>
      <c r="AH18" s="150"/>
    </row>
    <row r="19" spans="1:35" x14ac:dyDescent="0.25">
      <c r="B19" s="100" t="s">
        <v>16</v>
      </c>
      <c r="C19" s="210">
        <v>1</v>
      </c>
      <c r="D19" s="184">
        <f>-D16*C5</f>
        <v>3180000</v>
      </c>
      <c r="E19" s="150"/>
      <c r="F19" s="150"/>
      <c r="G19" s="150"/>
      <c r="H19" s="150"/>
      <c r="I19" s="150"/>
      <c r="J19" s="150"/>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150"/>
      <c r="AH19" s="150"/>
    </row>
    <row r="20" spans="1:35" x14ac:dyDescent="0.25">
      <c r="C20" s="210"/>
      <c r="D20" s="184"/>
      <c r="E20" s="150"/>
      <c r="F20" s="150"/>
      <c r="G20" s="150"/>
      <c r="H20" s="150"/>
      <c r="I20" s="150"/>
      <c r="J20" s="150"/>
      <c r="K20" s="150"/>
      <c r="L20" s="150"/>
      <c r="M20" s="150"/>
      <c r="N20" s="150"/>
      <c r="O20" s="150"/>
      <c r="P20" s="150"/>
      <c r="Q20" s="150"/>
      <c r="R20" s="150"/>
      <c r="S20" s="150"/>
      <c r="T20" s="150"/>
      <c r="U20" s="150"/>
      <c r="V20" s="150"/>
      <c r="W20" s="150"/>
      <c r="X20" s="150"/>
      <c r="Y20" s="150"/>
      <c r="Z20" s="150"/>
      <c r="AA20" s="150"/>
      <c r="AB20" s="150"/>
      <c r="AC20" s="150"/>
      <c r="AD20" s="150"/>
      <c r="AE20" s="150"/>
      <c r="AF20" s="150"/>
      <c r="AG20" s="150"/>
      <c r="AH20" s="150"/>
    </row>
    <row r="21" spans="1:35" x14ac:dyDescent="0.25">
      <c r="B21" s="231" t="s">
        <v>17</v>
      </c>
      <c r="C21" s="229"/>
      <c r="D21" s="230">
        <v>0</v>
      </c>
      <c r="E21" s="150"/>
      <c r="F21" s="150"/>
      <c r="G21" s="150"/>
      <c r="H21" s="150"/>
      <c r="I21" s="150"/>
      <c r="J21" s="150"/>
      <c r="K21" s="150"/>
      <c r="L21" s="150"/>
      <c r="M21" s="150"/>
      <c r="N21" s="150"/>
      <c r="O21" s="150"/>
      <c r="P21" s="150"/>
      <c r="Q21" s="150"/>
      <c r="R21" s="150"/>
      <c r="S21" s="150"/>
      <c r="T21" s="150"/>
      <c r="U21" s="150"/>
      <c r="V21" s="150"/>
      <c r="W21" s="150"/>
      <c r="X21" s="150"/>
      <c r="Y21" s="150"/>
      <c r="Z21" s="150"/>
      <c r="AA21" s="150"/>
      <c r="AB21" s="150"/>
      <c r="AC21" s="150"/>
      <c r="AD21" s="150"/>
      <c r="AE21" s="150"/>
      <c r="AF21" s="150"/>
      <c r="AG21" s="150"/>
      <c r="AH21" s="150"/>
    </row>
    <row r="22" spans="1:35" x14ac:dyDescent="0.25">
      <c r="B22" s="208"/>
      <c r="C22" s="229"/>
      <c r="D22" s="230"/>
      <c r="E22" s="150"/>
      <c r="F22" s="150"/>
      <c r="G22" s="150"/>
      <c r="H22" s="150"/>
      <c r="I22" s="150"/>
      <c r="J22" s="150"/>
      <c r="K22" s="150"/>
      <c r="L22" s="150"/>
      <c r="M22" s="150"/>
      <c r="N22" s="150"/>
      <c r="O22" s="150"/>
      <c r="P22" s="150"/>
      <c r="Q22" s="150"/>
      <c r="R22" s="150"/>
      <c r="S22" s="150"/>
      <c r="T22" s="150"/>
      <c r="U22" s="150"/>
      <c r="V22" s="150"/>
      <c r="W22" s="150"/>
      <c r="X22" s="150"/>
      <c r="Y22" s="150"/>
      <c r="Z22" s="150"/>
      <c r="AA22" s="150"/>
      <c r="AB22" s="150"/>
      <c r="AC22" s="150"/>
      <c r="AD22" s="150"/>
      <c r="AE22" s="150"/>
      <c r="AF22" s="150"/>
      <c r="AG22" s="150"/>
      <c r="AH22" s="150"/>
    </row>
    <row r="23" spans="1:35" x14ac:dyDescent="0.25">
      <c r="A23" s="177"/>
      <c r="B23" s="171" t="s">
        <v>18</v>
      </c>
      <c r="C23" s="211"/>
    </row>
    <row r="24" spans="1:35" x14ac:dyDescent="0.25">
      <c r="B24" s="171"/>
      <c r="C24" s="211"/>
      <c r="D24" s="133"/>
      <c r="E24" s="181"/>
      <c r="F24" s="181"/>
      <c r="G24" s="181"/>
      <c r="H24" s="181"/>
      <c r="I24" s="181"/>
      <c r="J24" s="181"/>
      <c r="K24" s="181"/>
      <c r="L24" s="181"/>
      <c r="M24" s="181"/>
      <c r="N24" s="181"/>
      <c r="O24" s="181"/>
      <c r="P24" s="181"/>
      <c r="Q24" s="181"/>
      <c r="R24" s="181"/>
      <c r="S24" s="181"/>
      <c r="T24" s="181"/>
      <c r="U24" s="181"/>
      <c r="V24" s="181"/>
      <c r="W24" s="181"/>
      <c r="X24" s="181"/>
      <c r="Y24" s="181"/>
      <c r="Z24" s="181"/>
      <c r="AA24" s="181"/>
      <c r="AB24" s="181"/>
      <c r="AC24" s="181"/>
      <c r="AD24" s="181"/>
      <c r="AE24" s="181"/>
      <c r="AF24" s="181"/>
      <c r="AG24" s="181"/>
      <c r="AH24" s="181"/>
    </row>
    <row r="25" spans="1:35" x14ac:dyDescent="0.25">
      <c r="B25" s="228" t="s">
        <v>19</v>
      </c>
      <c r="C25" s="211"/>
      <c r="D25" s="118"/>
      <c r="E25" s="118"/>
      <c r="F25" s="118"/>
      <c r="G25" s="118"/>
      <c r="H25" s="118"/>
      <c r="I25" s="118"/>
      <c r="J25" s="118"/>
      <c r="K25" s="118"/>
      <c r="L25" s="118"/>
      <c r="M25" s="118"/>
      <c r="N25" s="118"/>
      <c r="O25" s="118"/>
      <c r="P25" s="118"/>
      <c r="Q25" s="118"/>
      <c r="R25" s="118"/>
      <c r="S25" s="118"/>
      <c r="T25" s="118"/>
      <c r="U25" s="118"/>
      <c r="V25" s="118"/>
      <c r="W25" s="118"/>
      <c r="X25" s="118"/>
      <c r="Y25" s="118"/>
      <c r="Z25" s="118"/>
      <c r="AA25" s="118"/>
      <c r="AB25" s="118"/>
      <c r="AC25" s="118"/>
      <c r="AD25" s="118"/>
      <c r="AE25" s="118"/>
      <c r="AF25" s="118"/>
      <c r="AG25" s="118"/>
      <c r="AH25" s="118"/>
    </row>
    <row r="26" spans="1:35" x14ac:dyDescent="0.25">
      <c r="B26" s="100" t="s">
        <v>9</v>
      </c>
      <c r="E26" s="196">
        <f>E11</f>
        <v>11700000</v>
      </c>
      <c r="F26" s="196">
        <f>F11</f>
        <v>12490920</v>
      </c>
      <c r="G26" s="196">
        <f t="shared" ref="G26:AH26" si="3">G11</f>
        <v>12816960</v>
      </c>
      <c r="H26" s="196">
        <f t="shared" si="3"/>
        <v>13248000</v>
      </c>
      <c r="I26" s="196">
        <f t="shared" si="3"/>
        <v>13770240</v>
      </c>
      <c r="J26" s="196">
        <f t="shared" si="3"/>
        <v>14216400</v>
      </c>
      <c r="K26" s="196">
        <f t="shared" si="3"/>
        <v>14669280</v>
      </c>
      <c r="L26" s="196">
        <f t="shared" si="3"/>
        <v>15044729.399999999</v>
      </c>
      <c r="M26" s="196">
        <f t="shared" si="3"/>
        <v>15423550.560000002</v>
      </c>
      <c r="N26" s="196">
        <f t="shared" si="3"/>
        <v>15805765.079999998</v>
      </c>
      <c r="O26" s="196">
        <f t="shared" si="3"/>
        <v>16211933.399999999</v>
      </c>
      <c r="P26" s="196">
        <f t="shared" si="3"/>
        <v>16621746.359999999</v>
      </c>
      <c r="Q26" s="196">
        <f t="shared" si="3"/>
        <v>17035227</v>
      </c>
      <c r="R26" s="196">
        <f t="shared" si="3"/>
        <v>17473150.32</v>
      </c>
      <c r="S26" s="196">
        <f t="shared" si="3"/>
        <v>17915097.84</v>
      </c>
      <c r="T26" s="196">
        <f t="shared" si="3"/>
        <v>18360995.039999999</v>
      </c>
      <c r="U26" s="196">
        <f t="shared" si="3"/>
        <v>18831931.199999999</v>
      </c>
      <c r="V26" s="196">
        <f t="shared" si="3"/>
        <v>19307185.919999998</v>
      </c>
      <c r="W26" s="196">
        <f t="shared" si="3"/>
        <v>19786680.000000004</v>
      </c>
      <c r="X26" s="196">
        <f t="shared" si="3"/>
        <v>20291935.560000002</v>
      </c>
      <c r="Y26" s="196">
        <f t="shared" si="3"/>
        <v>20801700.48</v>
      </c>
      <c r="Z26" s="196">
        <f t="shared" si="3"/>
        <v>21316002.119999997</v>
      </c>
      <c r="AA26" s="196">
        <f t="shared" si="3"/>
        <v>21856693.32</v>
      </c>
      <c r="AB26" s="196">
        <f t="shared" si="3"/>
        <v>22402197.48</v>
      </c>
      <c r="AC26" s="196">
        <f t="shared" si="3"/>
        <v>22974591.359999999</v>
      </c>
      <c r="AD26" s="196">
        <f t="shared" si="3"/>
        <v>23552079.719999999</v>
      </c>
      <c r="AE26" s="196">
        <f t="shared" si="3"/>
        <v>24134823.600000001</v>
      </c>
      <c r="AF26" s="196">
        <f t="shared" si="3"/>
        <v>24745113.599999998</v>
      </c>
      <c r="AG26" s="196">
        <f t="shared" si="3"/>
        <v>25360821.359999999</v>
      </c>
      <c r="AH26" s="196">
        <f t="shared" si="3"/>
        <v>26004593.160000004</v>
      </c>
    </row>
    <row r="27" spans="1:35" x14ac:dyDescent="0.25">
      <c r="E27" s="196"/>
      <c r="F27" s="196"/>
      <c r="G27" s="196"/>
      <c r="H27" s="196"/>
      <c r="I27" s="196"/>
      <c r="J27" s="196"/>
      <c r="K27" s="196"/>
      <c r="L27" s="196"/>
      <c r="M27" s="196"/>
      <c r="N27" s="196"/>
      <c r="O27" s="196"/>
      <c r="P27" s="196"/>
      <c r="Q27" s="196"/>
      <c r="R27" s="196"/>
      <c r="S27" s="196"/>
      <c r="T27" s="196"/>
      <c r="U27" s="196"/>
      <c r="V27" s="196"/>
      <c r="W27" s="196"/>
      <c r="X27" s="196"/>
      <c r="Y27" s="196"/>
      <c r="Z27" s="196"/>
      <c r="AA27" s="196"/>
      <c r="AB27" s="196"/>
      <c r="AC27" s="196"/>
      <c r="AD27" s="196"/>
      <c r="AE27" s="196"/>
      <c r="AF27" s="196"/>
      <c r="AG27" s="196"/>
      <c r="AH27" s="196"/>
    </row>
    <row r="28" spans="1:35" ht="14.4" x14ac:dyDescent="0.3">
      <c r="B28" s="100" t="s">
        <v>20</v>
      </c>
      <c r="C28" s="212"/>
      <c r="D28" s="195"/>
      <c r="E28" s="196">
        <v>3500000</v>
      </c>
      <c r="F28" s="196">
        <v>3600000</v>
      </c>
      <c r="G28" s="196">
        <v>3700000</v>
      </c>
      <c r="H28" s="196">
        <v>3800000</v>
      </c>
      <c r="I28" s="196">
        <v>3900000</v>
      </c>
      <c r="J28" s="196">
        <v>4000000</v>
      </c>
      <c r="K28" s="196">
        <v>4100000</v>
      </c>
      <c r="L28" s="196">
        <f>K28*(1+$C$8)</f>
        <v>4141000</v>
      </c>
      <c r="M28" s="196">
        <f t="shared" ref="M28:AH28" si="4">L28*(1+$C$8)</f>
        <v>4182410</v>
      </c>
      <c r="N28" s="196">
        <f t="shared" si="4"/>
        <v>4224234.0999999996</v>
      </c>
      <c r="O28" s="196">
        <f t="shared" si="4"/>
        <v>4266476.4409999996</v>
      </c>
      <c r="P28" s="196">
        <f t="shared" si="4"/>
        <v>4309141.2054099999</v>
      </c>
      <c r="Q28" s="196">
        <f t="shared" si="4"/>
        <v>4352232.6174641</v>
      </c>
      <c r="R28" s="196">
        <f t="shared" si="4"/>
        <v>4395754.943638741</v>
      </c>
      <c r="S28" s="196">
        <f t="shared" si="4"/>
        <v>4439712.4930751286</v>
      </c>
      <c r="T28" s="196">
        <f t="shared" si="4"/>
        <v>4484109.6180058802</v>
      </c>
      <c r="U28" s="196">
        <f t="shared" si="4"/>
        <v>4528950.7141859392</v>
      </c>
      <c r="V28" s="196">
        <f t="shared" si="4"/>
        <v>4574240.2213277984</v>
      </c>
      <c r="W28" s="196">
        <f t="shared" si="4"/>
        <v>4619982.6235410767</v>
      </c>
      <c r="X28" s="196">
        <f t="shared" si="4"/>
        <v>4666182.4497764874</v>
      </c>
      <c r="Y28" s="196">
        <f t="shared" si="4"/>
        <v>4712844.2742742524</v>
      </c>
      <c r="Z28" s="196">
        <f t="shared" si="4"/>
        <v>4759972.717016995</v>
      </c>
      <c r="AA28" s="196">
        <f t="shared" si="4"/>
        <v>4807572.4441871652</v>
      </c>
      <c r="AB28" s="196">
        <f t="shared" si="4"/>
        <v>4855648.1686290372</v>
      </c>
      <c r="AC28" s="196">
        <f t="shared" si="4"/>
        <v>4904204.6503153276</v>
      </c>
      <c r="AD28" s="196">
        <f t="shared" si="4"/>
        <v>4953246.6968184812</v>
      </c>
      <c r="AE28" s="196">
        <f t="shared" si="4"/>
        <v>5002779.1637866665</v>
      </c>
      <c r="AF28" s="196">
        <f t="shared" si="4"/>
        <v>5052806.9554245332</v>
      </c>
      <c r="AG28" s="196">
        <f t="shared" si="4"/>
        <v>5103335.0249787783</v>
      </c>
      <c r="AH28" s="196">
        <f t="shared" si="4"/>
        <v>5154368.3752285661</v>
      </c>
    </row>
    <row r="29" spans="1:35" ht="14.4" x14ac:dyDescent="0.3">
      <c r="C29" s="212"/>
      <c r="D29" s="195"/>
      <c r="E29" s="197"/>
      <c r="F29" s="197"/>
      <c r="G29" s="197"/>
      <c r="H29" s="197"/>
      <c r="I29" s="197"/>
      <c r="J29" s="197"/>
      <c r="K29" s="197"/>
      <c r="L29" s="197"/>
      <c r="M29" s="197"/>
      <c r="N29" s="197"/>
      <c r="O29" s="197"/>
      <c r="P29" s="197"/>
      <c r="Q29" s="197"/>
      <c r="R29" s="197"/>
      <c r="S29" s="197"/>
      <c r="T29" s="197"/>
      <c r="U29" s="197"/>
      <c r="V29" s="197"/>
      <c r="W29" s="197"/>
      <c r="X29" s="197"/>
      <c r="Y29" s="197"/>
      <c r="Z29" s="197"/>
      <c r="AA29" s="197"/>
      <c r="AB29" s="197"/>
      <c r="AC29" s="197"/>
      <c r="AD29" s="197"/>
      <c r="AE29" s="197"/>
      <c r="AF29" s="197"/>
      <c r="AG29" s="197"/>
      <c r="AH29" s="197"/>
    </row>
    <row r="30" spans="1:35" ht="14.4" x14ac:dyDescent="0.3">
      <c r="B30" s="100" t="s">
        <v>21</v>
      </c>
      <c r="C30" s="212"/>
      <c r="D30" s="195"/>
      <c r="E30" s="196">
        <v>1250000</v>
      </c>
      <c r="F30" s="198">
        <f>E30*(1+$C$6)</f>
        <v>1275000</v>
      </c>
      <c r="G30" s="198">
        <f t="shared" ref="G30:AH30" si="5">F30*(1+$C$6)</f>
        <v>1300500</v>
      </c>
      <c r="H30" s="198">
        <f t="shared" si="5"/>
        <v>1326510</v>
      </c>
      <c r="I30" s="198">
        <f t="shared" si="5"/>
        <v>1353040.2</v>
      </c>
      <c r="J30" s="198">
        <f t="shared" si="5"/>
        <v>1380101.004</v>
      </c>
      <c r="K30" s="198">
        <f t="shared" si="5"/>
        <v>1407703.0240799999</v>
      </c>
      <c r="L30" s="198">
        <f t="shared" si="5"/>
        <v>1435857.0845615999</v>
      </c>
      <c r="M30" s="198">
        <f t="shared" si="5"/>
        <v>1464574.226252832</v>
      </c>
      <c r="N30" s="198">
        <f t="shared" si="5"/>
        <v>1493865.7107778885</v>
      </c>
      <c r="O30" s="198">
        <f t="shared" si="5"/>
        <v>1523743.0249934464</v>
      </c>
      <c r="P30" s="198">
        <f t="shared" si="5"/>
        <v>1554217.8854933153</v>
      </c>
      <c r="Q30" s="198">
        <f t="shared" si="5"/>
        <v>1585302.2432031815</v>
      </c>
      <c r="R30" s="198">
        <f t="shared" si="5"/>
        <v>1617008.2880672452</v>
      </c>
      <c r="S30" s="198">
        <f t="shared" si="5"/>
        <v>1649348.45382859</v>
      </c>
      <c r="T30" s="198">
        <f t="shared" si="5"/>
        <v>1682335.4229051617</v>
      </c>
      <c r="U30" s="198">
        <f t="shared" si="5"/>
        <v>1715982.131363265</v>
      </c>
      <c r="V30" s="198">
        <f t="shared" si="5"/>
        <v>1750301.7739905303</v>
      </c>
      <c r="W30" s="198">
        <f t="shared" si="5"/>
        <v>1785307.8094703408</v>
      </c>
      <c r="X30" s="198">
        <f t="shared" si="5"/>
        <v>1821013.9656597476</v>
      </c>
      <c r="Y30" s="198">
        <f t="shared" si="5"/>
        <v>1857434.2449729426</v>
      </c>
      <c r="Z30" s="198">
        <f t="shared" si="5"/>
        <v>1894582.9298724015</v>
      </c>
      <c r="AA30" s="198">
        <f t="shared" si="5"/>
        <v>1932474.5884698497</v>
      </c>
      <c r="AB30" s="198">
        <f t="shared" si="5"/>
        <v>1971124.0802392466</v>
      </c>
      <c r="AC30" s="198">
        <f t="shared" si="5"/>
        <v>2010546.5618440316</v>
      </c>
      <c r="AD30" s="198">
        <f t="shared" si="5"/>
        <v>2050757.4930809122</v>
      </c>
      <c r="AE30" s="198">
        <f t="shared" si="5"/>
        <v>2091772.6429425303</v>
      </c>
      <c r="AF30" s="198">
        <f t="shared" si="5"/>
        <v>2133608.0958013809</v>
      </c>
      <c r="AG30" s="198">
        <f t="shared" si="5"/>
        <v>2176280.2577174087</v>
      </c>
      <c r="AH30" s="198">
        <f t="shared" si="5"/>
        <v>2219805.8628717568</v>
      </c>
    </row>
    <row r="31" spans="1:35" ht="14.4" x14ac:dyDescent="0.3">
      <c r="B31" s="194"/>
      <c r="C31" s="212"/>
      <c r="D31" s="195"/>
      <c r="E31" s="197"/>
      <c r="F31" s="197"/>
      <c r="G31" s="197"/>
      <c r="H31" s="197"/>
      <c r="I31" s="197"/>
      <c r="J31" s="197"/>
      <c r="K31" s="197"/>
      <c r="L31" s="197"/>
      <c r="M31" s="197"/>
      <c r="N31" s="197"/>
      <c r="O31" s="197"/>
      <c r="P31" s="197"/>
      <c r="Q31" s="197"/>
      <c r="R31" s="197"/>
      <c r="S31" s="197"/>
      <c r="T31" s="197"/>
      <c r="U31" s="197"/>
      <c r="V31" s="197"/>
      <c r="W31" s="197"/>
      <c r="X31" s="197"/>
      <c r="Y31" s="197"/>
      <c r="Z31" s="197"/>
      <c r="AA31" s="197"/>
      <c r="AB31" s="197"/>
      <c r="AC31" s="197"/>
      <c r="AD31" s="197"/>
      <c r="AE31" s="197"/>
      <c r="AF31" s="197"/>
      <c r="AG31" s="197"/>
      <c r="AH31" s="197"/>
      <c r="AI31" s="170"/>
    </row>
    <row r="32" spans="1:35" x14ac:dyDescent="0.25">
      <c r="B32" s="100" t="s">
        <v>22</v>
      </c>
      <c r="C32" s="211"/>
      <c r="D32" s="118"/>
      <c r="E32" s="199">
        <f t="shared" ref="E32:AH32" si="6">E11+E28+E30</f>
        <v>16450000</v>
      </c>
      <c r="F32" s="199">
        <f t="shared" si="6"/>
        <v>17365920</v>
      </c>
      <c r="G32" s="199">
        <f t="shared" si="6"/>
        <v>17817460</v>
      </c>
      <c r="H32" s="199">
        <f t="shared" si="6"/>
        <v>18374510</v>
      </c>
      <c r="I32" s="199">
        <f t="shared" si="6"/>
        <v>19023280.199999999</v>
      </c>
      <c r="J32" s="199">
        <f t="shared" si="6"/>
        <v>19596501.004000001</v>
      </c>
      <c r="K32" s="199">
        <f t="shared" si="6"/>
        <v>20176983.024080001</v>
      </c>
      <c r="L32" s="199">
        <f t="shared" si="6"/>
        <v>20621586.4845616</v>
      </c>
      <c r="M32" s="199">
        <f t="shared" si="6"/>
        <v>21070534.786252834</v>
      </c>
      <c r="N32" s="199">
        <f t="shared" si="6"/>
        <v>21523864.89077789</v>
      </c>
      <c r="O32" s="199">
        <f t="shared" si="6"/>
        <v>22002152.865993444</v>
      </c>
      <c r="P32" s="199">
        <f t="shared" si="6"/>
        <v>22485105.450903315</v>
      </c>
      <c r="Q32" s="199">
        <f t="shared" si="6"/>
        <v>22972761.860667281</v>
      </c>
      <c r="R32" s="199">
        <f t="shared" si="6"/>
        <v>23485913.551705986</v>
      </c>
      <c r="S32" s="199">
        <f t="shared" si="6"/>
        <v>24004158.786903717</v>
      </c>
      <c r="T32" s="199">
        <f t="shared" si="6"/>
        <v>24527440.08091104</v>
      </c>
      <c r="U32" s="199">
        <f t="shared" si="6"/>
        <v>25076864.045549203</v>
      </c>
      <c r="V32" s="199">
        <f t="shared" si="6"/>
        <v>25631727.915318329</v>
      </c>
      <c r="W32" s="199">
        <f t="shared" si="6"/>
        <v>26191970.43301142</v>
      </c>
      <c r="X32" s="199">
        <f t="shared" si="6"/>
        <v>26779131.975436237</v>
      </c>
      <c r="Y32" s="199">
        <f t="shared" si="6"/>
        <v>27371978.999247197</v>
      </c>
      <c r="Z32" s="199">
        <f t="shared" si="6"/>
        <v>27970557.766889393</v>
      </c>
      <c r="AA32" s="199">
        <f t="shared" si="6"/>
        <v>28596740.352657013</v>
      </c>
      <c r="AB32" s="199">
        <f t="shared" si="6"/>
        <v>29228969.728868287</v>
      </c>
      <c r="AC32" s="199">
        <f t="shared" si="6"/>
        <v>29889342.572159361</v>
      </c>
      <c r="AD32" s="199">
        <f t="shared" si="6"/>
        <v>30556083.909899391</v>
      </c>
      <c r="AE32" s="199">
        <f t="shared" si="6"/>
        <v>31229375.406729195</v>
      </c>
      <c r="AF32" s="199">
        <f t="shared" si="6"/>
        <v>31931528.65122591</v>
      </c>
      <c r="AG32" s="199">
        <f t="shared" si="6"/>
        <v>32640436.642696187</v>
      </c>
      <c r="AH32" s="199">
        <f t="shared" si="6"/>
        <v>33378767.398100324</v>
      </c>
    </row>
    <row r="33" spans="1:35" x14ac:dyDescent="0.25">
      <c r="C33" s="211"/>
      <c r="D33" s="118"/>
      <c r="E33" s="187"/>
      <c r="F33" s="187"/>
      <c r="G33" s="187"/>
      <c r="H33" s="187"/>
      <c r="I33" s="187"/>
      <c r="J33" s="187"/>
      <c r="K33" s="187"/>
      <c r="L33" s="187"/>
      <c r="M33" s="187"/>
      <c r="N33" s="187"/>
      <c r="O33" s="187"/>
      <c r="P33" s="187"/>
      <c r="Q33" s="187"/>
      <c r="R33" s="187"/>
      <c r="S33" s="187"/>
      <c r="T33" s="187"/>
      <c r="U33" s="187"/>
      <c r="V33" s="187"/>
      <c r="W33" s="187"/>
      <c r="X33" s="187"/>
      <c r="Y33" s="187"/>
      <c r="Z33" s="187"/>
      <c r="AA33" s="187"/>
      <c r="AB33" s="187"/>
      <c r="AC33" s="187"/>
      <c r="AD33" s="187"/>
      <c r="AE33" s="187"/>
      <c r="AF33" s="187"/>
      <c r="AG33" s="187"/>
      <c r="AH33" s="187"/>
    </row>
    <row r="34" spans="1:35" x14ac:dyDescent="0.25">
      <c r="B34" s="228" t="s">
        <v>23</v>
      </c>
      <c r="C34" s="211"/>
      <c r="D34" s="118"/>
      <c r="E34" s="187"/>
      <c r="F34" s="187"/>
      <c r="G34" s="187"/>
      <c r="H34" s="187"/>
      <c r="I34" s="187"/>
      <c r="J34" s="187"/>
      <c r="K34" s="187"/>
      <c r="L34" s="187"/>
      <c r="M34" s="187"/>
      <c r="N34" s="187"/>
      <c r="O34" s="187"/>
      <c r="P34" s="187"/>
      <c r="Q34" s="187"/>
      <c r="R34" s="187"/>
      <c r="S34" s="187"/>
      <c r="T34" s="187"/>
      <c r="U34" s="187"/>
      <c r="V34" s="187"/>
      <c r="W34" s="187"/>
      <c r="X34" s="187"/>
      <c r="Y34" s="187"/>
      <c r="Z34" s="187"/>
      <c r="AA34" s="187"/>
      <c r="AB34" s="187"/>
      <c r="AC34" s="187"/>
      <c r="AD34" s="187"/>
      <c r="AE34" s="187"/>
      <c r="AF34" s="187"/>
      <c r="AG34" s="187"/>
      <c r="AH34" s="187"/>
    </row>
    <row r="35" spans="1:35" ht="28.5" customHeight="1" x14ac:dyDescent="0.25">
      <c r="B35" s="175" t="s">
        <v>24</v>
      </c>
      <c r="C35" s="211"/>
      <c r="D35" s="118"/>
      <c r="E35" s="198">
        <v>-6500000</v>
      </c>
      <c r="F35" s="198">
        <f t="shared" ref="F35:AH35" si="7">(E35*(1+$C$6))</f>
        <v>-6630000</v>
      </c>
      <c r="G35" s="198">
        <f t="shared" si="7"/>
        <v>-6762600</v>
      </c>
      <c r="H35" s="198">
        <f t="shared" si="7"/>
        <v>-6897852</v>
      </c>
      <c r="I35" s="198">
        <f t="shared" si="7"/>
        <v>-7035809.04</v>
      </c>
      <c r="J35" s="198">
        <f t="shared" si="7"/>
        <v>-7176525.2208000002</v>
      </c>
      <c r="K35" s="198">
        <f t="shared" si="7"/>
        <v>-7320055.7252160003</v>
      </c>
      <c r="L35" s="198">
        <f t="shared" si="7"/>
        <v>-7466456.8397203209</v>
      </c>
      <c r="M35" s="198">
        <f t="shared" si="7"/>
        <v>-7615785.9765147278</v>
      </c>
      <c r="N35" s="198">
        <f t="shared" si="7"/>
        <v>-7768101.6960450225</v>
      </c>
      <c r="O35" s="198">
        <f t="shared" si="7"/>
        <v>-7923463.7299659234</v>
      </c>
      <c r="P35" s="198">
        <f t="shared" si="7"/>
        <v>-8081933.0045652417</v>
      </c>
      <c r="Q35" s="198">
        <f t="shared" si="7"/>
        <v>-8243571.6646565469</v>
      </c>
      <c r="R35" s="198">
        <f t="shared" si="7"/>
        <v>-8408443.0979496781</v>
      </c>
      <c r="S35" s="198">
        <f t="shared" si="7"/>
        <v>-8576611.9599086717</v>
      </c>
      <c r="T35" s="198">
        <f t="shared" si="7"/>
        <v>-8748144.199106846</v>
      </c>
      <c r="U35" s="198">
        <f t="shared" si="7"/>
        <v>-8923107.0830889829</v>
      </c>
      <c r="V35" s="198">
        <f t="shared" si="7"/>
        <v>-9101569.2247507628</v>
      </c>
      <c r="W35" s="198">
        <f t="shared" si="7"/>
        <v>-9283600.609245779</v>
      </c>
      <c r="X35" s="198">
        <f t="shared" si="7"/>
        <v>-9469272.6214306951</v>
      </c>
      <c r="Y35" s="198">
        <f t="shared" si="7"/>
        <v>-9658658.0738593098</v>
      </c>
      <c r="Z35" s="198">
        <f t="shared" si="7"/>
        <v>-9851831.2353364956</v>
      </c>
      <c r="AA35" s="198">
        <f t="shared" si="7"/>
        <v>-10048867.860043226</v>
      </c>
      <c r="AB35" s="198">
        <f t="shared" si="7"/>
        <v>-10249845.217244091</v>
      </c>
      <c r="AC35" s="198">
        <f t="shared" si="7"/>
        <v>-10454842.121588973</v>
      </c>
      <c r="AD35" s="198">
        <f t="shared" si="7"/>
        <v>-10663938.964020753</v>
      </c>
      <c r="AE35" s="198">
        <f t="shared" si="7"/>
        <v>-10877217.743301168</v>
      </c>
      <c r="AF35" s="198">
        <f t="shared" si="7"/>
        <v>-11094762.098167192</v>
      </c>
      <c r="AG35" s="198">
        <f t="shared" si="7"/>
        <v>-11316657.340130536</v>
      </c>
      <c r="AH35" s="198">
        <f t="shared" si="7"/>
        <v>-11542990.486933148</v>
      </c>
    </row>
    <row r="36" spans="1:35" x14ac:dyDescent="0.25">
      <c r="B36" s="100" t="s">
        <v>25</v>
      </c>
      <c r="C36" s="211"/>
      <c r="D36" s="118"/>
      <c r="E36" s="198">
        <v>-6000000</v>
      </c>
      <c r="F36" s="198">
        <f t="shared" ref="F36:AH36" si="8">E36*(1+$C$6)</f>
        <v>-6120000</v>
      </c>
      <c r="G36" s="198">
        <f t="shared" si="8"/>
        <v>-6242400</v>
      </c>
      <c r="H36" s="198">
        <f t="shared" si="8"/>
        <v>-6367248</v>
      </c>
      <c r="I36" s="198">
        <f t="shared" si="8"/>
        <v>-6494592.96</v>
      </c>
      <c r="J36" s="198">
        <f t="shared" si="8"/>
        <v>-6624484.8191999998</v>
      </c>
      <c r="K36" s="198">
        <f t="shared" si="8"/>
        <v>-6756974.5155839995</v>
      </c>
      <c r="L36" s="198">
        <f t="shared" si="8"/>
        <v>-6892114.0058956798</v>
      </c>
      <c r="M36" s="198">
        <f t="shared" si="8"/>
        <v>-7029956.2860135939</v>
      </c>
      <c r="N36" s="198">
        <f t="shared" si="8"/>
        <v>-7170555.4117338657</v>
      </c>
      <c r="O36" s="198">
        <f t="shared" si="8"/>
        <v>-7313966.5199685432</v>
      </c>
      <c r="P36" s="198">
        <f t="shared" si="8"/>
        <v>-7460245.850367914</v>
      </c>
      <c r="Q36" s="198">
        <f t="shared" si="8"/>
        <v>-7609450.7673752727</v>
      </c>
      <c r="R36" s="198">
        <f t="shared" si="8"/>
        <v>-7761639.7827227786</v>
      </c>
      <c r="S36" s="198">
        <f t="shared" si="8"/>
        <v>-7916872.5783772347</v>
      </c>
      <c r="T36" s="198">
        <f t="shared" si="8"/>
        <v>-8075210.0299447794</v>
      </c>
      <c r="U36" s="198">
        <f t="shared" si="8"/>
        <v>-8236714.2305436749</v>
      </c>
      <c r="V36" s="198">
        <f t="shared" si="8"/>
        <v>-8401448.515154548</v>
      </c>
      <c r="W36" s="198">
        <f t="shared" si="8"/>
        <v>-8569477.4854576383</v>
      </c>
      <c r="X36" s="198">
        <f t="shared" si="8"/>
        <v>-8740867.0351667907</v>
      </c>
      <c r="Y36" s="198">
        <f t="shared" si="8"/>
        <v>-8915684.3758701272</v>
      </c>
      <c r="Z36" s="198">
        <f t="shared" si="8"/>
        <v>-9093998.0633875299</v>
      </c>
      <c r="AA36" s="198">
        <f t="shared" si="8"/>
        <v>-9275878.0246552806</v>
      </c>
      <c r="AB36" s="198">
        <f t="shared" si="8"/>
        <v>-9461395.5851483867</v>
      </c>
      <c r="AC36" s="198">
        <f t="shared" si="8"/>
        <v>-9650623.4968513548</v>
      </c>
      <c r="AD36" s="198">
        <f t="shared" si="8"/>
        <v>-9843635.9667883813</v>
      </c>
      <c r="AE36" s="198">
        <f t="shared" si="8"/>
        <v>-10040508.68612415</v>
      </c>
      <c r="AF36" s="198">
        <f t="shared" si="8"/>
        <v>-10241318.859846633</v>
      </c>
      <c r="AG36" s="198">
        <f t="shared" si="8"/>
        <v>-10446145.237043565</v>
      </c>
      <c r="AH36" s="198">
        <f t="shared" si="8"/>
        <v>-10655068.141784437</v>
      </c>
    </row>
    <row r="37" spans="1:35" x14ac:dyDescent="0.25">
      <c r="C37" s="211"/>
      <c r="D37" s="118"/>
      <c r="E37" s="200"/>
      <c r="F37" s="200"/>
      <c r="G37" s="200"/>
      <c r="H37" s="200"/>
      <c r="I37" s="200"/>
      <c r="J37" s="200"/>
      <c r="K37" s="200"/>
      <c r="L37" s="200"/>
      <c r="M37" s="200"/>
      <c r="N37" s="200"/>
      <c r="O37" s="200"/>
      <c r="P37" s="200"/>
      <c r="Q37" s="200"/>
      <c r="R37" s="200"/>
      <c r="S37" s="200"/>
      <c r="T37" s="200"/>
      <c r="U37" s="200"/>
      <c r="V37" s="200"/>
      <c r="W37" s="200"/>
      <c r="X37" s="200"/>
      <c r="Y37" s="200"/>
      <c r="Z37" s="200"/>
      <c r="AA37" s="200"/>
      <c r="AB37" s="200"/>
      <c r="AC37" s="200"/>
      <c r="AD37" s="200"/>
      <c r="AE37" s="200"/>
      <c r="AF37" s="200"/>
      <c r="AG37" s="200"/>
      <c r="AH37" s="200"/>
    </row>
    <row r="38" spans="1:35" x14ac:dyDescent="0.25">
      <c r="B38" s="100" t="s">
        <v>26</v>
      </c>
      <c r="C38" s="211"/>
      <c r="D38" s="118"/>
      <c r="E38" s="201">
        <f t="shared" ref="E38:AH38" si="9">SUM(E32:E37)</f>
        <v>3950000</v>
      </c>
      <c r="F38" s="201">
        <f t="shared" si="9"/>
        <v>4615920</v>
      </c>
      <c r="G38" s="201">
        <f t="shared" si="9"/>
        <v>4812460</v>
      </c>
      <c r="H38" s="201">
        <f t="shared" si="9"/>
        <v>5109410</v>
      </c>
      <c r="I38" s="201">
        <f t="shared" si="9"/>
        <v>5492878.2000000002</v>
      </c>
      <c r="J38" s="201">
        <f t="shared" si="9"/>
        <v>5795490.9639999997</v>
      </c>
      <c r="K38" s="201">
        <f t="shared" si="9"/>
        <v>6099952.7832800001</v>
      </c>
      <c r="L38" s="201">
        <f t="shared" si="9"/>
        <v>6263015.6389456</v>
      </c>
      <c r="M38" s="201">
        <f t="shared" si="9"/>
        <v>6424792.5237245131</v>
      </c>
      <c r="N38" s="201">
        <f t="shared" si="9"/>
        <v>6585207.7829990014</v>
      </c>
      <c r="O38" s="201">
        <f t="shared" si="9"/>
        <v>6764722.6160589773</v>
      </c>
      <c r="P38" s="201">
        <f t="shared" si="9"/>
        <v>6942926.5959701585</v>
      </c>
      <c r="Q38" s="201">
        <f t="shared" si="9"/>
        <v>7119739.4286354622</v>
      </c>
      <c r="R38" s="201">
        <f t="shared" si="9"/>
        <v>7315830.6710335296</v>
      </c>
      <c r="S38" s="201">
        <f t="shared" si="9"/>
        <v>7510674.2486178102</v>
      </c>
      <c r="T38" s="201">
        <f t="shared" si="9"/>
        <v>7704085.851859415</v>
      </c>
      <c r="U38" s="201">
        <f t="shared" si="9"/>
        <v>7917042.731916545</v>
      </c>
      <c r="V38" s="201">
        <f t="shared" si="9"/>
        <v>8128710.1754130181</v>
      </c>
      <c r="W38" s="201">
        <f t="shared" si="9"/>
        <v>8338892.3383080047</v>
      </c>
      <c r="X38" s="201">
        <f t="shared" si="9"/>
        <v>8568992.3188387509</v>
      </c>
      <c r="Y38" s="201">
        <f t="shared" si="9"/>
        <v>8797636.5495177619</v>
      </c>
      <c r="Z38" s="201">
        <f t="shared" si="9"/>
        <v>9024728.468165366</v>
      </c>
      <c r="AA38" s="201">
        <f t="shared" si="9"/>
        <v>9271994.4679585043</v>
      </c>
      <c r="AB38" s="201">
        <f t="shared" si="9"/>
        <v>9517728.926475808</v>
      </c>
      <c r="AC38" s="201">
        <f t="shared" si="9"/>
        <v>9783876.9537190348</v>
      </c>
      <c r="AD38" s="201">
        <f t="shared" si="9"/>
        <v>10048508.979090258</v>
      </c>
      <c r="AE38" s="201">
        <f t="shared" si="9"/>
        <v>10311648.977303877</v>
      </c>
      <c r="AF38" s="201">
        <f t="shared" si="9"/>
        <v>10595447.693212084</v>
      </c>
      <c r="AG38" s="201">
        <f t="shared" si="9"/>
        <v>10877634.065522084</v>
      </c>
      <c r="AH38" s="201">
        <f t="shared" si="9"/>
        <v>11180708.769382738</v>
      </c>
    </row>
    <row r="39" spans="1:35" x14ac:dyDescent="0.25">
      <c r="C39" s="211"/>
      <c r="D39" s="118"/>
      <c r="E39" s="200"/>
      <c r="F39" s="200"/>
      <c r="G39" s="200"/>
      <c r="H39" s="200"/>
      <c r="I39" s="200"/>
      <c r="J39" s="200"/>
      <c r="K39" s="200"/>
      <c r="L39" s="200"/>
      <c r="M39" s="200"/>
      <c r="N39" s="200"/>
      <c r="O39" s="200"/>
      <c r="P39" s="200"/>
      <c r="Q39" s="200"/>
      <c r="R39" s="200"/>
      <c r="S39" s="200"/>
      <c r="T39" s="200"/>
      <c r="U39" s="200"/>
      <c r="V39" s="200"/>
      <c r="W39" s="200"/>
      <c r="X39" s="200"/>
      <c r="Y39" s="200"/>
      <c r="Z39" s="200"/>
      <c r="AA39" s="200"/>
      <c r="AB39" s="200"/>
      <c r="AC39" s="200"/>
      <c r="AD39" s="200"/>
      <c r="AE39" s="200"/>
      <c r="AF39" s="200"/>
      <c r="AG39" s="200"/>
      <c r="AH39" s="200"/>
    </row>
    <row r="40" spans="1:35" x14ac:dyDescent="0.25">
      <c r="B40" s="100" t="s">
        <v>27</v>
      </c>
      <c r="C40" s="210">
        <v>2</v>
      </c>
      <c r="D40" s="118"/>
      <c r="E40" s="198">
        <f t="shared" ref="E40:AH40" si="10">E38*0.5</f>
        <v>1975000</v>
      </c>
      <c r="F40" s="198">
        <f t="shared" si="10"/>
        <v>2307960</v>
      </c>
      <c r="G40" s="198">
        <f t="shared" si="10"/>
        <v>2406230</v>
      </c>
      <c r="H40" s="198">
        <f t="shared" si="10"/>
        <v>2554705</v>
      </c>
      <c r="I40" s="198">
        <f t="shared" si="10"/>
        <v>2746439.1</v>
      </c>
      <c r="J40" s="198">
        <f t="shared" si="10"/>
        <v>2897745.4819999998</v>
      </c>
      <c r="K40" s="198">
        <f t="shared" si="10"/>
        <v>3049976.39164</v>
      </c>
      <c r="L40" s="198">
        <f t="shared" si="10"/>
        <v>3131507.8194728</v>
      </c>
      <c r="M40" s="198">
        <f t="shared" si="10"/>
        <v>3212396.2618622566</v>
      </c>
      <c r="N40" s="198">
        <f t="shared" si="10"/>
        <v>3292603.8914995007</v>
      </c>
      <c r="O40" s="198">
        <f t="shared" si="10"/>
        <v>3382361.3080294887</v>
      </c>
      <c r="P40" s="198">
        <f t="shared" si="10"/>
        <v>3471463.2979850792</v>
      </c>
      <c r="Q40" s="198">
        <f t="shared" si="10"/>
        <v>3559869.7143177311</v>
      </c>
      <c r="R40" s="198">
        <f t="shared" si="10"/>
        <v>3657915.3355167648</v>
      </c>
      <c r="S40" s="198">
        <f t="shared" si="10"/>
        <v>3755337.1243089051</v>
      </c>
      <c r="T40" s="198">
        <f t="shared" si="10"/>
        <v>3852042.9259297075</v>
      </c>
      <c r="U40" s="198">
        <f t="shared" si="10"/>
        <v>3958521.3659582725</v>
      </c>
      <c r="V40" s="198">
        <f t="shared" si="10"/>
        <v>4064355.087706509</v>
      </c>
      <c r="W40" s="198">
        <f t="shared" si="10"/>
        <v>4169446.1691540023</v>
      </c>
      <c r="X40" s="198">
        <f t="shared" si="10"/>
        <v>4284496.1594193755</v>
      </c>
      <c r="Y40" s="198">
        <f t="shared" si="10"/>
        <v>4398818.274758881</v>
      </c>
      <c r="Z40" s="198">
        <f t="shared" si="10"/>
        <v>4512364.234082683</v>
      </c>
      <c r="AA40" s="198">
        <f t="shared" si="10"/>
        <v>4635997.2339792522</v>
      </c>
      <c r="AB40" s="198">
        <f t="shared" si="10"/>
        <v>4758864.463237904</v>
      </c>
      <c r="AC40" s="198">
        <f t="shared" si="10"/>
        <v>4891938.4768595174</v>
      </c>
      <c r="AD40" s="198">
        <f t="shared" si="10"/>
        <v>5024254.4895451292</v>
      </c>
      <c r="AE40" s="198">
        <f t="shared" si="10"/>
        <v>5155824.4886519387</v>
      </c>
      <c r="AF40" s="198">
        <f t="shared" si="10"/>
        <v>5297723.8466060422</v>
      </c>
      <c r="AG40" s="198">
        <f t="shared" si="10"/>
        <v>5438817.032761042</v>
      </c>
      <c r="AH40" s="198">
        <f t="shared" si="10"/>
        <v>5590354.3846913688</v>
      </c>
    </row>
    <row r="41" spans="1:35" ht="28.5" customHeight="1" x14ac:dyDescent="0.25">
      <c r="B41" s="175" t="s">
        <v>28</v>
      </c>
      <c r="C41" s="181"/>
      <c r="D41" s="118"/>
      <c r="E41" s="185">
        <f>-(E11*0.1)</f>
        <v>-1170000</v>
      </c>
      <c r="F41" s="185">
        <f t="shared" ref="F41:AH41" si="11">-(F11*0.1)</f>
        <v>-1249092</v>
      </c>
      <c r="G41" s="185">
        <f t="shared" si="11"/>
        <v>-1281696</v>
      </c>
      <c r="H41" s="185">
        <f t="shared" si="11"/>
        <v>-1324800</v>
      </c>
      <c r="I41" s="185">
        <f t="shared" si="11"/>
        <v>-1377024</v>
      </c>
      <c r="J41" s="185">
        <f t="shared" si="11"/>
        <v>-1421640</v>
      </c>
      <c r="K41" s="185">
        <f t="shared" si="11"/>
        <v>-1466928</v>
      </c>
      <c r="L41" s="185">
        <f t="shared" si="11"/>
        <v>-1504472.94</v>
      </c>
      <c r="M41" s="185">
        <f t="shared" si="11"/>
        <v>-1542355.0560000003</v>
      </c>
      <c r="N41" s="185">
        <f t="shared" si="11"/>
        <v>-1580576.5079999999</v>
      </c>
      <c r="O41" s="185">
        <f t="shared" si="11"/>
        <v>-1621193.3399999999</v>
      </c>
      <c r="P41" s="185">
        <f t="shared" si="11"/>
        <v>-1662174.6359999999</v>
      </c>
      <c r="Q41" s="185">
        <f t="shared" si="11"/>
        <v>-1703522.7000000002</v>
      </c>
      <c r="R41" s="185">
        <f t="shared" si="11"/>
        <v>-1747315.0320000001</v>
      </c>
      <c r="S41" s="185">
        <f t="shared" si="11"/>
        <v>-1791509.784</v>
      </c>
      <c r="T41" s="185">
        <f t="shared" si="11"/>
        <v>-1836099.504</v>
      </c>
      <c r="U41" s="185">
        <f t="shared" si="11"/>
        <v>-1883193.12</v>
      </c>
      <c r="V41" s="185">
        <f t="shared" si="11"/>
        <v>-1930718.5919999999</v>
      </c>
      <c r="W41" s="185">
        <f t="shared" si="11"/>
        <v>-1978668.0000000005</v>
      </c>
      <c r="X41" s="185">
        <f t="shared" si="11"/>
        <v>-2029193.5560000003</v>
      </c>
      <c r="Y41" s="185">
        <f t="shared" si="11"/>
        <v>-2080170.0480000002</v>
      </c>
      <c r="Z41" s="185">
        <f t="shared" si="11"/>
        <v>-2131600.2119999998</v>
      </c>
      <c r="AA41" s="185">
        <f t="shared" si="11"/>
        <v>-2185669.3319999999</v>
      </c>
      <c r="AB41" s="185">
        <f t="shared" si="11"/>
        <v>-2240219.7480000001</v>
      </c>
      <c r="AC41" s="185">
        <f t="shared" si="11"/>
        <v>-2297459.1359999999</v>
      </c>
      <c r="AD41" s="185">
        <f t="shared" si="11"/>
        <v>-2355207.9720000001</v>
      </c>
      <c r="AE41" s="185">
        <f t="shared" si="11"/>
        <v>-2413482.3600000003</v>
      </c>
      <c r="AF41" s="185">
        <f t="shared" si="11"/>
        <v>-2474511.3599999999</v>
      </c>
      <c r="AG41" s="185">
        <f t="shared" si="11"/>
        <v>-2536082.1359999999</v>
      </c>
      <c r="AH41" s="185">
        <f t="shared" si="11"/>
        <v>-2600459.3160000006</v>
      </c>
    </row>
    <row r="42" spans="1:35" x14ac:dyDescent="0.25">
      <c r="B42" s="100" t="s">
        <v>29</v>
      </c>
      <c r="C42" s="133"/>
      <c r="D42" s="118"/>
      <c r="E42" s="198">
        <f t="shared" ref="E42:AH42" si="12">SUM(E40:E41)</f>
        <v>805000</v>
      </c>
      <c r="F42" s="198">
        <f t="shared" si="12"/>
        <v>1058868</v>
      </c>
      <c r="G42" s="198">
        <f t="shared" si="12"/>
        <v>1124534</v>
      </c>
      <c r="H42" s="198">
        <f t="shared" si="12"/>
        <v>1229905</v>
      </c>
      <c r="I42" s="198">
        <f t="shared" si="12"/>
        <v>1369415.1</v>
      </c>
      <c r="J42" s="198">
        <f t="shared" si="12"/>
        <v>1476105.4819999998</v>
      </c>
      <c r="K42" s="198">
        <f t="shared" si="12"/>
        <v>1583048.39164</v>
      </c>
      <c r="L42" s="198">
        <f t="shared" si="12"/>
        <v>1627034.8794728001</v>
      </c>
      <c r="M42" s="198">
        <f t="shared" si="12"/>
        <v>1670041.2058622562</v>
      </c>
      <c r="N42" s="198">
        <f t="shared" si="12"/>
        <v>1712027.3834995008</v>
      </c>
      <c r="O42" s="198">
        <f t="shared" si="12"/>
        <v>1761167.9680294888</v>
      </c>
      <c r="P42" s="198">
        <f t="shared" si="12"/>
        <v>1809288.6619850793</v>
      </c>
      <c r="Q42" s="198">
        <f t="shared" si="12"/>
        <v>1856347.0143177309</v>
      </c>
      <c r="R42" s="198">
        <f t="shared" si="12"/>
        <v>1910600.3035167647</v>
      </c>
      <c r="S42" s="198">
        <f t="shared" si="12"/>
        <v>1963827.3403089051</v>
      </c>
      <c r="T42" s="198">
        <f t="shared" si="12"/>
        <v>2015943.4219297075</v>
      </c>
      <c r="U42" s="198">
        <f t="shared" si="12"/>
        <v>2075328.2459582724</v>
      </c>
      <c r="V42" s="198">
        <f t="shared" si="12"/>
        <v>2133636.4957065089</v>
      </c>
      <c r="W42" s="198">
        <f t="shared" si="12"/>
        <v>2190778.1691540019</v>
      </c>
      <c r="X42" s="198">
        <f t="shared" si="12"/>
        <v>2255302.6034193751</v>
      </c>
      <c r="Y42" s="198">
        <f t="shared" si="12"/>
        <v>2318648.2267588805</v>
      </c>
      <c r="Z42" s="198">
        <f t="shared" si="12"/>
        <v>2380764.0220826832</v>
      </c>
      <c r="AA42" s="198">
        <f t="shared" si="12"/>
        <v>2450327.9019792522</v>
      </c>
      <c r="AB42" s="198">
        <f t="shared" si="12"/>
        <v>2518644.7152379039</v>
      </c>
      <c r="AC42" s="198">
        <f t="shared" si="12"/>
        <v>2594479.3408595175</v>
      </c>
      <c r="AD42" s="198">
        <f t="shared" si="12"/>
        <v>2669046.5175451292</v>
      </c>
      <c r="AE42" s="198">
        <f t="shared" si="12"/>
        <v>2742342.1286519384</v>
      </c>
      <c r="AF42" s="198">
        <f t="shared" si="12"/>
        <v>2823212.4866060424</v>
      </c>
      <c r="AG42" s="198">
        <f t="shared" si="12"/>
        <v>2902734.8967610421</v>
      </c>
      <c r="AH42" s="198">
        <f t="shared" si="12"/>
        <v>2989895.0686913682</v>
      </c>
    </row>
    <row r="43" spans="1:35" x14ac:dyDescent="0.25">
      <c r="B43" s="100" t="s">
        <v>30</v>
      </c>
      <c r="C43" s="133"/>
      <c r="D43" s="118"/>
      <c r="E43" s="202">
        <f t="shared" ref="E43:AH43" si="13">-E42*$C$5</f>
        <v>-213325</v>
      </c>
      <c r="F43" s="202">
        <f t="shared" si="13"/>
        <v>-280600.02</v>
      </c>
      <c r="G43" s="202">
        <f t="shared" si="13"/>
        <v>-298001.51</v>
      </c>
      <c r="H43" s="202">
        <f t="shared" si="13"/>
        <v>-325924.82500000001</v>
      </c>
      <c r="I43" s="202">
        <f t="shared" si="13"/>
        <v>-362895.00150000007</v>
      </c>
      <c r="J43" s="202">
        <f t="shared" si="13"/>
        <v>-391167.95272999996</v>
      </c>
      <c r="K43" s="202">
        <f t="shared" si="13"/>
        <v>-419507.82378460001</v>
      </c>
      <c r="L43" s="202">
        <f t="shared" si="13"/>
        <v>-431164.24306029204</v>
      </c>
      <c r="M43" s="202">
        <f t="shared" si="13"/>
        <v>-442560.91955349792</v>
      </c>
      <c r="N43" s="202">
        <f t="shared" si="13"/>
        <v>-453687.25662736775</v>
      </c>
      <c r="O43" s="202">
        <f t="shared" si="13"/>
        <v>-466709.51152781455</v>
      </c>
      <c r="P43" s="202">
        <f t="shared" si="13"/>
        <v>-479461.49542604602</v>
      </c>
      <c r="Q43" s="202">
        <f t="shared" si="13"/>
        <v>-491931.9587941987</v>
      </c>
      <c r="R43" s="202">
        <f t="shared" si="13"/>
        <v>-506309.08043194265</v>
      </c>
      <c r="S43" s="202">
        <f t="shared" si="13"/>
        <v>-520414.24518185988</v>
      </c>
      <c r="T43" s="202">
        <f t="shared" si="13"/>
        <v>-534225.00681137247</v>
      </c>
      <c r="U43" s="202">
        <f t="shared" si="13"/>
        <v>-549961.98517894221</v>
      </c>
      <c r="V43" s="202">
        <f t="shared" si="13"/>
        <v>-565413.67136222485</v>
      </c>
      <c r="W43" s="202">
        <f t="shared" si="13"/>
        <v>-580556.21482581052</v>
      </c>
      <c r="X43" s="202">
        <f t="shared" si="13"/>
        <v>-597655.18990613439</v>
      </c>
      <c r="Y43" s="202">
        <f t="shared" si="13"/>
        <v>-614441.7800911034</v>
      </c>
      <c r="Z43" s="202">
        <f t="shared" si="13"/>
        <v>-630902.46585191111</v>
      </c>
      <c r="AA43" s="202">
        <f t="shared" si="13"/>
        <v>-649336.8940245019</v>
      </c>
      <c r="AB43" s="202">
        <f t="shared" si="13"/>
        <v>-667440.84953804454</v>
      </c>
      <c r="AC43" s="202">
        <f t="shared" si="13"/>
        <v>-687537.02532777213</v>
      </c>
      <c r="AD43" s="202">
        <f t="shared" si="13"/>
        <v>-707297.32714945928</v>
      </c>
      <c r="AE43" s="202">
        <f t="shared" si="13"/>
        <v>-726720.66409276368</v>
      </c>
      <c r="AF43" s="202">
        <f t="shared" si="13"/>
        <v>-748151.30895060126</v>
      </c>
      <c r="AG43" s="202">
        <f t="shared" si="13"/>
        <v>-769224.74764167622</v>
      </c>
      <c r="AH43" s="202">
        <f t="shared" si="13"/>
        <v>-792322.19320321258</v>
      </c>
    </row>
    <row r="44" spans="1:35" x14ac:dyDescent="0.25">
      <c r="B44" s="100" t="s">
        <v>31</v>
      </c>
      <c r="C44" s="133"/>
      <c r="D44" s="118"/>
      <c r="E44" s="203">
        <f t="shared" ref="E44:AH44" si="14">E42+E43</f>
        <v>591675</v>
      </c>
      <c r="F44" s="203">
        <f t="shared" si="14"/>
        <v>778267.98</v>
      </c>
      <c r="G44" s="203">
        <f t="shared" si="14"/>
        <v>826532.49</v>
      </c>
      <c r="H44" s="203">
        <f t="shared" si="14"/>
        <v>903980.17500000005</v>
      </c>
      <c r="I44" s="203">
        <f t="shared" si="14"/>
        <v>1006520.0985000001</v>
      </c>
      <c r="J44" s="203">
        <f t="shared" si="14"/>
        <v>1084937.5292699998</v>
      </c>
      <c r="K44" s="203">
        <f t="shared" si="14"/>
        <v>1163540.5678554</v>
      </c>
      <c r="L44" s="203">
        <f t="shared" si="14"/>
        <v>1195870.6364125081</v>
      </c>
      <c r="M44" s="203">
        <f t="shared" si="14"/>
        <v>1227480.2863087584</v>
      </c>
      <c r="N44" s="203">
        <f t="shared" si="14"/>
        <v>1258340.126872133</v>
      </c>
      <c r="O44" s="203">
        <f t="shared" si="14"/>
        <v>1294458.4565016744</v>
      </c>
      <c r="P44" s="203">
        <f t="shared" si="14"/>
        <v>1329827.1665590333</v>
      </c>
      <c r="Q44" s="203">
        <f t="shared" si="14"/>
        <v>1364415.0555235322</v>
      </c>
      <c r="R44" s="203">
        <f t="shared" si="14"/>
        <v>1404291.2230848221</v>
      </c>
      <c r="S44" s="203">
        <f t="shared" si="14"/>
        <v>1443413.0951270452</v>
      </c>
      <c r="T44" s="203">
        <f t="shared" si="14"/>
        <v>1481718.415118335</v>
      </c>
      <c r="U44" s="203">
        <f t="shared" si="14"/>
        <v>1525366.26077933</v>
      </c>
      <c r="V44" s="203">
        <f t="shared" si="14"/>
        <v>1568222.8243442839</v>
      </c>
      <c r="W44" s="203">
        <f t="shared" si="14"/>
        <v>1610221.9543281915</v>
      </c>
      <c r="X44" s="203">
        <f t="shared" si="14"/>
        <v>1657647.4135132409</v>
      </c>
      <c r="Y44" s="203">
        <f t="shared" si="14"/>
        <v>1704206.4466677771</v>
      </c>
      <c r="Z44" s="203">
        <f t="shared" si="14"/>
        <v>1749861.5562307721</v>
      </c>
      <c r="AA44" s="203">
        <f t="shared" si="14"/>
        <v>1800991.0079547502</v>
      </c>
      <c r="AB44" s="203">
        <f t="shared" si="14"/>
        <v>1851203.8656998593</v>
      </c>
      <c r="AC44" s="203">
        <f t="shared" si="14"/>
        <v>1906942.3155317453</v>
      </c>
      <c r="AD44" s="203">
        <f t="shared" si="14"/>
        <v>1961749.19039567</v>
      </c>
      <c r="AE44" s="203">
        <f t="shared" si="14"/>
        <v>2015621.4645591746</v>
      </c>
      <c r="AF44" s="203">
        <f t="shared" si="14"/>
        <v>2075061.1776554412</v>
      </c>
      <c r="AG44" s="203">
        <f t="shared" si="14"/>
        <v>2133510.149119366</v>
      </c>
      <c r="AH44" s="203">
        <f t="shared" si="14"/>
        <v>2197572.8754881555</v>
      </c>
    </row>
    <row r="45" spans="1:35" ht="28.5" customHeight="1" x14ac:dyDescent="0.25">
      <c r="E45" s="232"/>
      <c r="F45" s="232"/>
      <c r="G45" s="232"/>
      <c r="H45" s="232"/>
      <c r="I45" s="118"/>
      <c r="J45" s="118"/>
      <c r="K45" s="118"/>
      <c r="L45" s="118"/>
      <c r="M45" s="118"/>
      <c r="N45" s="118"/>
      <c r="O45" s="118"/>
      <c r="P45" s="118"/>
      <c r="Q45" s="118"/>
      <c r="R45" s="118"/>
      <c r="S45" s="118"/>
      <c r="T45" s="118"/>
      <c r="U45" s="118"/>
      <c r="V45" s="118"/>
      <c r="W45" s="118"/>
      <c r="X45" s="118"/>
      <c r="Y45" s="118"/>
      <c r="Z45" s="118"/>
      <c r="AA45" s="118"/>
      <c r="AB45" s="118"/>
      <c r="AC45" s="118"/>
      <c r="AD45" s="118"/>
      <c r="AE45" s="118"/>
      <c r="AF45" s="118"/>
      <c r="AG45" s="118"/>
      <c r="AH45" s="118"/>
    </row>
    <row r="46" spans="1:35" s="171" customFormat="1" x14ac:dyDescent="0.25">
      <c r="A46" s="177"/>
      <c r="B46" s="171" t="s">
        <v>32</v>
      </c>
      <c r="AH46" s="208">
        <v>10000</v>
      </c>
      <c r="AI46" s="257" t="s">
        <v>33</v>
      </c>
    </row>
    <row r="47" spans="1:35" s="171" customFormat="1" x14ac:dyDescent="0.25">
      <c r="A47" s="177"/>
      <c r="B47" s="208" t="s">
        <v>34</v>
      </c>
      <c r="AH47" s="208">
        <f>-AH46*C5</f>
        <v>-2650</v>
      </c>
      <c r="AI47" s="258" t="s">
        <v>35</v>
      </c>
    </row>
    <row r="48" spans="1:35" s="171" customFormat="1" x14ac:dyDescent="0.25">
      <c r="A48" s="177"/>
      <c r="B48" s="208" t="s">
        <v>36</v>
      </c>
      <c r="AH48" s="171">
        <v>0</v>
      </c>
    </row>
    <row r="49" spans="1:34" s="171" customFormat="1" x14ac:dyDescent="0.25">
      <c r="A49" s="177"/>
      <c r="B49" s="208" t="s">
        <v>37</v>
      </c>
      <c r="E49" s="237"/>
      <c r="F49" s="237"/>
      <c r="G49" s="237"/>
      <c r="H49" s="237"/>
      <c r="I49" s="237"/>
      <c r="J49" s="237"/>
      <c r="K49" s="237"/>
      <c r="L49" s="237"/>
      <c r="M49" s="237"/>
      <c r="N49" s="237"/>
      <c r="O49" s="237"/>
      <c r="P49" s="237"/>
      <c r="Q49" s="237"/>
      <c r="R49" s="237"/>
      <c r="S49" s="237"/>
      <c r="T49" s="237"/>
      <c r="U49" s="237"/>
      <c r="V49" s="237"/>
      <c r="W49" s="237"/>
      <c r="X49" s="237"/>
      <c r="Y49" s="237"/>
      <c r="Z49" s="237"/>
      <c r="AA49" s="237"/>
      <c r="AB49" s="237"/>
      <c r="AC49" s="237"/>
      <c r="AD49" s="237"/>
      <c r="AE49" s="237"/>
      <c r="AF49" s="237"/>
      <c r="AG49" s="237"/>
      <c r="AH49" s="237"/>
    </row>
    <row r="50" spans="1:34" s="171" customFormat="1" ht="14.4" thickBot="1" x14ac:dyDescent="0.3">
      <c r="A50" s="177"/>
      <c r="E50" s="238">
        <f t="shared" ref="E50:AH50" si="15">SUM(E44:E49)</f>
        <v>591675</v>
      </c>
      <c r="F50" s="239">
        <f t="shared" si="15"/>
        <v>778267.98</v>
      </c>
      <c r="G50" s="239">
        <f t="shared" si="15"/>
        <v>826532.49</v>
      </c>
      <c r="H50" s="239">
        <f t="shared" si="15"/>
        <v>903980.17500000005</v>
      </c>
      <c r="I50" s="239">
        <f t="shared" si="15"/>
        <v>1006520.0985000001</v>
      </c>
      <c r="J50" s="239">
        <f t="shared" si="15"/>
        <v>1084937.5292699998</v>
      </c>
      <c r="K50" s="239">
        <f t="shared" si="15"/>
        <v>1163540.5678554</v>
      </c>
      <c r="L50" s="239">
        <f t="shared" si="15"/>
        <v>1195870.6364125081</v>
      </c>
      <c r="M50" s="239">
        <f t="shared" si="15"/>
        <v>1227480.2863087584</v>
      </c>
      <c r="N50" s="239">
        <f t="shared" si="15"/>
        <v>1258340.126872133</v>
      </c>
      <c r="O50" s="239">
        <f t="shared" si="15"/>
        <v>1294458.4565016744</v>
      </c>
      <c r="P50" s="239">
        <f t="shared" si="15"/>
        <v>1329827.1665590333</v>
      </c>
      <c r="Q50" s="239">
        <f t="shared" si="15"/>
        <v>1364415.0555235322</v>
      </c>
      <c r="R50" s="239">
        <f t="shared" si="15"/>
        <v>1404291.2230848221</v>
      </c>
      <c r="S50" s="239">
        <f t="shared" si="15"/>
        <v>1443413.0951270452</v>
      </c>
      <c r="T50" s="239">
        <f t="shared" si="15"/>
        <v>1481718.415118335</v>
      </c>
      <c r="U50" s="239">
        <f t="shared" si="15"/>
        <v>1525366.26077933</v>
      </c>
      <c r="V50" s="239">
        <f t="shared" si="15"/>
        <v>1568222.8243442839</v>
      </c>
      <c r="W50" s="239">
        <f t="shared" si="15"/>
        <v>1610221.9543281915</v>
      </c>
      <c r="X50" s="239">
        <f t="shared" si="15"/>
        <v>1657647.4135132409</v>
      </c>
      <c r="Y50" s="239">
        <f t="shared" si="15"/>
        <v>1704206.4466677771</v>
      </c>
      <c r="Z50" s="239">
        <f t="shared" si="15"/>
        <v>1749861.5562307721</v>
      </c>
      <c r="AA50" s="239">
        <f t="shared" si="15"/>
        <v>1800991.0079547502</v>
      </c>
      <c r="AB50" s="239">
        <f t="shared" si="15"/>
        <v>1851203.8656998593</v>
      </c>
      <c r="AC50" s="239">
        <f t="shared" si="15"/>
        <v>1906942.3155317453</v>
      </c>
      <c r="AD50" s="239">
        <f t="shared" si="15"/>
        <v>1961749.19039567</v>
      </c>
      <c r="AE50" s="239">
        <f t="shared" si="15"/>
        <v>2015621.4645591746</v>
      </c>
      <c r="AF50" s="239">
        <f t="shared" si="15"/>
        <v>2075061.1776554412</v>
      </c>
      <c r="AG50" s="239">
        <f t="shared" si="15"/>
        <v>2133510.149119366</v>
      </c>
      <c r="AH50" s="239">
        <f t="shared" si="15"/>
        <v>2204922.8754881555</v>
      </c>
    </row>
    <row r="51" spans="1:34" s="171" customFormat="1" x14ac:dyDescent="0.25">
      <c r="A51" s="177"/>
      <c r="B51" s="175" t="s">
        <v>38</v>
      </c>
      <c r="D51" s="101">
        <f>NPV(C4, E50:AH50)</f>
        <v>10954970.245962162</v>
      </c>
    </row>
    <row r="52" spans="1:34" s="171" customFormat="1" ht="14.4" thickBot="1" x14ac:dyDescent="0.3">
      <c r="A52" s="177"/>
      <c r="B52" s="171" t="s">
        <v>39</v>
      </c>
      <c r="C52" s="100"/>
      <c r="D52" s="206">
        <f>SUM(D16:D51)</f>
        <v>2134970.2459621616</v>
      </c>
      <c r="F52" s="207"/>
    </row>
    <row r="53" spans="1:34" s="171" customFormat="1" ht="14.4" thickTop="1" x14ac:dyDescent="0.25">
      <c r="A53" s="177"/>
      <c r="C53" s="100"/>
      <c r="D53" s="187"/>
      <c r="F53" s="207"/>
    </row>
    <row r="54" spans="1:34" s="171" customFormat="1" ht="21" customHeight="1" x14ac:dyDescent="0.25">
      <c r="A54" s="177"/>
      <c r="B54" s="259" t="s">
        <v>40</v>
      </c>
      <c r="C54" s="259"/>
      <c r="D54" s="260">
        <f>PV(10%,15,,-S54)</f>
        <v>-2872704.5924299606</v>
      </c>
      <c r="E54" s="257" t="s">
        <v>41</v>
      </c>
      <c r="F54" s="207"/>
      <c r="S54" s="118">
        <v>-12000000</v>
      </c>
    </row>
    <row r="55" spans="1:34" s="171" customFormat="1" ht="13.95" customHeight="1" x14ac:dyDescent="0.25">
      <c r="A55" s="177"/>
      <c r="B55" s="261" t="s">
        <v>42</v>
      </c>
      <c r="C55" s="259"/>
      <c r="D55" s="260">
        <f>PV(10%,15,,-S55)</f>
        <v>761266.7169939396</v>
      </c>
      <c r="F55" s="207"/>
      <c r="S55" s="118">
        <f>-S54*0.265</f>
        <v>3180000</v>
      </c>
    </row>
    <row r="56" spans="1:34" s="171" customFormat="1" ht="27.6" x14ac:dyDescent="0.25">
      <c r="A56" s="177"/>
      <c r="B56" s="276" t="s">
        <v>43</v>
      </c>
      <c r="C56" s="259"/>
      <c r="D56" s="262">
        <f>SUM(D52:D55)</f>
        <v>23532.370526140556</v>
      </c>
      <c r="F56" s="207"/>
    </row>
    <row r="57" spans="1:34" s="171" customFormat="1" ht="14.4" thickTop="1" x14ac:dyDescent="0.25">
      <c r="A57" s="177"/>
      <c r="C57" s="100"/>
      <c r="D57" s="187"/>
      <c r="F57" s="207"/>
    </row>
    <row r="58" spans="1:34" s="171" customFormat="1" x14ac:dyDescent="0.25">
      <c r="A58" s="177"/>
      <c r="C58" s="100"/>
      <c r="D58" s="187"/>
      <c r="F58" s="207"/>
    </row>
    <row r="59" spans="1:34" x14ac:dyDescent="0.25">
      <c r="B59" s="255" t="s">
        <v>44</v>
      </c>
      <c r="E59" s="256">
        <v>2022</v>
      </c>
      <c r="F59" s="256">
        <v>2023</v>
      </c>
      <c r="G59" s="256">
        <v>2024</v>
      </c>
      <c r="H59" s="256">
        <v>2025</v>
      </c>
      <c r="I59" s="256">
        <v>2026</v>
      </c>
      <c r="J59" s="256">
        <v>2027</v>
      </c>
      <c r="K59" s="256">
        <v>2028</v>
      </c>
      <c r="L59" s="256">
        <v>2029</v>
      </c>
      <c r="M59" s="256">
        <v>2030</v>
      </c>
      <c r="N59" s="256">
        <v>2031</v>
      </c>
      <c r="O59" s="256">
        <v>2032</v>
      </c>
      <c r="P59" s="256">
        <v>2033</v>
      </c>
      <c r="Q59" s="256">
        <v>2034</v>
      </c>
      <c r="R59" s="256">
        <v>2035</v>
      </c>
      <c r="S59" s="256">
        <v>2036</v>
      </c>
      <c r="T59" s="256">
        <v>2037</v>
      </c>
      <c r="U59" s="256">
        <v>2038</v>
      </c>
      <c r="V59" s="256">
        <v>2039</v>
      </c>
      <c r="W59" s="256">
        <v>2040</v>
      </c>
      <c r="X59" s="256">
        <v>2041</v>
      </c>
      <c r="Y59" s="256">
        <v>2042</v>
      </c>
      <c r="Z59" s="256">
        <v>2043</v>
      </c>
      <c r="AA59" s="256">
        <v>2044</v>
      </c>
      <c r="AB59" s="256">
        <v>2045</v>
      </c>
      <c r="AC59" s="256">
        <v>2046</v>
      </c>
      <c r="AD59" s="256">
        <v>2047</v>
      </c>
      <c r="AE59" s="256">
        <v>2048</v>
      </c>
      <c r="AF59" s="256">
        <v>2049</v>
      </c>
      <c r="AG59" s="256">
        <v>2050</v>
      </c>
      <c r="AH59" s="256">
        <v>2051</v>
      </c>
    </row>
    <row r="60" spans="1:34" x14ac:dyDescent="0.25">
      <c r="B60" s="255" t="s">
        <v>45</v>
      </c>
      <c r="E60" s="256"/>
      <c r="F60" s="256"/>
      <c r="G60" s="256"/>
      <c r="H60" s="256"/>
      <c r="I60" s="256"/>
      <c r="J60" s="256"/>
      <c r="K60" s="256"/>
      <c r="L60" s="256"/>
      <c r="M60" s="256"/>
      <c r="N60" s="256"/>
      <c r="O60" s="256"/>
      <c r="P60" s="256"/>
      <c r="Q60" s="256"/>
      <c r="R60" s="256"/>
      <c r="S60" s="256"/>
      <c r="T60" s="256"/>
      <c r="U60" s="256"/>
      <c r="V60" s="256"/>
      <c r="W60" s="256"/>
      <c r="X60" s="256"/>
      <c r="Y60" s="256"/>
      <c r="Z60" s="256"/>
      <c r="AA60" s="256"/>
      <c r="AB60" s="256"/>
      <c r="AC60" s="256"/>
      <c r="AD60" s="256"/>
      <c r="AE60" s="256"/>
      <c r="AF60" s="256"/>
      <c r="AG60" s="256"/>
      <c r="AH60" s="256"/>
    </row>
    <row r="61" spans="1:34" s="171" customFormat="1" x14ac:dyDescent="0.25">
      <c r="A61" s="177"/>
      <c r="B61" s="171" t="s">
        <v>46</v>
      </c>
      <c r="C61" s="252" t="s">
        <v>47</v>
      </c>
      <c r="E61" s="209">
        <f>E32*50%</f>
        <v>8225000</v>
      </c>
      <c r="F61" s="251">
        <f t="shared" ref="F61:AH61" si="16">F32*50%</f>
        <v>8682960</v>
      </c>
      <c r="G61" s="251">
        <f t="shared" si="16"/>
        <v>8908730</v>
      </c>
      <c r="H61" s="251">
        <f t="shared" si="16"/>
        <v>9187255</v>
      </c>
      <c r="I61" s="251">
        <f t="shared" si="16"/>
        <v>9511640.0999999996</v>
      </c>
      <c r="J61" s="251">
        <f t="shared" si="16"/>
        <v>9798250.5020000003</v>
      </c>
      <c r="K61" s="251">
        <f t="shared" si="16"/>
        <v>10088491.51204</v>
      </c>
      <c r="L61" s="251">
        <f t="shared" si="16"/>
        <v>10310793.2422808</v>
      </c>
      <c r="M61" s="251">
        <f t="shared" si="16"/>
        <v>10535267.393126417</v>
      </c>
      <c r="N61" s="251">
        <f t="shared" si="16"/>
        <v>10761932.445388945</v>
      </c>
      <c r="O61" s="251">
        <f t="shared" si="16"/>
        <v>11001076.432996722</v>
      </c>
      <c r="P61" s="251">
        <f t="shared" si="16"/>
        <v>11242552.725451658</v>
      </c>
      <c r="Q61" s="251">
        <f t="shared" si="16"/>
        <v>11486380.93033364</v>
      </c>
      <c r="R61" s="251">
        <f t="shared" si="16"/>
        <v>11742956.775852993</v>
      </c>
      <c r="S61" s="251">
        <f t="shared" si="16"/>
        <v>12002079.393451858</v>
      </c>
      <c r="T61" s="251">
        <f t="shared" si="16"/>
        <v>12263720.04045552</v>
      </c>
      <c r="U61" s="251">
        <f t="shared" si="16"/>
        <v>12538432.022774601</v>
      </c>
      <c r="V61" s="251">
        <f t="shared" si="16"/>
        <v>12815863.957659164</v>
      </c>
      <c r="W61" s="251">
        <f t="shared" si="16"/>
        <v>13095985.21650571</v>
      </c>
      <c r="X61" s="251">
        <f t="shared" si="16"/>
        <v>13389565.987718118</v>
      </c>
      <c r="Y61" s="251">
        <f t="shared" si="16"/>
        <v>13685989.499623599</v>
      </c>
      <c r="Z61" s="251">
        <f t="shared" si="16"/>
        <v>13985278.883444697</v>
      </c>
      <c r="AA61" s="251">
        <f t="shared" si="16"/>
        <v>14298370.176328506</v>
      </c>
      <c r="AB61" s="251">
        <f t="shared" si="16"/>
        <v>14614484.864434144</v>
      </c>
      <c r="AC61" s="251">
        <f t="shared" si="16"/>
        <v>14944671.286079681</v>
      </c>
      <c r="AD61" s="251">
        <f t="shared" si="16"/>
        <v>15278041.954949696</v>
      </c>
      <c r="AE61" s="251">
        <f t="shared" si="16"/>
        <v>15614687.703364598</v>
      </c>
      <c r="AF61" s="251">
        <f t="shared" si="16"/>
        <v>15965764.325612955</v>
      </c>
      <c r="AG61" s="251">
        <f t="shared" si="16"/>
        <v>16320218.321348093</v>
      </c>
      <c r="AH61" s="251">
        <f t="shared" si="16"/>
        <v>16689383.699050162</v>
      </c>
    </row>
    <row r="62" spans="1:34" x14ac:dyDescent="0.25">
      <c r="C62" s="252"/>
    </row>
    <row r="63" spans="1:34" x14ac:dyDescent="0.25">
      <c r="B63" s="100" t="s">
        <v>48</v>
      </c>
      <c r="C63" s="252"/>
      <c r="E63" s="118">
        <f>E42</f>
        <v>805000</v>
      </c>
      <c r="F63" s="250">
        <f t="shared" ref="F63:AH63" si="17">F42</f>
        <v>1058868</v>
      </c>
      <c r="G63" s="250">
        <f t="shared" si="17"/>
        <v>1124534</v>
      </c>
      <c r="H63" s="250">
        <f t="shared" si="17"/>
        <v>1229905</v>
      </c>
      <c r="I63" s="250">
        <f t="shared" si="17"/>
        <v>1369415.1</v>
      </c>
      <c r="J63" s="250">
        <f t="shared" si="17"/>
        <v>1476105.4819999998</v>
      </c>
      <c r="K63" s="250">
        <f t="shared" si="17"/>
        <v>1583048.39164</v>
      </c>
      <c r="L63" s="250">
        <f t="shared" si="17"/>
        <v>1627034.8794728001</v>
      </c>
      <c r="M63" s="250">
        <f t="shared" si="17"/>
        <v>1670041.2058622562</v>
      </c>
      <c r="N63" s="250">
        <f t="shared" si="17"/>
        <v>1712027.3834995008</v>
      </c>
      <c r="O63" s="250">
        <f t="shared" si="17"/>
        <v>1761167.9680294888</v>
      </c>
      <c r="P63" s="250">
        <f t="shared" si="17"/>
        <v>1809288.6619850793</v>
      </c>
      <c r="Q63" s="250">
        <f t="shared" si="17"/>
        <v>1856347.0143177309</v>
      </c>
      <c r="R63" s="250">
        <f t="shared" si="17"/>
        <v>1910600.3035167647</v>
      </c>
      <c r="S63" s="250">
        <f t="shared" si="17"/>
        <v>1963827.3403089051</v>
      </c>
      <c r="T63" s="250">
        <f t="shared" si="17"/>
        <v>2015943.4219297075</v>
      </c>
      <c r="U63" s="250">
        <f t="shared" si="17"/>
        <v>2075328.2459582724</v>
      </c>
      <c r="V63" s="250">
        <f t="shared" si="17"/>
        <v>2133636.4957065089</v>
      </c>
      <c r="W63" s="250">
        <f t="shared" si="17"/>
        <v>2190778.1691540019</v>
      </c>
      <c r="X63" s="250">
        <f t="shared" si="17"/>
        <v>2255302.6034193751</v>
      </c>
      <c r="Y63" s="250">
        <f t="shared" si="17"/>
        <v>2318648.2267588805</v>
      </c>
      <c r="Z63" s="250">
        <f t="shared" si="17"/>
        <v>2380764.0220826832</v>
      </c>
      <c r="AA63" s="250">
        <f t="shared" si="17"/>
        <v>2450327.9019792522</v>
      </c>
      <c r="AB63" s="250">
        <f t="shared" si="17"/>
        <v>2518644.7152379039</v>
      </c>
      <c r="AC63" s="250">
        <f t="shared" si="17"/>
        <v>2594479.3408595175</v>
      </c>
      <c r="AD63" s="250">
        <f t="shared" si="17"/>
        <v>2669046.5175451292</v>
      </c>
      <c r="AE63" s="250">
        <f t="shared" si="17"/>
        <v>2742342.1286519384</v>
      </c>
      <c r="AF63" s="250">
        <f t="shared" si="17"/>
        <v>2823212.4866060424</v>
      </c>
      <c r="AG63" s="250">
        <f t="shared" si="17"/>
        <v>2902734.8967610421</v>
      </c>
      <c r="AH63" s="250">
        <f t="shared" si="17"/>
        <v>2989895.0686913682</v>
      </c>
    </row>
    <row r="64" spans="1:34" x14ac:dyDescent="0.25">
      <c r="B64" s="100" t="s">
        <v>49</v>
      </c>
      <c r="C64" s="252"/>
      <c r="E64" s="118">
        <f>$D$16/30</f>
        <v>-400000</v>
      </c>
      <c r="F64" s="250">
        <f t="shared" ref="F64:AH64" si="18">$D$16/30</f>
        <v>-400000</v>
      </c>
      <c r="G64" s="250">
        <f t="shared" si="18"/>
        <v>-400000</v>
      </c>
      <c r="H64" s="250">
        <f t="shared" si="18"/>
        <v>-400000</v>
      </c>
      <c r="I64" s="250">
        <f t="shared" si="18"/>
        <v>-400000</v>
      </c>
      <c r="J64" s="250">
        <f t="shared" si="18"/>
        <v>-400000</v>
      </c>
      <c r="K64" s="250">
        <f t="shared" si="18"/>
        <v>-400000</v>
      </c>
      <c r="L64" s="250">
        <f t="shared" si="18"/>
        <v>-400000</v>
      </c>
      <c r="M64" s="250">
        <f t="shared" si="18"/>
        <v>-400000</v>
      </c>
      <c r="N64" s="250">
        <f t="shared" si="18"/>
        <v>-400000</v>
      </c>
      <c r="O64" s="250">
        <f t="shared" si="18"/>
        <v>-400000</v>
      </c>
      <c r="P64" s="250">
        <f t="shared" si="18"/>
        <v>-400000</v>
      </c>
      <c r="Q64" s="250">
        <f t="shared" si="18"/>
        <v>-400000</v>
      </c>
      <c r="R64" s="250">
        <f t="shared" si="18"/>
        <v>-400000</v>
      </c>
      <c r="S64" s="250">
        <f t="shared" si="18"/>
        <v>-400000</v>
      </c>
      <c r="T64" s="250">
        <f t="shared" si="18"/>
        <v>-400000</v>
      </c>
      <c r="U64" s="250">
        <f t="shared" si="18"/>
        <v>-400000</v>
      </c>
      <c r="V64" s="250">
        <f t="shared" si="18"/>
        <v>-400000</v>
      </c>
      <c r="W64" s="250">
        <f t="shared" si="18"/>
        <v>-400000</v>
      </c>
      <c r="X64" s="250">
        <f t="shared" si="18"/>
        <v>-400000</v>
      </c>
      <c r="Y64" s="250">
        <f t="shared" si="18"/>
        <v>-400000</v>
      </c>
      <c r="Z64" s="250">
        <f t="shared" si="18"/>
        <v>-400000</v>
      </c>
      <c r="AA64" s="250">
        <f t="shared" si="18"/>
        <v>-400000</v>
      </c>
      <c r="AB64" s="250">
        <f t="shared" si="18"/>
        <v>-400000</v>
      </c>
      <c r="AC64" s="250">
        <f t="shared" si="18"/>
        <v>-400000</v>
      </c>
      <c r="AD64" s="250">
        <f t="shared" si="18"/>
        <v>-400000</v>
      </c>
      <c r="AE64" s="250">
        <f t="shared" si="18"/>
        <v>-400000</v>
      </c>
      <c r="AF64" s="250">
        <f t="shared" si="18"/>
        <v>-400000</v>
      </c>
      <c r="AG64" s="250">
        <f t="shared" si="18"/>
        <v>-400000</v>
      </c>
      <c r="AH64" s="250">
        <f t="shared" si="18"/>
        <v>-400000</v>
      </c>
    </row>
    <row r="65" spans="1:34" s="171" customFormat="1" x14ac:dyDescent="0.25">
      <c r="A65" s="177"/>
      <c r="B65" s="171" t="s">
        <v>50</v>
      </c>
      <c r="C65" s="252" t="s">
        <v>51</v>
      </c>
      <c r="E65" s="209">
        <f t="shared" ref="E65:AH65" si="19">E63+E64</f>
        <v>405000</v>
      </c>
      <c r="F65" s="251">
        <f t="shared" si="19"/>
        <v>658868</v>
      </c>
      <c r="G65" s="251">
        <f t="shared" si="19"/>
        <v>724534</v>
      </c>
      <c r="H65" s="251">
        <f t="shared" si="19"/>
        <v>829905</v>
      </c>
      <c r="I65" s="251">
        <f t="shared" si="19"/>
        <v>969415.10000000009</v>
      </c>
      <c r="J65" s="251">
        <f t="shared" si="19"/>
        <v>1076105.4819999998</v>
      </c>
      <c r="K65" s="251">
        <f t="shared" si="19"/>
        <v>1183048.39164</v>
      </c>
      <c r="L65" s="251">
        <f t="shared" si="19"/>
        <v>1227034.8794728001</v>
      </c>
      <c r="M65" s="251">
        <f t="shared" si="19"/>
        <v>1270041.2058622562</v>
      </c>
      <c r="N65" s="251">
        <f t="shared" si="19"/>
        <v>1312027.3834995008</v>
      </c>
      <c r="O65" s="251">
        <f t="shared" si="19"/>
        <v>1361167.9680294888</v>
      </c>
      <c r="P65" s="251">
        <f t="shared" si="19"/>
        <v>1409288.6619850793</v>
      </c>
      <c r="Q65" s="251">
        <f t="shared" si="19"/>
        <v>1456347.0143177309</v>
      </c>
      <c r="R65" s="251">
        <f t="shared" si="19"/>
        <v>1510600.3035167647</v>
      </c>
      <c r="S65" s="251">
        <f t="shared" si="19"/>
        <v>1563827.3403089051</v>
      </c>
      <c r="T65" s="251">
        <f t="shared" si="19"/>
        <v>1615943.4219297075</v>
      </c>
      <c r="U65" s="251">
        <f t="shared" si="19"/>
        <v>1675328.2459582724</v>
      </c>
      <c r="V65" s="251">
        <f t="shared" si="19"/>
        <v>1733636.4957065089</v>
      </c>
      <c r="W65" s="251">
        <f t="shared" si="19"/>
        <v>1790778.1691540019</v>
      </c>
      <c r="X65" s="251">
        <f t="shared" si="19"/>
        <v>1855302.6034193751</v>
      </c>
      <c r="Y65" s="251">
        <f t="shared" si="19"/>
        <v>1918648.2267588805</v>
      </c>
      <c r="Z65" s="251">
        <f t="shared" si="19"/>
        <v>1980764.0220826832</v>
      </c>
      <c r="AA65" s="251">
        <f t="shared" si="19"/>
        <v>2050327.9019792522</v>
      </c>
      <c r="AB65" s="251">
        <f t="shared" si="19"/>
        <v>2118644.7152379039</v>
      </c>
      <c r="AC65" s="251">
        <f t="shared" si="19"/>
        <v>2194479.3408595175</v>
      </c>
      <c r="AD65" s="251">
        <f t="shared" si="19"/>
        <v>2269046.5175451292</v>
      </c>
      <c r="AE65" s="251">
        <f t="shared" si="19"/>
        <v>2342342.1286519384</v>
      </c>
      <c r="AF65" s="251">
        <f t="shared" si="19"/>
        <v>2423212.4866060424</v>
      </c>
      <c r="AG65" s="251">
        <f t="shared" si="19"/>
        <v>2502734.8967610421</v>
      </c>
      <c r="AH65" s="251">
        <f t="shared" si="19"/>
        <v>2589895.0686913682</v>
      </c>
    </row>
    <row r="66" spans="1:34" s="171" customFormat="1" x14ac:dyDescent="0.25">
      <c r="C66" s="252"/>
      <c r="D66" s="187"/>
      <c r="F66" s="207"/>
    </row>
    <row r="67" spans="1:34" s="171" customFormat="1" x14ac:dyDescent="0.25">
      <c r="C67" s="252" t="s">
        <v>52</v>
      </c>
      <c r="D67" s="187"/>
      <c r="E67" s="253">
        <f>E65/E61</f>
        <v>4.9240121580547115E-2</v>
      </c>
      <c r="F67" s="254">
        <f t="shared" ref="F67:AH67" si="20">F65/F61</f>
        <v>7.5880575287689905E-2</v>
      </c>
      <c r="G67" s="254">
        <f t="shared" si="20"/>
        <v>8.1328539533693359E-2</v>
      </c>
      <c r="H67" s="254">
        <f t="shared" si="20"/>
        <v>9.0332204777161404E-2</v>
      </c>
      <c r="I67" s="254">
        <f t="shared" si="20"/>
        <v>0.10191881629331204</v>
      </c>
      <c r="J67" s="254">
        <f t="shared" si="20"/>
        <v>0.10982628804809055</v>
      </c>
      <c r="K67" s="254">
        <f t="shared" si="20"/>
        <v>0.11726712464674266</v>
      </c>
      <c r="L67" s="254">
        <f t="shared" si="20"/>
        <v>0.11900489619374559</v>
      </c>
      <c r="M67" s="254">
        <f t="shared" si="20"/>
        <v>0.1205513973656593</v>
      </c>
      <c r="N67" s="254">
        <f t="shared" si="20"/>
        <v>0.12191373530333316</v>
      </c>
      <c r="O67" s="254">
        <f t="shared" si="20"/>
        <v>0.12373043459154506</v>
      </c>
      <c r="P67" s="254">
        <f t="shared" si="20"/>
        <v>0.12535308451741886</v>
      </c>
      <c r="Q67" s="254">
        <f t="shared" si="20"/>
        <v>0.12678902285677801</v>
      </c>
      <c r="R67" s="254">
        <f t="shared" si="20"/>
        <v>0.12863883707917648</v>
      </c>
      <c r="S67" s="254">
        <f t="shared" si="20"/>
        <v>0.13029636690806295</v>
      </c>
      <c r="T67" s="254">
        <f t="shared" si="20"/>
        <v>0.13176617018319389</v>
      </c>
      <c r="U67" s="254">
        <f t="shared" si="20"/>
        <v>0.13361545071307432</v>
      </c>
      <c r="V67" s="254">
        <f t="shared" si="20"/>
        <v>0.13527269807436065</v>
      </c>
      <c r="W67" s="254">
        <f t="shared" si="20"/>
        <v>0.13674253135968489</v>
      </c>
      <c r="X67" s="254">
        <f t="shared" si="20"/>
        <v>0.13856331154581061</v>
      </c>
      <c r="Y67" s="254">
        <f t="shared" si="20"/>
        <v>0.14019068382389513</v>
      </c>
      <c r="Z67" s="254">
        <f t="shared" si="20"/>
        <v>0.14163207173704953</v>
      </c>
      <c r="AA67" s="254">
        <f t="shared" si="20"/>
        <v>0.14339591692580794</v>
      </c>
      <c r="AB67" s="254">
        <f t="shared" si="20"/>
        <v>0.14496882612632103</v>
      </c>
      <c r="AC67" s="254">
        <f t="shared" si="20"/>
        <v>0.14684025488761207</v>
      </c>
      <c r="AD67" s="254">
        <f t="shared" si="20"/>
        <v>0.14851684032782853</v>
      </c>
      <c r="AE67" s="254">
        <f t="shared" si="20"/>
        <v>0.15000890015541066</v>
      </c>
      <c r="AF67" s="254">
        <f t="shared" si="20"/>
        <v>0.15177553903377006</v>
      </c>
      <c r="AG67" s="254">
        <f t="shared" si="20"/>
        <v>0.15335180249931299</v>
      </c>
      <c r="AH67" s="254">
        <f t="shared" si="20"/>
        <v>0.15518218739489861</v>
      </c>
    </row>
    <row r="69" spans="1:34" x14ac:dyDescent="0.25">
      <c r="B69" s="255" t="s">
        <v>53</v>
      </c>
      <c r="E69" s="263">
        <f>E44</f>
        <v>591675</v>
      </c>
      <c r="F69" s="264">
        <f t="shared" ref="F69:AH69" si="21">F44</f>
        <v>778267.98</v>
      </c>
      <c r="G69" s="264">
        <f t="shared" si="21"/>
        <v>826532.49</v>
      </c>
      <c r="H69" s="264">
        <f t="shared" si="21"/>
        <v>903980.17500000005</v>
      </c>
      <c r="I69" s="264">
        <f t="shared" si="21"/>
        <v>1006520.0985000001</v>
      </c>
      <c r="J69" s="264">
        <f t="shared" si="21"/>
        <v>1084937.5292699998</v>
      </c>
      <c r="K69" s="264">
        <f t="shared" si="21"/>
        <v>1163540.5678554</v>
      </c>
      <c r="L69" s="264">
        <f t="shared" si="21"/>
        <v>1195870.6364125081</v>
      </c>
      <c r="M69" s="264">
        <f t="shared" si="21"/>
        <v>1227480.2863087584</v>
      </c>
      <c r="N69" s="264">
        <f t="shared" si="21"/>
        <v>1258340.126872133</v>
      </c>
      <c r="O69" s="264">
        <f t="shared" si="21"/>
        <v>1294458.4565016744</v>
      </c>
      <c r="P69" s="264">
        <f t="shared" si="21"/>
        <v>1329827.1665590333</v>
      </c>
      <c r="Q69" s="264">
        <f t="shared" si="21"/>
        <v>1364415.0555235322</v>
      </c>
      <c r="R69" s="264">
        <f t="shared" si="21"/>
        <v>1404291.2230848221</v>
      </c>
      <c r="S69" s="264">
        <f t="shared" si="21"/>
        <v>1443413.0951270452</v>
      </c>
      <c r="T69" s="264">
        <f t="shared" si="21"/>
        <v>1481718.415118335</v>
      </c>
      <c r="U69" s="264">
        <f t="shared" si="21"/>
        <v>1525366.26077933</v>
      </c>
      <c r="V69" s="264">
        <f t="shared" si="21"/>
        <v>1568222.8243442839</v>
      </c>
      <c r="W69" s="264">
        <f t="shared" si="21"/>
        <v>1610221.9543281915</v>
      </c>
      <c r="X69" s="264">
        <f t="shared" si="21"/>
        <v>1657647.4135132409</v>
      </c>
      <c r="Y69" s="264">
        <f t="shared" si="21"/>
        <v>1704206.4466677771</v>
      </c>
      <c r="Z69" s="264">
        <f t="shared" si="21"/>
        <v>1749861.5562307721</v>
      </c>
      <c r="AA69" s="264">
        <f t="shared" si="21"/>
        <v>1800991.0079547502</v>
      </c>
      <c r="AB69" s="264">
        <f t="shared" si="21"/>
        <v>1851203.8656998593</v>
      </c>
      <c r="AC69" s="264">
        <f t="shared" si="21"/>
        <v>1906942.3155317453</v>
      </c>
      <c r="AD69" s="264">
        <f t="shared" si="21"/>
        <v>1961749.19039567</v>
      </c>
      <c r="AE69" s="264">
        <f t="shared" si="21"/>
        <v>2015621.4645591746</v>
      </c>
      <c r="AF69" s="264">
        <f t="shared" si="21"/>
        <v>2075061.1776554412</v>
      </c>
      <c r="AG69" s="264">
        <f t="shared" si="21"/>
        <v>2133510.149119366</v>
      </c>
      <c r="AH69" s="264">
        <f t="shared" si="21"/>
        <v>2197572.8754881555</v>
      </c>
    </row>
    <row r="74" spans="1:34" x14ac:dyDescent="0.25">
      <c r="B74" s="171" t="s">
        <v>54</v>
      </c>
    </row>
    <row r="75" spans="1:34" x14ac:dyDescent="0.25">
      <c r="A75" s="235">
        <v>1</v>
      </c>
      <c r="B75" s="100" t="s">
        <v>55</v>
      </c>
    </row>
    <row r="76" spans="1:34" x14ac:dyDescent="0.25">
      <c r="A76" s="236"/>
      <c r="B76" s="100" t="s">
        <v>56</v>
      </c>
    </row>
    <row r="77" spans="1:34" x14ac:dyDescent="0.25">
      <c r="A77" s="236"/>
    </row>
    <row r="78" spans="1:34" ht="14.4" x14ac:dyDescent="0.3">
      <c r="A78" s="235">
        <v>2</v>
      </c>
      <c r="B78" s="100" t="s">
        <v>57</v>
      </c>
    </row>
    <row r="79" spans="1:34" x14ac:dyDescent="0.25">
      <c r="A79" s="177"/>
      <c r="B79" s="100" t="s">
        <v>58</v>
      </c>
    </row>
  </sheetData>
  <conditionalFormatting sqref="E67">
    <cfRule type="colorScale" priority="6">
      <colorScale>
        <cfvo type="percent" val="&quot;&lt;9%&quot;"/>
        <cfvo type="percent" val="9"/>
        <color rgb="FFFF0000"/>
        <color theme="9"/>
      </colorScale>
    </cfRule>
  </conditionalFormatting>
  <conditionalFormatting sqref="E67:AH67">
    <cfRule type="cellIs" dxfId="3" priority="3" operator="lessThan">
      <formula>0.09</formula>
    </cfRule>
    <cfRule type="cellIs" dxfId="2" priority="4" operator="greaterThan">
      <formula>0.09</formula>
    </cfRule>
  </conditionalFormatting>
  <conditionalFormatting sqref="E69:AH69">
    <cfRule type="cellIs" dxfId="1" priority="1" operator="lessThan">
      <formula>1700000</formula>
    </cfRule>
    <cfRule type="cellIs" dxfId="0" priority="2" operator="greaterThan">
      <formula>1700000</formula>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7D6B5-FC44-4FF9-8476-12ECD5DE03DC}">
  <sheetPr codeName="Feuil2">
    <tabColor theme="4" tint="0.39997558519241921"/>
  </sheetPr>
  <dimension ref="A1:M81"/>
  <sheetViews>
    <sheetView zoomScale="85" zoomScaleNormal="85" workbookViewId="0">
      <selection activeCell="G31" sqref="G31"/>
    </sheetView>
  </sheetViews>
  <sheetFormatPr baseColWidth="10" defaultColWidth="10.6640625" defaultRowHeight="15.6" x14ac:dyDescent="0.3"/>
  <cols>
    <col min="1" max="1" width="2.44140625" style="5" customWidth="1"/>
    <col min="2" max="2" width="41.6640625" style="5" customWidth="1"/>
    <col min="3" max="3" width="16.88671875" style="5" customWidth="1"/>
    <col min="4" max="6" width="14.33203125" style="5" bestFit="1" customWidth="1"/>
    <col min="7" max="7" width="71.33203125" style="17" customWidth="1"/>
    <col min="8" max="8" width="39.6640625" style="5" customWidth="1"/>
    <col min="9" max="9" width="0.6640625" style="4" customWidth="1"/>
    <col min="10" max="10" width="13.44140625" style="4" bestFit="1" customWidth="1"/>
    <col min="11" max="11" width="10.6640625" style="5"/>
    <col min="12" max="12" width="12.6640625" style="4" bestFit="1" customWidth="1"/>
    <col min="13" max="13" width="11.6640625" style="5" bestFit="1" customWidth="1"/>
    <col min="14" max="16384" width="10.6640625" style="2"/>
  </cols>
  <sheetData>
    <row r="1" spans="1:13" x14ac:dyDescent="0.3">
      <c r="B1" s="282" t="s">
        <v>59</v>
      </c>
      <c r="C1" s="282"/>
      <c r="D1" s="282"/>
      <c r="E1" s="282"/>
      <c r="F1" s="282"/>
    </row>
    <row r="3" spans="1:13" s="1" customFormat="1" x14ac:dyDescent="0.3">
      <c r="A3" s="4"/>
      <c r="B3" s="5"/>
      <c r="C3" s="5"/>
      <c r="D3" s="5"/>
      <c r="E3" s="5"/>
      <c r="F3" s="5"/>
      <c r="G3" s="17"/>
      <c r="H3" s="5"/>
      <c r="I3" s="4"/>
      <c r="J3" s="4"/>
      <c r="K3" s="5"/>
      <c r="L3" s="4"/>
      <c r="M3" s="4"/>
    </row>
    <row r="4" spans="1:13" s="1" customFormat="1" ht="14.7" customHeight="1" x14ac:dyDescent="0.25">
      <c r="A4" s="4"/>
      <c r="D4" s="283" t="s">
        <v>60</v>
      </c>
      <c r="E4" s="283"/>
      <c r="F4" s="283"/>
      <c r="G4" s="18"/>
      <c r="H4" s="19"/>
      <c r="I4" s="4"/>
      <c r="J4" s="4"/>
      <c r="K4" s="19"/>
      <c r="L4" s="4"/>
      <c r="M4" s="4"/>
    </row>
    <row r="5" spans="1:13" s="1" customFormat="1" ht="14.7" customHeight="1" x14ac:dyDescent="0.25">
      <c r="A5" s="4"/>
      <c r="D5" s="283"/>
      <c r="E5" s="283"/>
      <c r="F5" s="283"/>
      <c r="G5" s="18"/>
      <c r="H5" s="19"/>
      <c r="I5" s="4"/>
      <c r="J5" s="4"/>
      <c r="K5" s="19"/>
      <c r="L5" s="4"/>
      <c r="M5" s="4"/>
    </row>
    <row r="6" spans="1:13" s="1" customFormat="1" hidden="1" x14ac:dyDescent="0.3">
      <c r="A6" s="4"/>
      <c r="B6" s="5"/>
      <c r="C6" s="5"/>
      <c r="D6" s="20">
        <v>1</v>
      </c>
      <c r="E6" s="20">
        <v>2</v>
      </c>
      <c r="F6" s="20">
        <v>3</v>
      </c>
      <c r="G6" s="17"/>
      <c r="H6" s="21"/>
      <c r="I6" s="4"/>
      <c r="J6" s="4"/>
      <c r="K6" s="5"/>
      <c r="L6" s="4"/>
      <c r="M6" s="4"/>
    </row>
    <row r="7" spans="1:13" s="1" customFormat="1" x14ac:dyDescent="0.3">
      <c r="A7" s="4"/>
      <c r="B7" s="22" t="s">
        <v>61</v>
      </c>
      <c r="C7" s="23" t="s">
        <v>62</v>
      </c>
      <c r="D7" s="23">
        <v>2022</v>
      </c>
      <c r="E7" s="23">
        <v>2023</v>
      </c>
      <c r="F7" s="23">
        <v>2024</v>
      </c>
      <c r="G7" s="7" t="s">
        <v>63</v>
      </c>
      <c r="H7" s="5"/>
      <c r="I7" s="4"/>
      <c r="J7" s="4"/>
      <c r="K7" s="5"/>
      <c r="L7" s="4"/>
      <c r="M7" s="4"/>
    </row>
    <row r="8" spans="1:13" s="1" customFormat="1" x14ac:dyDescent="0.3">
      <c r="A8" s="4"/>
      <c r="B8" s="24" t="s">
        <v>64</v>
      </c>
      <c r="C8" s="23"/>
      <c r="D8" s="23"/>
      <c r="E8" s="23"/>
      <c r="F8" s="23"/>
      <c r="G8" s="17"/>
      <c r="H8" s="5"/>
      <c r="I8" s="4"/>
      <c r="J8" s="4"/>
      <c r="K8" s="5"/>
      <c r="L8" s="4"/>
      <c r="M8" s="4"/>
    </row>
    <row r="9" spans="1:13" s="1" customFormat="1" x14ac:dyDescent="0.3">
      <c r="A9" s="4"/>
      <c r="B9" s="25" t="s">
        <v>65</v>
      </c>
      <c r="C9" s="14">
        <f>SUMPRODUCT(C64:C67,C72:C75,$G$73:$G$76)</f>
        <v>1675000</v>
      </c>
      <c r="D9" s="14">
        <f>SUMPRODUCT(D64:D67,D72:D75,$G$73:$G$76)</f>
        <v>2756000</v>
      </c>
      <c r="E9" s="14">
        <f>SUMPRODUCT(E64:E67,E72:E75,$G$73:$G$76)</f>
        <v>2846000</v>
      </c>
      <c r="F9" s="14">
        <f>SUMPRODUCT(F64:F67,F72:F75,$G$73:$G$76)</f>
        <v>3627500</v>
      </c>
      <c r="G9" s="17"/>
      <c r="H9" s="15"/>
      <c r="I9" s="4"/>
      <c r="J9" s="15"/>
      <c r="K9" s="5"/>
      <c r="L9" s="4"/>
      <c r="M9" s="4"/>
    </row>
    <row r="10" spans="1:13" s="1" customFormat="1" x14ac:dyDescent="0.3">
      <c r="A10" s="4"/>
      <c r="B10" s="24" t="s">
        <v>66</v>
      </c>
      <c r="C10" s="11"/>
      <c r="D10" s="11"/>
      <c r="E10" s="11"/>
      <c r="F10" s="11"/>
      <c r="G10" s="17"/>
      <c r="H10" s="15"/>
      <c r="I10" s="4"/>
      <c r="J10" s="15"/>
      <c r="K10" s="5"/>
      <c r="L10" s="4"/>
      <c r="M10" s="4"/>
    </row>
    <row r="11" spans="1:13" s="1" customFormat="1" x14ac:dyDescent="0.3">
      <c r="A11" s="4"/>
      <c r="B11" s="25" t="s">
        <v>67</v>
      </c>
      <c r="C11" s="14">
        <f>-SUMPRODUCT($G$65:$G$69,C64:C68)*75%</f>
        <v>-740250</v>
      </c>
      <c r="D11" s="14">
        <f>-SUMPRODUCT($G$65:$G$69,D64:D68)*(1+$C$80)^D6</f>
        <v>-1266840</v>
      </c>
      <c r="E11" s="14">
        <f>-SUMPRODUCT($G$65:$G$69,E64:E68)*(1+$C$80)^E6</f>
        <v>-1292176.8</v>
      </c>
      <c r="F11" s="14">
        <f>-SUMPRODUCT($G$65:$G$69,F64:F68)*(1+$C$80)^F6</f>
        <v>-1588628.3759999999</v>
      </c>
      <c r="G11" s="17" t="s">
        <v>68</v>
      </c>
      <c r="H11" s="15"/>
      <c r="I11" s="4"/>
      <c r="J11" s="15"/>
      <c r="K11" s="5"/>
      <c r="L11" s="4"/>
      <c r="M11" s="4"/>
    </row>
    <row r="12" spans="1:13" s="1" customFormat="1" x14ac:dyDescent="0.3">
      <c r="A12" s="4"/>
      <c r="B12" s="25" t="s">
        <v>69</v>
      </c>
      <c r="C12" s="14">
        <f>C11*25%</f>
        <v>-185062.5</v>
      </c>
      <c r="D12" s="14">
        <f t="shared" ref="D12:F12" si="0">D11*25%</f>
        <v>-316710</v>
      </c>
      <c r="E12" s="14">
        <f t="shared" si="0"/>
        <v>-323044.2</v>
      </c>
      <c r="F12" s="14">
        <f t="shared" si="0"/>
        <v>-397157.09399999998</v>
      </c>
      <c r="G12" s="17" t="s">
        <v>70</v>
      </c>
      <c r="H12" s="15"/>
      <c r="I12" s="4"/>
      <c r="J12" s="15"/>
      <c r="K12" s="5"/>
      <c r="L12" s="4"/>
      <c r="M12" s="4"/>
    </row>
    <row r="13" spans="1:13" s="1" customFormat="1" x14ac:dyDescent="0.3">
      <c r="A13" s="4"/>
      <c r="B13" s="25" t="s">
        <v>71</v>
      </c>
      <c r="C13" s="14">
        <f>C11*23%</f>
        <v>-170257.5</v>
      </c>
      <c r="D13" s="14">
        <f>D11*23%</f>
        <v>-291373.2</v>
      </c>
      <c r="E13" s="14">
        <f t="shared" ref="E13:F13" si="1">E11*23%</f>
        <v>-297200.66400000005</v>
      </c>
      <c r="F13" s="14">
        <f t="shared" si="1"/>
        <v>-365384.52648</v>
      </c>
      <c r="G13" s="17" t="s">
        <v>72</v>
      </c>
      <c r="H13" s="15"/>
      <c r="I13" s="4"/>
      <c r="J13" s="15"/>
      <c r="K13" s="5"/>
      <c r="L13" s="4"/>
      <c r="M13" s="4"/>
    </row>
    <row r="14" spans="1:13" s="1" customFormat="1" x14ac:dyDescent="0.3">
      <c r="A14" s="4"/>
      <c r="B14" s="26" t="s">
        <v>73</v>
      </c>
      <c r="C14" s="12">
        <f>-350000</f>
        <v>-350000</v>
      </c>
      <c r="D14" s="27">
        <v>-400000</v>
      </c>
      <c r="E14" s="27">
        <v>-250000</v>
      </c>
      <c r="F14" s="27">
        <v>-250000</v>
      </c>
      <c r="G14" s="17" t="s">
        <v>74</v>
      </c>
      <c r="H14" s="5"/>
      <c r="I14" s="4"/>
      <c r="J14" s="4"/>
      <c r="K14" s="5"/>
      <c r="L14" s="4"/>
      <c r="M14" s="4"/>
    </row>
    <row r="15" spans="1:13" s="1" customFormat="1" x14ac:dyDescent="0.3">
      <c r="A15" s="4"/>
      <c r="B15" s="28" t="s">
        <v>75</v>
      </c>
      <c r="C15" s="29">
        <f>SUM(C11:C14)</f>
        <v>-1445570</v>
      </c>
      <c r="D15" s="29">
        <f>SUM(D11:D14)</f>
        <v>-2274923.2000000002</v>
      </c>
      <c r="E15" s="29">
        <f>SUM(E11:E14)</f>
        <v>-2162421.6639999999</v>
      </c>
      <c r="F15" s="29">
        <f>SUM(F11:F14)</f>
        <v>-2601169.9964800002</v>
      </c>
      <c r="G15" s="17"/>
      <c r="H15" s="5"/>
      <c r="I15" s="4"/>
      <c r="J15" s="4"/>
      <c r="K15" s="5"/>
      <c r="L15" s="4"/>
      <c r="M15" s="4"/>
    </row>
    <row r="16" spans="1:13" s="1" customFormat="1" x14ac:dyDescent="0.3">
      <c r="A16" s="4"/>
      <c r="B16" s="25"/>
      <c r="C16" s="15"/>
      <c r="D16" s="15"/>
      <c r="E16" s="15"/>
      <c r="F16" s="15"/>
      <c r="G16" s="17"/>
      <c r="H16" s="4"/>
      <c r="I16" s="4"/>
      <c r="J16" s="30"/>
      <c r="K16" s="5"/>
      <c r="L16" s="31"/>
      <c r="M16" s="4"/>
    </row>
    <row r="17" spans="1:13" s="1" customFormat="1" x14ac:dyDescent="0.3">
      <c r="A17" s="4"/>
      <c r="B17" s="32" t="s">
        <v>50</v>
      </c>
      <c r="C17" s="14">
        <f>C9+C15</f>
        <v>229430</v>
      </c>
      <c r="D17" s="14">
        <f t="shared" ref="D17:F17" si="2">D9+D15</f>
        <v>481076.79999999981</v>
      </c>
      <c r="E17" s="14">
        <f t="shared" si="2"/>
        <v>683578.33600000013</v>
      </c>
      <c r="F17" s="14">
        <f t="shared" si="2"/>
        <v>1026330.0035199998</v>
      </c>
      <c r="G17" s="13"/>
      <c r="H17" s="4"/>
      <c r="I17" s="4"/>
      <c r="J17" s="4"/>
      <c r="K17" s="5"/>
      <c r="M17" s="4"/>
    </row>
    <row r="18" spans="1:13" s="1" customFormat="1" x14ac:dyDescent="0.3">
      <c r="A18" s="4"/>
      <c r="B18" s="25" t="s">
        <v>76</v>
      </c>
      <c r="C18" s="14">
        <f>-C17*26.5%</f>
        <v>-60798.950000000004</v>
      </c>
      <c r="D18" s="14">
        <f t="shared" ref="D18:F18" si="3">-D17*26.5%</f>
        <v>-127485.35199999996</v>
      </c>
      <c r="E18" s="14">
        <f t="shared" si="3"/>
        <v>-181148.25904000003</v>
      </c>
      <c r="F18" s="14">
        <f t="shared" si="3"/>
        <v>-271977.45093279995</v>
      </c>
      <c r="G18" s="13"/>
      <c r="H18" s="4"/>
      <c r="I18" s="4"/>
      <c r="J18" s="4"/>
      <c r="K18" s="5"/>
      <c r="M18" s="4"/>
    </row>
    <row r="19" spans="1:13" s="1" customFormat="1" ht="16.2" thickBot="1" x14ac:dyDescent="0.35">
      <c r="A19" s="4"/>
      <c r="B19" s="33" t="s">
        <v>77</v>
      </c>
      <c r="C19" s="34">
        <f>SUM(C17:C18)</f>
        <v>168631.05</v>
      </c>
      <c r="D19" s="34">
        <f t="shared" ref="D19:F19" si="4">SUM(D17:D18)</f>
        <v>353591.44799999986</v>
      </c>
      <c r="E19" s="34">
        <f t="shared" si="4"/>
        <v>502430.07696000009</v>
      </c>
      <c r="F19" s="34">
        <f t="shared" si="4"/>
        <v>754352.55258719984</v>
      </c>
      <c r="G19" s="35"/>
      <c r="H19" s="10"/>
      <c r="I19" s="10"/>
      <c r="J19" s="9"/>
      <c r="K19" s="5"/>
      <c r="M19" s="4"/>
    </row>
    <row r="20" spans="1:13" s="1" customFormat="1" ht="16.8" thickTop="1" thickBot="1" x14ac:dyDescent="0.35">
      <c r="A20" s="4"/>
      <c r="B20" s="25"/>
      <c r="C20" s="14"/>
      <c r="D20" s="14"/>
      <c r="E20" s="14"/>
      <c r="F20" s="14"/>
      <c r="G20" s="35"/>
      <c r="H20" s="10"/>
      <c r="I20" s="10"/>
      <c r="J20" s="9"/>
      <c r="K20" s="5"/>
      <c r="M20" s="4"/>
    </row>
    <row r="21" spans="1:13" s="1" customFormat="1" ht="15" customHeight="1" thickBot="1" x14ac:dyDescent="0.35">
      <c r="A21" s="4"/>
      <c r="B21" s="36" t="s">
        <v>78</v>
      </c>
      <c r="C21" s="37">
        <f>C17/C9</f>
        <v>0.1369731343283582</v>
      </c>
      <c r="D21" s="37">
        <f t="shared" ref="D21:F21" si="5">D17/D9</f>
        <v>0.17455616835994187</v>
      </c>
      <c r="E21" s="37">
        <f t="shared" si="5"/>
        <v>0.24018915530569224</v>
      </c>
      <c r="F21" s="38">
        <f t="shared" si="5"/>
        <v>0.28293039380289448</v>
      </c>
      <c r="G21" s="35"/>
      <c r="H21" s="10"/>
      <c r="I21" s="10"/>
      <c r="J21" s="39"/>
      <c r="K21" s="5"/>
      <c r="M21" s="4"/>
    </row>
    <row r="22" spans="1:13" s="1" customFormat="1" x14ac:dyDescent="0.3">
      <c r="A22" s="4"/>
      <c r="B22" s="25"/>
      <c r="C22" s="14"/>
      <c r="D22" s="14"/>
      <c r="E22" s="14"/>
      <c r="F22" s="14"/>
      <c r="G22" s="35"/>
      <c r="H22" s="10"/>
      <c r="I22" s="10"/>
      <c r="J22" s="10"/>
      <c r="K22" s="5"/>
      <c r="L22" s="4"/>
      <c r="M22" s="4"/>
    </row>
    <row r="23" spans="1:13" s="1" customFormat="1" x14ac:dyDescent="0.3">
      <c r="A23" s="4"/>
      <c r="B23" s="25"/>
      <c r="C23" s="14"/>
      <c r="D23" s="14"/>
      <c r="E23" s="14"/>
      <c r="F23" s="14"/>
      <c r="G23" s="35"/>
      <c r="H23" s="10"/>
      <c r="I23" s="10"/>
      <c r="J23" s="10"/>
      <c r="K23" s="5"/>
      <c r="L23" s="4"/>
      <c r="M23" s="4"/>
    </row>
    <row r="24" spans="1:13" s="1" customFormat="1" x14ac:dyDescent="0.3">
      <c r="A24" s="4"/>
      <c r="B24" s="40" t="s">
        <v>79</v>
      </c>
      <c r="C24" s="14"/>
      <c r="D24" s="14"/>
      <c r="E24" s="14"/>
      <c r="F24" s="14"/>
      <c r="G24" s="35"/>
      <c r="H24" s="41"/>
      <c r="I24" s="10"/>
      <c r="J24" s="10"/>
      <c r="K24" s="5"/>
      <c r="L24" s="4"/>
      <c r="M24" s="4"/>
    </row>
    <row r="25" spans="1:13" s="1" customFormat="1" ht="46.8" x14ac:dyDescent="0.25">
      <c r="A25" s="4"/>
      <c r="B25" s="25" t="s">
        <v>80</v>
      </c>
      <c r="C25" s="14">
        <f>-600000*0.75</f>
        <v>-450000</v>
      </c>
      <c r="D25" s="14">
        <v>-600000</v>
      </c>
      <c r="E25" s="14">
        <v>-600000</v>
      </c>
      <c r="F25" s="14">
        <v>-600000</v>
      </c>
      <c r="G25" s="192" t="s">
        <v>81</v>
      </c>
      <c r="H25" s="42"/>
      <c r="I25" s="10"/>
      <c r="J25" s="10"/>
      <c r="K25" s="5"/>
      <c r="L25" s="4"/>
      <c r="M25" s="4"/>
    </row>
    <row r="26" spans="1:13" s="1" customFormat="1" x14ac:dyDescent="0.3">
      <c r="A26" s="4"/>
      <c r="B26" s="43" t="s">
        <v>82</v>
      </c>
      <c r="C26" s="12">
        <f>250000*1.7*75%</f>
        <v>318750</v>
      </c>
      <c r="D26" s="12">
        <f>250000*1.7</f>
        <v>425000</v>
      </c>
      <c r="E26" s="12">
        <f>250000*1.7</f>
        <v>425000</v>
      </c>
      <c r="F26" s="12">
        <f>250000*1.7</f>
        <v>425000</v>
      </c>
      <c r="G26" s="6" t="s">
        <v>83</v>
      </c>
      <c r="H26" s="42"/>
      <c r="I26" s="10"/>
      <c r="J26" s="10"/>
      <c r="K26" s="5"/>
      <c r="L26" s="4"/>
      <c r="M26" s="4"/>
    </row>
    <row r="27" spans="1:13" s="1" customFormat="1" ht="15" x14ac:dyDescent="0.25">
      <c r="A27" s="4"/>
      <c r="B27" s="25" t="s">
        <v>84</v>
      </c>
      <c r="C27" s="14">
        <f>SUM(C25:C26)</f>
        <v>-131250</v>
      </c>
      <c r="D27" s="14">
        <f>SUM(D25:D26)</f>
        <v>-175000</v>
      </c>
      <c r="E27" s="14">
        <f>SUM(E25:E26)</f>
        <v>-175000</v>
      </c>
      <c r="F27" s="14">
        <f>SUM(F25:F26)</f>
        <v>-175000</v>
      </c>
      <c r="H27" s="42"/>
      <c r="I27" s="10"/>
      <c r="J27" s="10"/>
      <c r="K27" s="5"/>
      <c r="L27" s="4"/>
      <c r="M27" s="4"/>
    </row>
    <row r="28" spans="1:13" s="1" customFormat="1" x14ac:dyDescent="0.3">
      <c r="A28" s="4"/>
      <c r="B28" s="25" t="s">
        <v>76</v>
      </c>
      <c r="C28" s="14">
        <f>-C27*26.5%</f>
        <v>34781.25</v>
      </c>
      <c r="D28" s="14">
        <f t="shared" ref="D28:F28" si="6">-D27*26.5%</f>
        <v>46375</v>
      </c>
      <c r="E28" s="14">
        <f t="shared" si="6"/>
        <v>46375</v>
      </c>
      <c r="F28" s="14">
        <f t="shared" si="6"/>
        <v>46375</v>
      </c>
      <c r="G28" s="8"/>
      <c r="H28" s="44"/>
      <c r="I28" s="10"/>
      <c r="J28" s="39"/>
      <c r="K28" s="5"/>
      <c r="L28" s="4"/>
      <c r="M28" s="4"/>
    </row>
    <row r="29" spans="1:13" s="1" customFormat="1" x14ac:dyDescent="0.3">
      <c r="A29" s="4"/>
      <c r="B29" s="45" t="s">
        <v>85</v>
      </c>
      <c r="C29" s="46">
        <f>SUM(C27:C28)</f>
        <v>-96468.75</v>
      </c>
      <c r="D29" s="46">
        <f t="shared" ref="D29:F29" si="7">SUM(D27:D28)</f>
        <v>-128625</v>
      </c>
      <c r="E29" s="46">
        <f t="shared" si="7"/>
        <v>-128625</v>
      </c>
      <c r="F29" s="46">
        <f t="shared" si="7"/>
        <v>-128625</v>
      </c>
      <c r="G29" s="8"/>
      <c r="H29" s="44"/>
      <c r="I29" s="10"/>
      <c r="J29" s="39"/>
      <c r="K29" s="5"/>
      <c r="L29" s="4"/>
      <c r="M29" s="4"/>
    </row>
    <row r="30" spans="1:13" s="1" customFormat="1" x14ac:dyDescent="0.3">
      <c r="A30" s="4"/>
      <c r="B30" s="45"/>
      <c r="C30" s="46"/>
      <c r="D30" s="46"/>
      <c r="E30" s="46"/>
      <c r="F30" s="46"/>
      <c r="G30" s="8"/>
      <c r="H30" s="44"/>
      <c r="I30" s="10"/>
      <c r="J30" s="39"/>
      <c r="K30" s="5"/>
      <c r="L30" s="4"/>
      <c r="M30" s="4"/>
    </row>
    <row r="31" spans="1:13" s="1" customFormat="1" ht="16.2" thickBot="1" x14ac:dyDescent="0.35">
      <c r="A31" s="4"/>
      <c r="B31" s="33" t="s">
        <v>86</v>
      </c>
      <c r="C31" s="34">
        <f>C17+C27</f>
        <v>98180</v>
      </c>
      <c r="D31" s="34">
        <f t="shared" ref="D31:F31" si="8">D17+D27</f>
        <v>306076.79999999981</v>
      </c>
      <c r="E31" s="34">
        <f t="shared" si="8"/>
        <v>508578.33600000013</v>
      </c>
      <c r="F31" s="34">
        <f t="shared" si="8"/>
        <v>851330.00351999979</v>
      </c>
      <c r="G31" s="8"/>
      <c r="H31" s="44"/>
      <c r="I31" s="10"/>
      <c r="J31" s="39"/>
      <c r="K31" s="5"/>
      <c r="L31" s="4"/>
      <c r="M31" s="4"/>
    </row>
    <row r="32" spans="1:13" s="1" customFormat="1" ht="16.2" thickTop="1" x14ac:dyDescent="0.3">
      <c r="A32" s="4"/>
      <c r="B32" s="32"/>
      <c r="C32" s="47"/>
      <c r="D32" s="47"/>
      <c r="E32" s="47"/>
      <c r="F32" s="47"/>
      <c r="G32" s="8"/>
      <c r="H32" s="44"/>
      <c r="I32" s="10"/>
      <c r="J32" s="39"/>
      <c r="K32" s="5"/>
      <c r="L32" s="4"/>
      <c r="M32" s="4"/>
    </row>
    <row r="33" spans="1:13" s="1" customFormat="1" ht="16.2" thickBot="1" x14ac:dyDescent="0.35">
      <c r="A33" s="4"/>
      <c r="B33" s="33" t="s">
        <v>87</v>
      </c>
      <c r="C33" s="34">
        <f>C19+C29</f>
        <v>72162.299999999988</v>
      </c>
      <c r="D33" s="34">
        <f t="shared" ref="D33:F33" si="9">D19+D29</f>
        <v>224966.44799999986</v>
      </c>
      <c r="E33" s="34">
        <f t="shared" si="9"/>
        <v>373805.07696000009</v>
      </c>
      <c r="F33" s="34">
        <f t="shared" si="9"/>
        <v>625727.55258719984</v>
      </c>
      <c r="G33" s="8"/>
      <c r="H33" s="44"/>
      <c r="I33" s="4"/>
      <c r="J33" s="16"/>
      <c r="K33" s="5"/>
      <c r="L33" s="4"/>
      <c r="M33" s="4"/>
    </row>
    <row r="34" spans="1:13" s="1" customFormat="1" ht="16.8" thickTop="1" thickBot="1" x14ac:dyDescent="0.35">
      <c r="A34" s="4"/>
      <c r="B34" s="25"/>
      <c r="C34" s="14"/>
      <c r="D34" s="14"/>
      <c r="E34" s="14"/>
      <c r="F34" s="14"/>
      <c r="G34" s="8"/>
      <c r="H34" s="44"/>
      <c r="I34" s="4"/>
      <c r="J34" s="16"/>
      <c r="K34" s="5"/>
      <c r="L34" s="4"/>
      <c r="M34" s="4"/>
    </row>
    <row r="35" spans="1:13" s="1" customFormat="1" ht="16.2" thickBot="1" x14ac:dyDescent="0.35">
      <c r="A35" s="4"/>
      <c r="B35" s="36" t="s">
        <v>88</v>
      </c>
      <c r="C35" s="37">
        <f>C31/C9</f>
        <v>5.8614925373134327E-2</v>
      </c>
      <c r="D35" s="37">
        <f t="shared" ref="D35:F35" si="10">D31/D9</f>
        <v>0.11105834542815668</v>
      </c>
      <c r="E35" s="37">
        <f t="shared" si="10"/>
        <v>0.17869934504567819</v>
      </c>
      <c r="F35" s="37">
        <f t="shared" si="10"/>
        <v>0.23468780248656093</v>
      </c>
      <c r="G35" s="17"/>
      <c r="H35" s="5"/>
      <c r="I35" s="4"/>
      <c r="J35" s="4"/>
      <c r="K35" s="5"/>
      <c r="L35" s="4"/>
      <c r="M35" s="4"/>
    </row>
    <row r="36" spans="1:13" s="1" customFormat="1" x14ac:dyDescent="0.3">
      <c r="A36" s="4"/>
      <c r="B36" s="25"/>
      <c r="C36" s="14"/>
      <c r="D36" s="14"/>
      <c r="E36" s="14"/>
      <c r="F36" s="14"/>
      <c r="G36" s="17"/>
      <c r="H36" s="5"/>
      <c r="I36" s="4"/>
      <c r="J36" s="4"/>
      <c r="K36" s="5"/>
      <c r="L36" s="4"/>
      <c r="M36" s="4"/>
    </row>
    <row r="37" spans="1:13" s="1" customFormat="1" x14ac:dyDescent="0.3">
      <c r="A37" s="4"/>
      <c r="B37" s="32" t="s">
        <v>89</v>
      </c>
      <c r="C37" s="14"/>
      <c r="D37" s="14"/>
      <c r="E37" s="14"/>
      <c r="F37" s="14"/>
      <c r="G37" s="17"/>
      <c r="H37" s="5"/>
      <c r="I37" s="4"/>
      <c r="J37" s="4"/>
      <c r="K37" s="5"/>
      <c r="L37" s="4"/>
      <c r="M37" s="4"/>
    </row>
    <row r="38" spans="1:13" s="1" customFormat="1" x14ac:dyDescent="0.3">
      <c r="A38" s="4"/>
      <c r="B38" s="25" t="s">
        <v>87</v>
      </c>
      <c r="C38" s="14">
        <f>C33</f>
        <v>72162.299999999988</v>
      </c>
      <c r="D38" s="14">
        <f t="shared" ref="D38:F38" si="11">D33</f>
        <v>224966.44799999986</v>
      </c>
      <c r="E38" s="14">
        <f t="shared" si="11"/>
        <v>373805.07696000009</v>
      </c>
      <c r="F38" s="14">
        <f t="shared" si="11"/>
        <v>625727.55258719984</v>
      </c>
      <c r="G38" s="17"/>
      <c r="H38" s="5"/>
      <c r="I38" s="4"/>
      <c r="J38" s="4"/>
      <c r="K38" s="5"/>
      <c r="L38" s="4"/>
      <c r="M38" s="4"/>
    </row>
    <row r="39" spans="1:13" s="1" customFormat="1" x14ac:dyDescent="0.3">
      <c r="A39" s="4"/>
      <c r="B39" s="25" t="s">
        <v>90</v>
      </c>
      <c r="C39" s="14"/>
      <c r="D39" s="14"/>
      <c r="E39" s="14"/>
      <c r="F39" s="14"/>
      <c r="G39" s="17"/>
      <c r="H39" s="5"/>
      <c r="I39" s="4"/>
      <c r="J39" s="4"/>
      <c r="K39" s="5"/>
      <c r="L39" s="4"/>
      <c r="M39" s="4"/>
    </row>
    <row r="40" spans="1:13" s="1" customFormat="1" ht="16.2" customHeight="1" x14ac:dyDescent="0.3">
      <c r="A40" s="4"/>
      <c r="B40" s="25" t="s">
        <v>91</v>
      </c>
      <c r="C40" s="14">
        <v>0</v>
      </c>
      <c r="D40" s="14">
        <f>C41</f>
        <v>213182</v>
      </c>
      <c r="E40" s="14">
        <f>D41</f>
        <v>264274</v>
      </c>
      <c r="F40" s="14">
        <f>E41</f>
        <v>272904</v>
      </c>
      <c r="G40" s="17"/>
      <c r="H40" s="5"/>
      <c r="I40" s="4"/>
      <c r="J40" s="4"/>
      <c r="K40" s="5"/>
      <c r="L40" s="4"/>
      <c r="M40" s="4"/>
    </row>
    <row r="41" spans="1:13" s="1" customFormat="1" x14ac:dyDescent="0.3">
      <c r="A41" s="4"/>
      <c r="B41" s="48" t="s">
        <v>92</v>
      </c>
      <c r="C41" s="12">
        <f>ROUND(C9*35/275,0)</f>
        <v>213182</v>
      </c>
      <c r="D41" s="12">
        <f>ROUND(D9*35/365,0)</f>
        <v>264274</v>
      </c>
      <c r="E41" s="12">
        <f t="shared" ref="E41:F41" si="12">ROUND(E9*35/365,0)</f>
        <v>272904</v>
      </c>
      <c r="F41" s="12">
        <f t="shared" si="12"/>
        <v>347842</v>
      </c>
      <c r="G41" s="17"/>
      <c r="H41" s="5"/>
      <c r="I41" s="4"/>
      <c r="J41" s="4"/>
      <c r="K41" s="5"/>
      <c r="L41" s="4"/>
      <c r="M41" s="4"/>
    </row>
    <row r="42" spans="1:13" s="1" customFormat="1" x14ac:dyDescent="0.3">
      <c r="A42" s="4"/>
      <c r="B42" s="49" t="s">
        <v>93</v>
      </c>
      <c r="C42" s="50">
        <f>C40-C41</f>
        <v>-213182</v>
      </c>
      <c r="D42" s="50">
        <f t="shared" ref="D42:F42" si="13">D40-D41</f>
        <v>-51092</v>
      </c>
      <c r="E42" s="50">
        <f t="shared" si="13"/>
        <v>-8630</v>
      </c>
      <c r="F42" s="50">
        <f t="shared" si="13"/>
        <v>-74938</v>
      </c>
      <c r="G42" s="17"/>
      <c r="H42" s="5"/>
      <c r="I42" s="4"/>
      <c r="J42" s="4"/>
      <c r="K42" s="5"/>
      <c r="L42" s="4"/>
      <c r="M42" s="4"/>
    </row>
    <row r="43" spans="1:13" s="1" customFormat="1" ht="16.2" thickBot="1" x14ac:dyDescent="0.35">
      <c r="A43" s="4"/>
      <c r="B43" s="5"/>
      <c r="C43" s="11"/>
      <c r="D43" s="11"/>
      <c r="E43" s="11"/>
      <c r="F43" s="11"/>
      <c r="G43" s="17"/>
      <c r="H43" s="5"/>
      <c r="I43" s="4"/>
      <c r="J43" s="4"/>
      <c r="K43" s="5"/>
      <c r="L43" s="4"/>
      <c r="M43" s="4"/>
    </row>
    <row r="44" spans="1:13" s="1" customFormat="1" ht="16.2" thickBot="1" x14ac:dyDescent="0.35">
      <c r="A44" s="4"/>
      <c r="B44" s="36" t="s">
        <v>94</v>
      </c>
      <c r="C44" s="51">
        <f>C38+C42</f>
        <v>-141019.70000000001</v>
      </c>
      <c r="D44" s="51">
        <f t="shared" ref="D44:F44" si="14">D38+D42</f>
        <v>173874.44799999986</v>
      </c>
      <c r="E44" s="51">
        <f t="shared" si="14"/>
        <v>365175.07696000009</v>
      </c>
      <c r="F44" s="51">
        <f t="shared" si="14"/>
        <v>550789.55258719984</v>
      </c>
      <c r="G44" s="17"/>
      <c r="H44" s="5"/>
      <c r="I44" s="4"/>
      <c r="J44" s="4"/>
      <c r="K44" s="5"/>
      <c r="L44" s="4"/>
      <c r="M44" s="4"/>
    </row>
    <row r="45" spans="1:13" s="1" customFormat="1" x14ac:dyDescent="0.3">
      <c r="A45" s="4"/>
      <c r="B45" s="25"/>
      <c r="C45" s="14"/>
      <c r="D45" s="14"/>
      <c r="E45" s="14"/>
      <c r="F45" s="14"/>
      <c r="G45" s="17"/>
      <c r="H45" s="5"/>
      <c r="I45" s="4"/>
      <c r="J45" s="4"/>
      <c r="K45" s="5"/>
      <c r="L45" s="4"/>
      <c r="M45" s="4"/>
    </row>
    <row r="46" spans="1:13" s="1" customFormat="1" ht="31.2" x14ac:dyDescent="0.3">
      <c r="A46" s="4"/>
      <c r="B46" s="32" t="s">
        <v>95</v>
      </c>
      <c r="C46" s="16">
        <f>C44/1700000</f>
        <v>-8.2952764705882365E-2</v>
      </c>
      <c r="D46" s="16">
        <f>D44/1700000</f>
        <v>0.10227908705882345</v>
      </c>
      <c r="E46" s="16">
        <f>E44/1700000</f>
        <v>0.21480886880000005</v>
      </c>
      <c r="F46" s="16">
        <f>F44/1700000</f>
        <v>0.32399385446305873</v>
      </c>
      <c r="G46" s="17"/>
      <c r="H46" s="5"/>
      <c r="I46" s="4"/>
      <c r="J46" s="4"/>
      <c r="K46" s="5"/>
      <c r="L46" s="4"/>
      <c r="M46" s="4"/>
    </row>
    <row r="47" spans="1:13" s="1" customFormat="1" x14ac:dyDescent="0.3">
      <c r="A47" s="4"/>
      <c r="B47" s="25"/>
      <c r="C47" s="14"/>
      <c r="D47" s="14"/>
      <c r="E47" s="14"/>
      <c r="F47" s="14"/>
      <c r="G47" s="17"/>
      <c r="H47" s="5"/>
      <c r="I47" s="4"/>
      <c r="J47" s="4"/>
      <c r="K47" s="5"/>
      <c r="L47" s="4"/>
      <c r="M47" s="4"/>
    </row>
    <row r="48" spans="1:13" s="1" customFormat="1" x14ac:dyDescent="0.3">
      <c r="A48" s="4"/>
      <c r="B48" s="25"/>
      <c r="C48" s="14"/>
      <c r="D48" s="14"/>
      <c r="E48" s="14"/>
      <c r="F48" s="14"/>
      <c r="G48" s="17"/>
      <c r="H48" s="5"/>
      <c r="I48" s="4"/>
      <c r="J48" s="4"/>
      <c r="K48" s="5"/>
      <c r="L48" s="4"/>
      <c r="M48" s="4"/>
    </row>
    <row r="49" spans="1:13" s="1" customFormat="1" x14ac:dyDescent="0.3">
      <c r="A49" s="4"/>
      <c r="B49" s="25"/>
      <c r="C49" s="284" t="s">
        <v>96</v>
      </c>
      <c r="D49" s="284"/>
      <c r="E49" s="284"/>
      <c r="F49" s="284"/>
      <c r="G49" s="17"/>
      <c r="H49" s="5"/>
      <c r="I49" s="4"/>
      <c r="J49" s="4"/>
      <c r="K49" s="5"/>
      <c r="L49" s="4"/>
      <c r="M49" s="4"/>
    </row>
    <row r="50" spans="1:13" s="1" customFormat="1" x14ac:dyDescent="0.3">
      <c r="A50" s="4"/>
      <c r="B50" s="25" t="s">
        <v>97</v>
      </c>
      <c r="C50" s="14">
        <f>C72/(52-4)</f>
        <v>14.583333333333334</v>
      </c>
      <c r="D50" s="14">
        <f t="shared" ref="D50:F50" si="15">D72/(52-4)</f>
        <v>16.666666666666668</v>
      </c>
      <c r="E50" s="14">
        <f t="shared" si="15"/>
        <v>16.666666666666668</v>
      </c>
      <c r="F50" s="14">
        <f t="shared" si="15"/>
        <v>16.666666666666668</v>
      </c>
      <c r="G50" s="17"/>
      <c r="H50" s="5"/>
      <c r="I50" s="4"/>
      <c r="J50" s="4"/>
      <c r="K50" s="5"/>
      <c r="L50" s="4"/>
      <c r="M50" s="4"/>
    </row>
    <row r="51" spans="1:13" s="1" customFormat="1" ht="15" x14ac:dyDescent="0.25">
      <c r="A51" s="4"/>
      <c r="B51" s="25" t="s">
        <v>98</v>
      </c>
      <c r="C51" s="14">
        <f t="shared" ref="C51:F53" si="16">C73/(52-4)</f>
        <v>20.833333333333332</v>
      </c>
      <c r="D51" s="14">
        <f t="shared" si="16"/>
        <v>27.083333333333332</v>
      </c>
      <c r="E51" s="14">
        <f t="shared" si="16"/>
        <v>27.083333333333332</v>
      </c>
      <c r="F51" s="14">
        <f t="shared" si="16"/>
        <v>27.083333333333332</v>
      </c>
      <c r="G51" s="285" t="s">
        <v>99</v>
      </c>
      <c r="H51" s="5"/>
      <c r="I51" s="4"/>
      <c r="J51" s="4"/>
      <c r="K51" s="5"/>
      <c r="L51" s="4"/>
      <c r="M51" s="4"/>
    </row>
    <row r="52" spans="1:13" s="1" customFormat="1" ht="15" x14ac:dyDescent="0.25">
      <c r="A52" s="4"/>
      <c r="B52" s="25" t="s">
        <v>100</v>
      </c>
      <c r="C52" s="14">
        <f t="shared" si="16"/>
        <v>16.666666666666668</v>
      </c>
      <c r="D52" s="14">
        <f t="shared" si="16"/>
        <v>21.875</v>
      </c>
      <c r="E52" s="14">
        <f t="shared" si="16"/>
        <v>22.916666666666668</v>
      </c>
      <c r="F52" s="14">
        <f t="shared" si="16"/>
        <v>25</v>
      </c>
      <c r="G52" s="285"/>
      <c r="H52" s="5"/>
      <c r="I52" s="4"/>
      <c r="J52" s="4"/>
      <c r="K52" s="5"/>
      <c r="L52" s="4"/>
      <c r="M52" s="4"/>
    </row>
    <row r="53" spans="1:13" ht="15" x14ac:dyDescent="0.25">
      <c r="B53" s="25" t="s">
        <v>101</v>
      </c>
      <c r="C53" s="14">
        <f t="shared" si="16"/>
        <v>16.666666666666668</v>
      </c>
      <c r="D53" s="14">
        <f t="shared" si="16"/>
        <v>21.875</v>
      </c>
      <c r="E53" s="14">
        <f t="shared" si="16"/>
        <v>22.916666666666668</v>
      </c>
      <c r="F53" s="14">
        <f t="shared" si="16"/>
        <v>23.958333333333332</v>
      </c>
      <c r="G53" s="285"/>
    </row>
    <row r="54" spans="1:13" ht="15" x14ac:dyDescent="0.25">
      <c r="B54" s="25"/>
      <c r="C54" s="14"/>
      <c r="D54" s="14"/>
      <c r="E54" s="14"/>
      <c r="F54" s="14"/>
      <c r="G54" s="285"/>
    </row>
    <row r="55" spans="1:13" x14ac:dyDescent="0.25">
      <c r="B55" s="25"/>
      <c r="C55" s="14"/>
      <c r="D55" s="14"/>
      <c r="E55" s="14"/>
      <c r="F55" s="14"/>
      <c r="G55" s="52"/>
    </row>
    <row r="56" spans="1:13" x14ac:dyDescent="0.25">
      <c r="B56" s="25"/>
      <c r="C56" s="14"/>
      <c r="D56" s="14"/>
      <c r="E56" s="14"/>
      <c r="F56" s="14"/>
      <c r="G56" s="52"/>
    </row>
    <row r="57" spans="1:13" x14ac:dyDescent="0.25">
      <c r="B57" s="25"/>
      <c r="C57" s="14"/>
      <c r="D57" s="14"/>
      <c r="E57" s="14"/>
      <c r="F57" s="14"/>
      <c r="G57" s="52"/>
    </row>
    <row r="60" spans="1:13" x14ac:dyDescent="0.3">
      <c r="C60" s="53"/>
      <c r="D60" s="53"/>
      <c r="E60" s="53"/>
      <c r="F60" s="53"/>
    </row>
    <row r="61" spans="1:13" s="1" customFormat="1" x14ac:dyDescent="0.3">
      <c r="A61" s="4"/>
      <c r="B61" s="17" t="s">
        <v>102</v>
      </c>
      <c r="C61" s="5"/>
      <c r="D61" s="5"/>
      <c r="E61" s="5"/>
      <c r="F61" s="5"/>
      <c r="G61" s="17"/>
      <c r="H61" s="5"/>
      <c r="I61" s="4"/>
      <c r="J61" s="4"/>
      <c r="K61" s="5"/>
      <c r="L61" s="4"/>
      <c r="M61" s="4"/>
    </row>
    <row r="62" spans="1:13" x14ac:dyDescent="0.3">
      <c r="B62" s="277"/>
      <c r="C62" s="278" t="s">
        <v>103</v>
      </c>
      <c r="D62" s="279"/>
      <c r="E62" s="279"/>
      <c r="F62" s="280"/>
    </row>
    <row r="63" spans="1:13" s="1" customFormat="1" ht="14.7" customHeight="1" x14ac:dyDescent="0.25">
      <c r="A63" s="4"/>
      <c r="B63" s="277"/>
      <c r="C63" s="54">
        <v>2021</v>
      </c>
      <c r="D63" s="54">
        <v>2022</v>
      </c>
      <c r="E63" s="54">
        <v>2023</v>
      </c>
      <c r="F63" s="55">
        <v>2024</v>
      </c>
      <c r="G63" s="281" t="s">
        <v>104</v>
      </c>
      <c r="H63" s="5"/>
      <c r="I63" s="4"/>
      <c r="J63" s="4"/>
      <c r="K63" s="5"/>
      <c r="L63" s="4"/>
      <c r="M63" s="4"/>
    </row>
    <row r="64" spans="1:13" s="1" customFormat="1" x14ac:dyDescent="0.25">
      <c r="A64" s="4"/>
      <c r="B64" s="56" t="s">
        <v>97</v>
      </c>
      <c r="C64" s="57">
        <v>1</v>
      </c>
      <c r="D64" s="57">
        <v>1</v>
      </c>
      <c r="E64" s="57">
        <v>1</v>
      </c>
      <c r="F64" s="58">
        <v>1</v>
      </c>
      <c r="G64" s="281"/>
      <c r="H64" s="5"/>
      <c r="I64" s="4"/>
      <c r="J64" s="4"/>
      <c r="K64" s="5"/>
      <c r="L64" s="4"/>
      <c r="M64" s="4"/>
    </row>
    <row r="65" spans="1:13" s="1" customFormat="1" x14ac:dyDescent="0.25">
      <c r="A65" s="4"/>
      <c r="B65" s="56" t="s">
        <v>98</v>
      </c>
      <c r="C65" s="57">
        <v>3</v>
      </c>
      <c r="D65" s="57">
        <v>4</v>
      </c>
      <c r="E65" s="57">
        <v>4</v>
      </c>
      <c r="F65" s="58">
        <v>5</v>
      </c>
      <c r="G65" s="59">
        <v>180000</v>
      </c>
      <c r="H65" s="5"/>
      <c r="I65" s="4"/>
      <c r="J65" s="4"/>
      <c r="K65" s="5"/>
      <c r="L65" s="4"/>
      <c r="M65" s="4"/>
    </row>
    <row r="66" spans="1:13" s="1" customFormat="1" x14ac:dyDescent="0.25">
      <c r="A66" s="4"/>
      <c r="B66" s="56" t="s">
        <v>100</v>
      </c>
      <c r="C66" s="57">
        <v>3</v>
      </c>
      <c r="D66" s="57">
        <v>4</v>
      </c>
      <c r="E66" s="57">
        <v>4</v>
      </c>
      <c r="F66" s="58">
        <v>5</v>
      </c>
      <c r="G66" s="59">
        <v>60000</v>
      </c>
      <c r="H66" s="5"/>
      <c r="I66" s="4"/>
      <c r="J66" s="4"/>
      <c r="K66" s="5"/>
      <c r="L66" s="4"/>
      <c r="M66" s="4"/>
    </row>
    <row r="67" spans="1:13" s="1" customFormat="1" x14ac:dyDescent="0.25">
      <c r="A67" s="4"/>
      <c r="B67" s="56" t="s">
        <v>101</v>
      </c>
      <c r="C67" s="57">
        <v>3</v>
      </c>
      <c r="D67" s="57">
        <v>4</v>
      </c>
      <c r="E67" s="57">
        <v>4</v>
      </c>
      <c r="F67" s="58">
        <v>5</v>
      </c>
      <c r="G67" s="59">
        <v>85000</v>
      </c>
      <c r="H67" s="5"/>
      <c r="I67" s="4"/>
      <c r="J67" s="4"/>
      <c r="K67" s="5"/>
      <c r="L67" s="4"/>
      <c r="M67" s="4"/>
    </row>
    <row r="68" spans="1:13" s="1" customFormat="1" x14ac:dyDescent="0.25">
      <c r="A68" s="4"/>
      <c r="B68" s="56" t="s">
        <v>105</v>
      </c>
      <c r="C68" s="57">
        <v>1</v>
      </c>
      <c r="D68" s="57">
        <v>1</v>
      </c>
      <c r="E68" s="57">
        <v>1</v>
      </c>
      <c r="F68" s="58">
        <v>1</v>
      </c>
      <c r="G68" s="59">
        <v>110000</v>
      </c>
      <c r="H68" s="5"/>
      <c r="I68" s="4"/>
      <c r="J68" s="4"/>
      <c r="K68" s="5"/>
      <c r="L68" s="4"/>
      <c r="M68" s="4"/>
    </row>
    <row r="69" spans="1:13" s="1" customFormat="1" x14ac:dyDescent="0.3">
      <c r="A69" s="4"/>
      <c r="B69" s="5"/>
      <c r="C69" s="5"/>
      <c r="D69" s="5"/>
      <c r="E69" s="5"/>
      <c r="F69" s="17"/>
      <c r="G69" s="59">
        <v>42000</v>
      </c>
      <c r="H69" s="5"/>
      <c r="I69" s="4"/>
      <c r="J69" s="4"/>
      <c r="K69" s="5"/>
      <c r="L69" s="4"/>
      <c r="M69" s="4"/>
    </row>
    <row r="70" spans="1:13" s="1" customFormat="1" x14ac:dyDescent="0.25">
      <c r="A70" s="4"/>
      <c r="B70" s="277"/>
      <c r="C70" s="278" t="s">
        <v>106</v>
      </c>
      <c r="D70" s="279"/>
      <c r="E70" s="279"/>
      <c r="F70" s="280"/>
      <c r="G70" s="5"/>
      <c r="H70" s="5"/>
      <c r="I70" s="4"/>
      <c r="J70" s="4"/>
      <c r="K70" s="5"/>
      <c r="L70" s="4"/>
      <c r="M70" s="4"/>
    </row>
    <row r="71" spans="1:13" s="1" customFormat="1" ht="14.7" customHeight="1" x14ac:dyDescent="0.25">
      <c r="A71" s="4"/>
      <c r="B71" s="277"/>
      <c r="C71" s="54">
        <v>2021</v>
      </c>
      <c r="D71" s="54">
        <v>2022</v>
      </c>
      <c r="E71" s="54">
        <v>2023</v>
      </c>
      <c r="F71" s="55">
        <v>2024</v>
      </c>
      <c r="G71" s="281" t="s">
        <v>107</v>
      </c>
      <c r="H71" s="5"/>
      <c r="I71" s="4"/>
      <c r="J71" s="4"/>
      <c r="K71" s="5"/>
      <c r="L71" s="4"/>
      <c r="M71" s="4"/>
    </row>
    <row r="72" spans="1:13" s="1" customFormat="1" x14ac:dyDescent="0.25">
      <c r="A72" s="4"/>
      <c r="B72" s="60" t="s">
        <v>97</v>
      </c>
      <c r="C72" s="57">
        <v>700</v>
      </c>
      <c r="D72" s="57">
        <v>800</v>
      </c>
      <c r="E72" s="57">
        <v>800</v>
      </c>
      <c r="F72" s="58">
        <v>800</v>
      </c>
      <c r="G72" s="281"/>
      <c r="H72" s="5"/>
      <c r="I72" s="4"/>
      <c r="J72" s="4"/>
      <c r="K72" s="5"/>
      <c r="L72" s="4"/>
      <c r="M72" s="4"/>
    </row>
    <row r="73" spans="1:13" s="1" customFormat="1" x14ac:dyDescent="0.25">
      <c r="A73" s="4"/>
      <c r="B73" s="60" t="s">
        <v>98</v>
      </c>
      <c r="C73" s="61">
        <v>1000</v>
      </c>
      <c r="D73" s="61">
        <v>1300</v>
      </c>
      <c r="E73" s="61">
        <v>1300</v>
      </c>
      <c r="F73" s="62">
        <v>1300</v>
      </c>
      <c r="G73" s="59">
        <v>400</v>
      </c>
      <c r="H73" s="5"/>
      <c r="I73" s="4"/>
      <c r="J73" s="4"/>
      <c r="K73" s="63"/>
      <c r="L73" s="4"/>
      <c r="M73" s="4"/>
    </row>
    <row r="74" spans="1:13" s="1" customFormat="1" x14ac:dyDescent="0.25">
      <c r="A74" s="4"/>
      <c r="B74" s="60" t="s">
        <v>100</v>
      </c>
      <c r="C74" s="57">
        <v>800</v>
      </c>
      <c r="D74" s="61">
        <v>1050</v>
      </c>
      <c r="E74" s="61">
        <v>1100</v>
      </c>
      <c r="F74" s="62">
        <v>1200</v>
      </c>
      <c r="G74" s="59">
        <v>105</v>
      </c>
      <c r="H74" s="5"/>
      <c r="I74" s="4"/>
      <c r="J74" s="4"/>
      <c r="K74" s="63"/>
      <c r="L74" s="4"/>
      <c r="M74" s="4"/>
    </row>
    <row r="75" spans="1:13" s="1" customFormat="1" x14ac:dyDescent="0.25">
      <c r="A75" s="4"/>
      <c r="B75" s="60" t="s">
        <v>101</v>
      </c>
      <c r="C75" s="57">
        <v>800</v>
      </c>
      <c r="D75" s="61">
        <v>1050</v>
      </c>
      <c r="E75" s="61">
        <v>1100</v>
      </c>
      <c r="F75" s="62">
        <v>1150</v>
      </c>
      <c r="G75" s="59">
        <v>150</v>
      </c>
      <c r="H75" s="5"/>
      <c r="I75" s="4"/>
      <c r="J75" s="4"/>
      <c r="K75" s="63"/>
      <c r="L75" s="4"/>
      <c r="M75" s="4"/>
    </row>
    <row r="76" spans="1:13" s="1" customFormat="1" ht="15" x14ac:dyDescent="0.25">
      <c r="A76" s="4"/>
      <c r="B76" s="5"/>
      <c r="C76" s="5"/>
      <c r="D76" s="5"/>
      <c r="E76" s="5"/>
      <c r="F76" s="5"/>
      <c r="G76" s="59">
        <v>300</v>
      </c>
      <c r="H76" s="5"/>
      <c r="I76" s="4"/>
      <c r="J76" s="4"/>
      <c r="K76" s="63"/>
      <c r="L76" s="4"/>
      <c r="M76" s="4"/>
    </row>
    <row r="77" spans="1:13" x14ac:dyDescent="0.3">
      <c r="B77" s="25"/>
      <c r="C77" s="4"/>
      <c r="D77" s="4"/>
      <c r="E77" s="4"/>
      <c r="F77" s="4"/>
    </row>
    <row r="78" spans="1:13" s="1" customFormat="1" ht="16.2" thickBot="1" x14ac:dyDescent="0.35">
      <c r="A78" s="4"/>
      <c r="B78" s="25"/>
      <c r="C78" s="4"/>
      <c r="D78" s="4"/>
      <c r="E78" s="4"/>
      <c r="F78" s="4"/>
      <c r="G78" s="17"/>
      <c r="H78" s="5"/>
      <c r="I78" s="4"/>
      <c r="J78" s="4"/>
      <c r="K78" s="5"/>
      <c r="L78" s="4"/>
      <c r="M78" s="4"/>
    </row>
    <row r="79" spans="1:13" s="1" customFormat="1" x14ac:dyDescent="0.3">
      <c r="A79" s="4"/>
      <c r="B79" s="3" t="s">
        <v>1</v>
      </c>
      <c r="C79" s="64"/>
      <c r="D79" s="4"/>
      <c r="E79" s="4"/>
      <c r="F79" s="4"/>
      <c r="G79" s="65"/>
      <c r="H79" s="5"/>
      <c r="I79" s="4"/>
      <c r="J79" s="4"/>
      <c r="K79" s="5"/>
      <c r="L79" s="4"/>
      <c r="M79" s="4"/>
    </row>
    <row r="80" spans="1:13" s="1" customFormat="1" ht="16.2" thickBot="1" x14ac:dyDescent="0.35">
      <c r="A80" s="4"/>
      <c r="B80" s="66" t="s">
        <v>108</v>
      </c>
      <c r="C80" s="67">
        <v>0.02</v>
      </c>
      <c r="D80" s="4"/>
      <c r="E80" s="4"/>
      <c r="F80" s="4"/>
      <c r="G80" s="17"/>
      <c r="H80" s="5"/>
      <c r="I80" s="4"/>
      <c r="J80" s="4"/>
      <c r="K80" s="5"/>
      <c r="L80" s="4"/>
      <c r="M80" s="4"/>
    </row>
    <row r="81" spans="1:13" s="1" customFormat="1" x14ac:dyDescent="0.3">
      <c r="A81" s="4"/>
      <c r="B81" s="5"/>
      <c r="C81" s="5"/>
      <c r="D81" s="5"/>
      <c r="E81" s="5"/>
      <c r="F81" s="5"/>
      <c r="G81" s="17"/>
      <c r="H81" s="5"/>
      <c r="I81" s="4"/>
      <c r="J81" s="4"/>
      <c r="K81" s="5"/>
      <c r="L81" s="4"/>
      <c r="M81" s="4"/>
    </row>
  </sheetData>
  <mergeCells count="10">
    <mergeCell ref="B70:B71"/>
    <mergeCell ref="C70:F70"/>
    <mergeCell ref="G71:G72"/>
    <mergeCell ref="B1:F1"/>
    <mergeCell ref="D4:F5"/>
    <mergeCell ref="C49:F49"/>
    <mergeCell ref="G51:G54"/>
    <mergeCell ref="B62:B63"/>
    <mergeCell ref="C62:F62"/>
    <mergeCell ref="G63:G6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C9328-D434-4E30-A28C-55B0F18B3C9D}">
  <sheetPr codeName="Feuil3">
    <tabColor rgb="FF7030A0"/>
  </sheetPr>
  <dimension ref="A1:O42"/>
  <sheetViews>
    <sheetView workbookViewId="0">
      <selection activeCell="A5" sqref="A5"/>
    </sheetView>
  </sheetViews>
  <sheetFormatPr baseColWidth="10" defaultColWidth="8.6640625" defaultRowHeight="13.8" x14ac:dyDescent="0.25"/>
  <cols>
    <col min="1" max="1" width="8.6640625" style="98"/>
    <col min="2" max="2" width="64.6640625" style="98" customWidth="1"/>
    <col min="3" max="3" width="17.44140625" style="98" customWidth="1"/>
    <col min="4" max="4" width="17" style="98" customWidth="1"/>
    <col min="5" max="6" width="15.44140625" style="98" customWidth="1"/>
    <col min="7" max="7" width="18.44140625" style="98" customWidth="1"/>
    <col min="8" max="8" width="3.44140625" style="98" customWidth="1"/>
    <col min="9" max="9" width="16.5546875" style="98" customWidth="1"/>
    <col min="10" max="10" width="16.33203125" style="98" customWidth="1"/>
    <col min="11" max="11" width="17.33203125" style="98" customWidth="1"/>
    <col min="12" max="12" width="13.44140625" style="98" customWidth="1"/>
    <col min="13" max="16384" width="8.6640625" style="98"/>
  </cols>
  <sheetData>
    <row r="1" spans="1:15" x14ac:dyDescent="0.25">
      <c r="A1" s="191" t="s">
        <v>109</v>
      </c>
    </row>
    <row r="3" spans="1:15" x14ac:dyDescent="0.25">
      <c r="A3" s="153" t="s">
        <v>110</v>
      </c>
    </row>
    <row r="4" spans="1:15" ht="55.2" x14ac:dyDescent="0.25">
      <c r="C4" s="75" t="s">
        <v>111</v>
      </c>
      <c r="D4" s="150" t="s">
        <v>112</v>
      </c>
      <c r="E4" s="151" t="s">
        <v>113</v>
      </c>
      <c r="F4" s="150" t="s">
        <v>114</v>
      </c>
      <c r="G4" s="152" t="s">
        <v>115</v>
      </c>
      <c r="H4" s="150"/>
      <c r="I4" s="150" t="s">
        <v>116</v>
      </c>
      <c r="J4" s="150" t="s">
        <v>117</v>
      </c>
      <c r="K4" s="75"/>
      <c r="O4" s="156"/>
    </row>
    <row r="6" spans="1:15" x14ac:dyDescent="0.25">
      <c r="B6" s="153"/>
    </row>
    <row r="7" spans="1:15" x14ac:dyDescent="0.25">
      <c r="C7" s="75"/>
      <c r="D7" s="265"/>
      <c r="E7" s="265"/>
      <c r="F7" s="265"/>
      <c r="G7" s="265"/>
      <c r="H7" s="265"/>
      <c r="I7" s="265"/>
      <c r="J7" s="265"/>
    </row>
    <row r="8" spans="1:15" x14ac:dyDescent="0.25">
      <c r="C8" s="75"/>
      <c r="D8" s="266"/>
      <c r="E8" s="266"/>
      <c r="F8" s="266"/>
      <c r="G8" s="266"/>
      <c r="H8" s="266"/>
    </row>
    <row r="9" spans="1:15" x14ac:dyDescent="0.25">
      <c r="C9" s="75"/>
    </row>
    <row r="10" spans="1:15" x14ac:dyDescent="0.25">
      <c r="C10" s="75"/>
      <c r="D10" s="154"/>
      <c r="E10" s="154"/>
      <c r="F10" s="154"/>
      <c r="G10" s="154"/>
      <c r="H10" s="154"/>
      <c r="I10" s="154"/>
      <c r="J10" s="154"/>
    </row>
    <row r="11" spans="1:15" x14ac:dyDescent="0.25">
      <c r="C11" s="75"/>
      <c r="D11" s="154"/>
      <c r="E11" s="154"/>
      <c r="F11" s="154"/>
      <c r="G11" s="154"/>
      <c r="H11" s="154"/>
      <c r="I11" s="154"/>
      <c r="J11" s="154"/>
    </row>
    <row r="12" spans="1:15" x14ac:dyDescent="0.25">
      <c r="C12" s="75"/>
      <c r="D12" s="154"/>
      <c r="E12" s="154"/>
      <c r="F12" s="154"/>
      <c r="G12" s="154"/>
      <c r="H12" s="154"/>
      <c r="I12" s="154"/>
      <c r="J12" s="154"/>
    </row>
    <row r="13" spans="1:15" x14ac:dyDescent="0.25">
      <c r="C13" s="75"/>
      <c r="D13" s="158"/>
      <c r="E13" s="158"/>
      <c r="F13" s="158"/>
      <c r="G13" s="154"/>
      <c r="H13" s="154"/>
      <c r="I13" s="154"/>
      <c r="J13" s="154"/>
    </row>
    <row r="14" spans="1:15" x14ac:dyDescent="0.25">
      <c r="C14" s="75"/>
      <c r="D14" s="154"/>
      <c r="E14" s="154"/>
      <c r="F14" s="154"/>
      <c r="G14" s="154"/>
      <c r="H14" s="154"/>
      <c r="I14" s="154"/>
      <c r="J14" s="154"/>
    </row>
    <row r="15" spans="1:15" x14ac:dyDescent="0.25">
      <c r="C15" s="75"/>
      <c r="D15" s="154"/>
      <c r="E15" s="154"/>
      <c r="F15" s="154"/>
      <c r="G15" s="154"/>
      <c r="H15" s="154"/>
      <c r="I15" s="154"/>
      <c r="J15" s="154"/>
    </row>
    <row r="16" spans="1:15" x14ac:dyDescent="0.25">
      <c r="C16" s="75"/>
      <c r="D16" s="155"/>
      <c r="E16" s="155"/>
      <c r="F16" s="155"/>
      <c r="G16" s="155"/>
      <c r="H16" s="155"/>
      <c r="I16" s="155"/>
      <c r="J16" s="155"/>
      <c r="L16" s="157"/>
    </row>
    <row r="17" spans="2:12" x14ac:dyDescent="0.25">
      <c r="C17" s="75"/>
      <c r="D17" s="155"/>
      <c r="E17" s="155"/>
      <c r="F17" s="155"/>
      <c r="G17" s="155"/>
      <c r="H17" s="155"/>
      <c r="I17" s="155"/>
      <c r="J17" s="155"/>
      <c r="L17" s="157"/>
    </row>
    <row r="18" spans="2:12" x14ac:dyDescent="0.25">
      <c r="C18" s="75"/>
      <c r="D18" s="154"/>
      <c r="E18" s="154"/>
      <c r="F18" s="154"/>
      <c r="G18" s="154"/>
      <c r="H18" s="154"/>
      <c r="I18" s="154"/>
      <c r="J18" s="154"/>
    </row>
    <row r="19" spans="2:12" x14ac:dyDescent="0.25">
      <c r="C19" s="75"/>
      <c r="D19" s="158"/>
      <c r="E19" s="158"/>
      <c r="F19" s="158"/>
      <c r="G19" s="158"/>
      <c r="H19" s="158"/>
      <c r="I19" s="158"/>
      <c r="J19" s="158"/>
    </row>
    <row r="20" spans="2:12" x14ac:dyDescent="0.25">
      <c r="C20" s="75"/>
      <c r="D20" s="158"/>
      <c r="E20" s="158"/>
      <c r="F20" s="158"/>
      <c r="G20" s="158"/>
      <c r="H20" s="158"/>
      <c r="I20" s="158"/>
      <c r="J20" s="158"/>
    </row>
    <row r="21" spans="2:12" x14ac:dyDescent="0.25">
      <c r="C21" s="75"/>
      <c r="D21" s="158"/>
      <c r="E21" s="158"/>
      <c r="F21" s="158"/>
      <c r="G21" s="158"/>
      <c r="H21" s="158"/>
      <c r="I21" s="158"/>
      <c r="J21" s="158"/>
    </row>
    <row r="22" spans="2:12" x14ac:dyDescent="0.25">
      <c r="B22" s="286"/>
      <c r="C22" s="286"/>
      <c r="D22" s="158"/>
      <c r="E22" s="158"/>
      <c r="F22" s="158"/>
      <c r="G22" s="158"/>
      <c r="H22" s="158"/>
      <c r="I22" s="158"/>
      <c r="J22" s="158"/>
    </row>
    <row r="23" spans="2:12" x14ac:dyDescent="0.25">
      <c r="C23" s="75"/>
      <c r="D23" s="154"/>
      <c r="E23" s="154"/>
      <c r="F23" s="154"/>
      <c r="G23" s="158"/>
      <c r="H23" s="158"/>
      <c r="I23" s="159"/>
      <c r="J23" s="159"/>
    </row>
    <row r="24" spans="2:12" x14ac:dyDescent="0.25">
      <c r="C24" s="75"/>
      <c r="D24" s="154"/>
      <c r="E24" s="154"/>
      <c r="F24" s="154"/>
      <c r="G24" s="158"/>
      <c r="H24" s="158"/>
      <c r="I24" s="159"/>
      <c r="J24" s="159"/>
    </row>
    <row r="25" spans="2:12" x14ac:dyDescent="0.25">
      <c r="C25" s="75"/>
      <c r="D25" s="154"/>
      <c r="E25" s="154"/>
      <c r="F25" s="154"/>
      <c r="G25" s="158"/>
      <c r="H25" s="158"/>
      <c r="I25" s="159"/>
      <c r="J25" s="159"/>
    </row>
    <row r="26" spans="2:12" x14ac:dyDescent="0.25">
      <c r="C26" s="75"/>
      <c r="D26" s="158"/>
      <c r="E26" s="158"/>
      <c r="F26" s="158"/>
      <c r="G26" s="158"/>
      <c r="H26" s="158"/>
      <c r="I26" s="159"/>
      <c r="J26" s="159"/>
    </row>
    <row r="27" spans="2:12" x14ac:dyDescent="0.25">
      <c r="C27" s="75"/>
      <c r="D27" s="155"/>
      <c r="E27" s="155"/>
      <c r="F27" s="155"/>
      <c r="G27" s="154"/>
      <c r="H27" s="158"/>
      <c r="I27" s="159"/>
      <c r="J27" s="159"/>
    </row>
    <row r="28" spans="2:12" x14ac:dyDescent="0.25">
      <c r="C28" s="75"/>
      <c r="D28" s="155"/>
      <c r="E28" s="155"/>
      <c r="F28" s="155"/>
      <c r="G28" s="154"/>
      <c r="H28" s="158"/>
      <c r="I28" s="159"/>
      <c r="J28" s="159"/>
    </row>
    <row r="29" spans="2:12" x14ac:dyDescent="0.25">
      <c r="C29" s="75"/>
      <c r="D29" s="154"/>
      <c r="E29" s="154"/>
      <c r="F29" s="154"/>
      <c r="G29" s="154"/>
      <c r="H29" s="158"/>
      <c r="I29" s="159"/>
      <c r="J29" s="159"/>
    </row>
    <row r="30" spans="2:12" x14ac:dyDescent="0.25">
      <c r="C30" s="75"/>
      <c r="D30" s="158"/>
      <c r="E30" s="158"/>
      <c r="F30" s="158"/>
      <c r="G30" s="158"/>
      <c r="H30" s="158"/>
      <c r="I30" s="159"/>
      <c r="J30" s="159"/>
    </row>
    <row r="31" spans="2:12" ht="28.2" customHeight="1" x14ac:dyDescent="0.25">
      <c r="B31" s="160"/>
      <c r="C31" s="75"/>
      <c r="D31" s="154"/>
      <c r="E31" s="154"/>
      <c r="F31" s="154"/>
      <c r="G31" s="154"/>
      <c r="H31" s="158"/>
      <c r="I31" s="159"/>
      <c r="J31" s="159"/>
    </row>
    <row r="32" spans="2:12" x14ac:dyDescent="0.25">
      <c r="C32" s="75"/>
      <c r="D32" s="158"/>
      <c r="E32" s="154"/>
      <c r="F32" s="154"/>
      <c r="G32" s="154"/>
      <c r="H32" s="158"/>
      <c r="I32" s="159"/>
      <c r="J32" s="159"/>
    </row>
    <row r="33" spans="1:10" x14ac:dyDescent="0.25">
      <c r="C33" s="75"/>
      <c r="D33" s="158"/>
      <c r="E33" s="154"/>
      <c r="F33" s="154"/>
      <c r="G33" s="154"/>
      <c r="H33" s="158"/>
      <c r="I33" s="159"/>
      <c r="J33" s="159"/>
    </row>
    <row r="34" spans="1:10" x14ac:dyDescent="0.25">
      <c r="C34" s="75"/>
      <c r="D34" s="158"/>
      <c r="E34" s="154"/>
      <c r="F34" s="154"/>
      <c r="G34" s="154"/>
      <c r="H34" s="158"/>
      <c r="I34" s="159"/>
      <c r="J34" s="159"/>
    </row>
    <row r="35" spans="1:10" x14ac:dyDescent="0.25">
      <c r="C35" s="75"/>
      <c r="D35" s="158"/>
      <c r="E35" s="154"/>
      <c r="F35" s="154"/>
      <c r="G35" s="154"/>
      <c r="H35" s="158"/>
      <c r="I35" s="159"/>
      <c r="J35" s="159"/>
    </row>
    <row r="36" spans="1:10" x14ac:dyDescent="0.25">
      <c r="C36" s="75"/>
      <c r="D36" s="158"/>
      <c r="E36" s="158"/>
      <c r="F36" s="158"/>
      <c r="G36" s="158"/>
      <c r="H36" s="158"/>
      <c r="I36" s="159"/>
      <c r="J36" s="159"/>
    </row>
    <row r="37" spans="1:10" x14ac:dyDescent="0.25">
      <c r="C37" s="75"/>
      <c r="D37" s="158"/>
      <c r="E37" s="158"/>
      <c r="F37" s="158"/>
      <c r="G37" s="158"/>
      <c r="H37" s="158"/>
      <c r="I37" s="159"/>
      <c r="J37" s="159"/>
    </row>
    <row r="38" spans="1:10" x14ac:dyDescent="0.25">
      <c r="C38" s="75"/>
      <c r="D38" s="158"/>
      <c r="E38" s="158"/>
      <c r="F38" s="158"/>
      <c r="G38" s="158"/>
      <c r="H38" s="158"/>
      <c r="I38" s="159"/>
      <c r="J38" s="159"/>
    </row>
    <row r="39" spans="1:10" x14ac:dyDescent="0.25">
      <c r="B39" s="160"/>
      <c r="C39" s="75"/>
      <c r="D39" s="158"/>
      <c r="E39" s="158"/>
      <c r="F39" s="158"/>
      <c r="G39" s="158"/>
      <c r="H39" s="158"/>
      <c r="I39" s="159"/>
      <c r="J39" s="159"/>
    </row>
    <row r="40" spans="1:10" x14ac:dyDescent="0.25">
      <c r="C40" s="75"/>
      <c r="D40" s="158"/>
      <c r="E40" s="158"/>
      <c r="F40" s="158"/>
      <c r="G40" s="158"/>
      <c r="H40" s="158"/>
      <c r="I40" s="159"/>
      <c r="J40" s="159"/>
    </row>
    <row r="41" spans="1:10" x14ac:dyDescent="0.25">
      <c r="A41" s="287"/>
      <c r="B41" s="287"/>
      <c r="C41" s="287"/>
      <c r="D41" s="287"/>
      <c r="E41" s="287"/>
      <c r="F41" s="287"/>
      <c r="G41" s="287"/>
      <c r="H41" s="287"/>
      <c r="I41" s="287"/>
      <c r="J41" s="287"/>
    </row>
    <row r="42" spans="1:10" x14ac:dyDescent="0.25">
      <c r="C42" s="75"/>
      <c r="D42" s="158"/>
      <c r="E42" s="158"/>
      <c r="F42" s="158"/>
      <c r="G42" s="158"/>
      <c r="H42" s="158"/>
      <c r="I42" s="159"/>
      <c r="J42" s="159"/>
    </row>
  </sheetData>
  <mergeCells count="2">
    <mergeCell ref="B22:C22"/>
    <mergeCell ref="A41:J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A414C-84F0-431F-9961-4681C058AA60}">
  <sheetPr codeName="Feuil4">
    <tabColor rgb="FF7030A0"/>
  </sheetPr>
  <dimension ref="A1:K53"/>
  <sheetViews>
    <sheetView workbookViewId="0">
      <selection activeCell="J21" sqref="J21"/>
    </sheetView>
  </sheetViews>
  <sheetFormatPr baseColWidth="10" defaultColWidth="8.6640625" defaultRowHeight="13.8" x14ac:dyDescent="0.25"/>
  <cols>
    <col min="1" max="1" width="8.6640625" style="70"/>
    <col min="2" max="2" width="46.33203125" style="70" customWidth="1"/>
    <col min="3" max="3" width="11.44140625" style="70" customWidth="1"/>
    <col min="4" max="4" width="12.33203125" style="70" customWidth="1"/>
    <col min="5" max="5" width="14" style="70" customWidth="1"/>
    <col min="6" max="6" width="16.44140625" style="70" customWidth="1"/>
    <col min="7" max="7" width="18" style="70" customWidth="1"/>
    <col min="8" max="8" width="17.5546875" style="70" customWidth="1"/>
    <col min="9" max="9" width="15.44140625" style="70" customWidth="1"/>
    <col min="10" max="10" width="8.6640625" style="70"/>
    <col min="11" max="11" width="15.44140625" style="70" customWidth="1"/>
    <col min="12" max="16384" width="8.6640625" style="70"/>
  </cols>
  <sheetData>
    <row r="1" spans="1:10" x14ac:dyDescent="0.25">
      <c r="A1" s="161" t="s">
        <v>118</v>
      </c>
    </row>
    <row r="2" spans="1:10" x14ac:dyDescent="0.25">
      <c r="A2" s="161"/>
    </row>
    <row r="3" spans="1:10" x14ac:dyDescent="0.25">
      <c r="A3" s="171" t="s">
        <v>119</v>
      </c>
    </row>
    <row r="5" spans="1:10" x14ac:dyDescent="0.25">
      <c r="F5" s="162" t="s">
        <v>120</v>
      </c>
      <c r="G5" s="150" t="s">
        <v>121</v>
      </c>
      <c r="H5" s="150" t="s">
        <v>122</v>
      </c>
      <c r="I5" s="162"/>
    </row>
    <row r="6" spans="1:10" s="163" customFormat="1" ht="55.2" x14ac:dyDescent="0.25">
      <c r="B6" s="160"/>
      <c r="C6" s="160"/>
      <c r="D6" s="160"/>
      <c r="E6" s="160"/>
      <c r="F6" s="164" t="s">
        <v>123</v>
      </c>
      <c r="G6" s="164" t="s">
        <v>124</v>
      </c>
      <c r="H6" s="164" t="s">
        <v>125</v>
      </c>
      <c r="I6" s="164"/>
    </row>
    <row r="7" spans="1:10" s="163" customFormat="1" x14ac:dyDescent="0.25">
      <c r="B7" s="165"/>
      <c r="C7" s="153"/>
      <c r="D7" s="160"/>
      <c r="E7" s="160"/>
      <c r="F7" s="164"/>
      <c r="G7" s="164"/>
      <c r="H7" s="164"/>
      <c r="I7" s="164"/>
    </row>
    <row r="8" spans="1:10" s="163" customFormat="1" x14ac:dyDescent="0.25">
      <c r="B8" s="160"/>
      <c r="C8" s="160"/>
      <c r="D8" s="84"/>
      <c r="E8" s="84"/>
      <c r="F8" s="164"/>
      <c r="G8" s="164"/>
      <c r="H8" s="164"/>
      <c r="I8" s="164"/>
      <c r="J8" s="267"/>
    </row>
    <row r="9" spans="1:10" ht="14.4" x14ac:dyDescent="0.3">
      <c r="B9" s="268"/>
      <c r="C9" s="98"/>
      <c r="D9" s="98"/>
      <c r="E9" s="98"/>
      <c r="F9" s="98"/>
      <c r="G9" s="98"/>
      <c r="H9" s="98"/>
      <c r="I9" s="98"/>
    </row>
    <row r="10" spans="1:10" ht="15.6" customHeight="1" x14ac:dyDescent="0.25">
      <c r="B10" s="98"/>
      <c r="C10" s="75"/>
      <c r="D10" s="269"/>
      <c r="E10" s="158"/>
      <c r="F10" s="166"/>
      <c r="G10" s="166"/>
      <c r="H10" s="166"/>
      <c r="I10" s="98"/>
    </row>
    <row r="11" spans="1:10" ht="15" customHeight="1" x14ac:dyDescent="0.25">
      <c r="B11" s="98"/>
      <c r="C11" s="75"/>
      <c r="D11" s="269"/>
      <c r="E11" s="158"/>
      <c r="F11" s="166"/>
      <c r="G11" s="166"/>
      <c r="H11" s="166"/>
      <c r="I11" s="98"/>
    </row>
    <row r="12" spans="1:10" x14ac:dyDescent="0.25">
      <c r="B12" s="98"/>
      <c r="C12" s="75"/>
      <c r="D12" s="269"/>
      <c r="E12" s="158"/>
      <c r="F12" s="166"/>
      <c r="G12" s="166"/>
      <c r="H12" s="166"/>
      <c r="I12" s="98"/>
    </row>
    <row r="13" spans="1:10" x14ac:dyDescent="0.25">
      <c r="B13" s="98"/>
      <c r="C13" s="75"/>
      <c r="D13" s="269"/>
      <c r="E13" s="158"/>
      <c r="F13" s="166"/>
      <c r="G13" s="166"/>
      <c r="H13" s="166"/>
      <c r="I13" s="98"/>
    </row>
    <row r="14" spans="1:10" ht="28.2" customHeight="1" x14ac:dyDescent="0.25">
      <c r="B14" s="160"/>
      <c r="C14" s="75"/>
      <c r="D14" s="269"/>
      <c r="E14" s="158"/>
      <c r="F14" s="166"/>
      <c r="G14" s="166"/>
      <c r="H14" s="166"/>
      <c r="I14" s="98"/>
    </row>
    <row r="15" spans="1:10" x14ac:dyDescent="0.25">
      <c r="B15" s="98"/>
      <c r="C15" s="75"/>
      <c r="D15" s="269"/>
      <c r="E15" s="75"/>
      <c r="F15" s="166"/>
      <c r="G15" s="166"/>
      <c r="H15" s="166"/>
      <c r="I15" s="98"/>
    </row>
    <row r="16" spans="1:10" x14ac:dyDescent="0.25">
      <c r="B16" s="98"/>
      <c r="C16" s="98"/>
      <c r="D16" s="98"/>
      <c r="E16" s="75"/>
      <c r="F16" s="166"/>
      <c r="G16" s="166"/>
      <c r="H16" s="166"/>
      <c r="I16" s="98"/>
    </row>
    <row r="17" spans="2:11" x14ac:dyDescent="0.25">
      <c r="B17" s="98"/>
      <c r="C17" s="75"/>
      <c r="D17" s="98"/>
      <c r="E17" s="98"/>
      <c r="F17" s="166"/>
      <c r="G17" s="166"/>
      <c r="H17" s="166"/>
      <c r="I17" s="98"/>
    </row>
    <row r="18" spans="2:11" x14ac:dyDescent="0.25">
      <c r="B18" s="98"/>
      <c r="C18" s="75"/>
      <c r="D18" s="98"/>
      <c r="E18" s="98"/>
      <c r="F18" s="166"/>
      <c r="G18" s="166"/>
      <c r="H18" s="166"/>
      <c r="I18" s="98"/>
    </row>
    <row r="19" spans="2:11" ht="15" customHeight="1" x14ac:dyDescent="0.25">
      <c r="B19" s="160"/>
      <c r="C19" s="75"/>
      <c r="D19" s="98"/>
      <c r="E19" s="98"/>
      <c r="F19" s="166"/>
      <c r="G19" s="166"/>
      <c r="H19" s="166"/>
      <c r="I19" s="98"/>
    </row>
    <row r="20" spans="2:11" x14ac:dyDescent="0.25">
      <c r="B20" s="98"/>
      <c r="C20" s="75"/>
      <c r="D20" s="98"/>
      <c r="E20" s="98"/>
      <c r="F20" s="166"/>
      <c r="G20" s="166"/>
      <c r="H20" s="166"/>
      <c r="I20" s="98"/>
    </row>
    <row r="21" spans="2:11" x14ac:dyDescent="0.25">
      <c r="B21" s="98"/>
      <c r="C21" s="98"/>
      <c r="D21" s="98"/>
      <c r="E21" s="75"/>
      <c r="F21" s="166"/>
      <c r="G21" s="166"/>
      <c r="H21" s="166"/>
      <c r="I21" s="98"/>
    </row>
    <row r="22" spans="2:11" ht="14.4" x14ac:dyDescent="0.3">
      <c r="B22" s="98"/>
      <c r="C22" s="98"/>
      <c r="D22" s="98"/>
      <c r="E22" s="75"/>
      <c r="F22" s="166"/>
      <c r="G22" s="166"/>
      <c r="H22" s="166"/>
      <c r="I22" s="268"/>
    </row>
    <row r="23" spans="2:11" ht="14.4" x14ac:dyDescent="0.3">
      <c r="B23" s="98"/>
      <c r="C23" s="75"/>
      <c r="D23" s="167"/>
      <c r="E23" s="75"/>
      <c r="F23" s="166"/>
      <c r="G23" s="166"/>
      <c r="H23" s="166"/>
      <c r="I23" s="268"/>
    </row>
    <row r="24" spans="2:11" ht="14.4" x14ac:dyDescent="0.3">
      <c r="B24" s="98"/>
      <c r="C24" s="75"/>
      <c r="D24" s="167"/>
      <c r="E24" s="75"/>
      <c r="F24" s="166"/>
      <c r="G24" s="166"/>
      <c r="H24" s="166"/>
      <c r="I24" s="268"/>
    </row>
    <row r="25" spans="2:11" ht="14.4" x14ac:dyDescent="0.3">
      <c r="B25" s="98"/>
      <c r="C25" s="75"/>
      <c r="D25" s="167"/>
      <c r="E25" s="75"/>
      <c r="F25" s="166"/>
      <c r="G25" s="166"/>
      <c r="H25" s="166"/>
      <c r="I25" s="268"/>
    </row>
    <row r="26" spans="2:11" ht="14.4" x14ac:dyDescent="0.3">
      <c r="B26" s="98"/>
      <c r="C26" s="98"/>
      <c r="D26" s="98"/>
      <c r="E26" s="75"/>
      <c r="F26" s="166"/>
      <c r="G26" s="166"/>
      <c r="H26" s="166"/>
      <c r="I26" s="268"/>
      <c r="J26" s="270"/>
    </row>
    <row r="27" spans="2:11" ht="14.4" x14ac:dyDescent="0.3">
      <c r="B27" s="98"/>
      <c r="C27" s="98"/>
      <c r="D27" s="98"/>
      <c r="E27" s="75"/>
      <c r="F27" s="166"/>
      <c r="G27" s="166"/>
      <c r="H27" s="166"/>
      <c r="I27" s="268"/>
    </row>
    <row r="28" spans="2:11" ht="14.4" x14ac:dyDescent="0.3">
      <c r="B28" s="98"/>
      <c r="C28" s="98"/>
      <c r="D28" s="98"/>
      <c r="E28" s="75"/>
      <c r="F28" s="166"/>
      <c r="G28" s="166"/>
      <c r="H28" s="166"/>
      <c r="I28" s="268"/>
    </row>
    <row r="29" spans="2:11" x14ac:dyDescent="0.25">
      <c r="B29" s="98"/>
      <c r="C29" s="98"/>
      <c r="D29" s="98"/>
      <c r="E29" s="98"/>
      <c r="F29" s="166"/>
      <c r="G29" s="166"/>
      <c r="H29" s="166"/>
      <c r="I29" s="98"/>
    </row>
    <row r="30" spans="2:11" x14ac:dyDescent="0.25">
      <c r="B30" s="98"/>
      <c r="C30" s="98"/>
      <c r="D30" s="98"/>
      <c r="E30" s="75"/>
      <c r="F30" s="166"/>
      <c r="G30" s="166"/>
      <c r="H30" s="166"/>
      <c r="I30" s="98"/>
    </row>
    <row r="31" spans="2:11" x14ac:dyDescent="0.25">
      <c r="B31" s="98"/>
      <c r="C31" s="98"/>
      <c r="D31" s="98"/>
      <c r="E31" s="98"/>
      <c r="F31" s="167"/>
      <c r="G31" s="167"/>
      <c r="H31" s="167"/>
      <c r="I31" s="98"/>
    </row>
    <row r="32" spans="2:11" ht="14.4" x14ac:dyDescent="0.3">
      <c r="B32" s="268"/>
      <c r="C32" s="98"/>
      <c r="D32" s="98"/>
      <c r="E32" s="75"/>
      <c r="F32" s="168"/>
      <c r="G32" s="168"/>
      <c r="H32" s="168"/>
      <c r="I32" s="271"/>
      <c r="K32" s="270"/>
    </row>
    <row r="33" spans="1:9" ht="14.4" x14ac:dyDescent="0.3">
      <c r="B33" s="268"/>
      <c r="C33" s="98"/>
      <c r="D33" s="98"/>
      <c r="E33" s="75"/>
      <c r="F33" s="168"/>
      <c r="G33" s="168"/>
      <c r="H33" s="168"/>
      <c r="I33" s="98"/>
    </row>
    <row r="34" spans="1:9" x14ac:dyDescent="0.25">
      <c r="B34" s="98"/>
      <c r="C34" s="98"/>
      <c r="D34" s="271"/>
      <c r="E34" s="98"/>
      <c r="F34" s="169"/>
      <c r="G34" s="169"/>
      <c r="H34" s="169"/>
      <c r="I34" s="98"/>
    </row>
    <row r="35" spans="1:9" x14ac:dyDescent="0.25">
      <c r="B35" s="98"/>
      <c r="C35" s="98"/>
      <c r="D35" s="98"/>
      <c r="E35" s="98"/>
      <c r="F35" s="167"/>
      <c r="G35" s="167"/>
      <c r="H35" s="167"/>
      <c r="I35" s="271"/>
    </row>
    <row r="36" spans="1:9" x14ac:dyDescent="0.25">
      <c r="A36" s="133"/>
      <c r="B36" s="98"/>
      <c r="C36" s="98"/>
      <c r="D36" s="98"/>
      <c r="E36" s="98"/>
      <c r="F36" s="167"/>
      <c r="G36" s="167"/>
      <c r="H36" s="167"/>
      <c r="I36" s="271"/>
    </row>
    <row r="37" spans="1:9" ht="28.2" customHeight="1" x14ac:dyDescent="0.25">
      <c r="B37" s="160"/>
      <c r="C37" s="157"/>
      <c r="D37" s="265"/>
      <c r="E37" s="265"/>
      <c r="F37" s="272"/>
      <c r="G37" s="272"/>
      <c r="H37" s="272"/>
      <c r="I37" s="98"/>
    </row>
    <row r="38" spans="1:9" ht="28.2" customHeight="1" x14ac:dyDescent="0.25">
      <c r="B38" s="160"/>
      <c r="C38" s="157"/>
      <c r="D38" s="265"/>
      <c r="E38" s="265"/>
      <c r="F38" s="272"/>
      <c r="G38" s="272"/>
      <c r="H38" s="272"/>
      <c r="I38" s="98"/>
    </row>
    <row r="39" spans="1:9" ht="14.7" customHeight="1" x14ac:dyDescent="0.25">
      <c r="B39" s="160"/>
      <c r="C39" s="157"/>
      <c r="D39" s="265"/>
      <c r="E39" s="265"/>
      <c r="F39" s="272"/>
      <c r="G39" s="272"/>
      <c r="H39" s="272"/>
      <c r="I39" s="98"/>
    </row>
    <row r="40" spans="1:9" ht="14.7" customHeight="1" x14ac:dyDescent="0.25">
      <c r="B40" s="160"/>
      <c r="C40" s="157"/>
      <c r="D40" s="265"/>
      <c r="E40" s="265"/>
      <c r="F40" s="265"/>
      <c r="G40" s="272"/>
      <c r="H40" s="272"/>
      <c r="I40" s="98"/>
    </row>
    <row r="41" spans="1:9" ht="28.2" customHeight="1" x14ac:dyDescent="0.25">
      <c r="B41" s="160"/>
      <c r="C41" s="157"/>
      <c r="D41" s="265"/>
      <c r="E41" s="265"/>
      <c r="F41" s="272"/>
      <c r="G41" s="272"/>
      <c r="H41" s="272"/>
      <c r="I41" s="98"/>
    </row>
    <row r="42" spans="1:9" x14ac:dyDescent="0.25">
      <c r="B42" s="98"/>
      <c r="C42" s="98"/>
      <c r="D42" s="98"/>
      <c r="E42" s="75"/>
      <c r="F42" s="273"/>
      <c r="G42" s="273"/>
      <c r="H42" s="273"/>
      <c r="I42" s="98"/>
    </row>
    <row r="43" spans="1:9" ht="14.4" x14ac:dyDescent="0.3">
      <c r="B43" s="98"/>
      <c r="C43" s="98"/>
      <c r="D43" s="98"/>
      <c r="E43" s="98"/>
      <c r="F43" s="167"/>
      <c r="G43" s="167"/>
      <c r="H43" s="274"/>
      <c r="I43" s="98"/>
    </row>
    <row r="44" spans="1:9" ht="14.4" x14ac:dyDescent="0.3">
      <c r="B44" s="98"/>
      <c r="C44" s="98"/>
      <c r="D44" s="98"/>
      <c r="E44" s="98"/>
      <c r="F44" s="167"/>
      <c r="G44" s="167"/>
      <c r="H44" s="274"/>
      <c r="I44" s="98"/>
    </row>
    <row r="45" spans="1:9" ht="29.7" customHeight="1" x14ac:dyDescent="0.25">
      <c r="B45" s="160"/>
      <c r="C45" s="160"/>
      <c r="D45" s="160"/>
      <c r="E45" s="160"/>
      <c r="F45" s="160"/>
      <c r="G45" s="160"/>
      <c r="H45" s="160"/>
      <c r="I45" s="98"/>
    </row>
    <row r="46" spans="1:9" ht="28.5" customHeight="1" x14ac:dyDescent="0.25">
      <c r="B46" s="160"/>
      <c r="C46" s="160"/>
      <c r="D46" s="160"/>
      <c r="E46" s="160"/>
      <c r="F46" s="160"/>
      <c r="G46" s="160"/>
      <c r="H46" s="160"/>
      <c r="I46" s="98"/>
    </row>
    <row r="47" spans="1:9" ht="14.4" x14ac:dyDescent="0.3">
      <c r="B47" s="98"/>
      <c r="C47" s="98"/>
      <c r="D47" s="98"/>
      <c r="E47" s="98"/>
      <c r="F47" s="167"/>
      <c r="G47" s="167"/>
      <c r="H47" s="275"/>
      <c r="I47" s="98"/>
    </row>
    <row r="48" spans="1:9" x14ac:dyDescent="0.25">
      <c r="B48" s="98"/>
      <c r="C48" s="98"/>
      <c r="D48" s="98"/>
      <c r="E48" s="98"/>
      <c r="F48" s="167"/>
      <c r="G48" s="167"/>
      <c r="H48" s="167"/>
      <c r="I48" s="167"/>
    </row>
    <row r="49" spans="1:10" x14ac:dyDescent="0.25">
      <c r="B49" s="98"/>
      <c r="C49" s="98"/>
      <c r="D49" s="98"/>
      <c r="E49" s="98"/>
      <c r="F49" s="167"/>
      <c r="G49" s="167"/>
      <c r="H49" s="167"/>
      <c r="I49" s="167"/>
    </row>
    <row r="50" spans="1:10" x14ac:dyDescent="0.25">
      <c r="B50" s="98"/>
      <c r="C50" s="98"/>
      <c r="D50" s="98"/>
      <c r="E50" s="98"/>
      <c r="F50" s="167"/>
      <c r="G50" s="167"/>
      <c r="H50" s="167"/>
      <c r="I50" s="167"/>
    </row>
    <row r="51" spans="1:10" x14ac:dyDescent="0.25">
      <c r="B51" s="98"/>
      <c r="C51" s="98"/>
      <c r="D51" s="98"/>
      <c r="E51" s="98"/>
      <c r="F51" s="167"/>
      <c r="G51" s="167"/>
      <c r="H51" s="167"/>
      <c r="I51" s="167"/>
    </row>
    <row r="52" spans="1:10" ht="28.2" customHeight="1" x14ac:dyDescent="0.3">
      <c r="A52" s="163"/>
      <c r="B52" s="163"/>
      <c r="C52" s="163"/>
      <c r="D52" s="163"/>
      <c r="E52" s="163"/>
      <c r="F52" s="163"/>
      <c r="G52" s="163"/>
      <c r="H52" s="163"/>
      <c r="I52" s="163"/>
      <c r="J52"/>
    </row>
    <row r="53" spans="1:10" x14ac:dyDescent="0.25">
      <c r="B53" s="98"/>
      <c r="C53" s="98"/>
      <c r="D53" s="98"/>
      <c r="E53" s="98"/>
      <c r="F53" s="98"/>
      <c r="G53" s="98"/>
      <c r="H53" s="98"/>
      <c r="I53" s="9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FB8C-0C56-4906-97AB-5EBA4F480760}">
  <sheetPr codeName="Feuil5">
    <tabColor rgb="FF7030A0"/>
  </sheetPr>
  <dimension ref="A1:M61"/>
  <sheetViews>
    <sheetView topLeftCell="A26" workbookViewId="0">
      <selection activeCell="B41" sqref="B41"/>
    </sheetView>
  </sheetViews>
  <sheetFormatPr baseColWidth="10" defaultColWidth="9.33203125" defaultRowHeight="13.8" x14ac:dyDescent="0.25"/>
  <cols>
    <col min="1" max="1" width="9.33203125" style="70"/>
    <col min="2" max="2" width="60.6640625" style="70" customWidth="1"/>
    <col min="3" max="3" width="15.5546875" style="70" customWidth="1"/>
    <col min="4" max="13" width="15.44140625" style="70" customWidth="1"/>
    <col min="14" max="16384" width="9.33203125" style="70"/>
  </cols>
  <sheetData>
    <row r="1" spans="1:13" x14ac:dyDescent="0.25">
      <c r="A1" s="161" t="s">
        <v>126</v>
      </c>
    </row>
    <row r="2" spans="1:13" x14ac:dyDescent="0.25">
      <c r="A2" s="161"/>
      <c r="C2" s="170"/>
    </row>
    <row r="3" spans="1:13" x14ac:dyDescent="0.25">
      <c r="A3" s="69" t="s">
        <v>127</v>
      </c>
      <c r="C3" s="170"/>
    </row>
    <row r="5" spans="1:13" x14ac:dyDescent="0.25">
      <c r="A5" s="133"/>
      <c r="B5" s="100"/>
      <c r="C5" s="150">
        <v>2021</v>
      </c>
      <c r="D5" s="150">
        <v>2022</v>
      </c>
      <c r="E5" s="150">
        <v>2023</v>
      </c>
      <c r="F5" s="150">
        <v>2024</v>
      </c>
      <c r="G5" s="150">
        <v>2025</v>
      </c>
      <c r="H5" s="150">
        <v>2026</v>
      </c>
      <c r="I5" s="150">
        <v>2027</v>
      </c>
      <c r="J5" s="150">
        <v>2028</v>
      </c>
      <c r="K5" s="150">
        <v>2029</v>
      </c>
      <c r="L5" s="150">
        <v>2030</v>
      </c>
      <c r="M5" s="150">
        <v>2031</v>
      </c>
    </row>
    <row r="6" spans="1:13" x14ac:dyDescent="0.25">
      <c r="A6" s="133"/>
      <c r="B6" s="171" t="s">
        <v>128</v>
      </c>
      <c r="C6" s="75"/>
      <c r="D6" s="75"/>
      <c r="E6" s="75"/>
      <c r="F6" s="75"/>
      <c r="G6" s="75"/>
      <c r="H6" s="75"/>
      <c r="I6" s="75"/>
      <c r="J6" s="75"/>
      <c r="K6" s="75"/>
      <c r="L6" s="75"/>
      <c r="M6" s="75"/>
    </row>
    <row r="7" spans="1:13" x14ac:dyDescent="0.25">
      <c r="A7" s="133"/>
      <c r="B7" s="171"/>
      <c r="C7" s="75"/>
      <c r="D7" s="75"/>
      <c r="E7" s="75"/>
      <c r="F7" s="75"/>
      <c r="G7" s="75"/>
      <c r="H7" s="75"/>
      <c r="I7" s="75"/>
      <c r="J7" s="75"/>
      <c r="K7" s="75"/>
      <c r="L7" s="75"/>
      <c r="M7" s="75"/>
    </row>
    <row r="8" spans="1:13" x14ac:dyDescent="0.25">
      <c r="A8" s="133"/>
      <c r="B8" s="100" t="s">
        <v>129</v>
      </c>
      <c r="C8" s="75"/>
      <c r="D8" s="172">
        <v>6820000</v>
      </c>
      <c r="E8" s="172">
        <f>D8</f>
        <v>6820000</v>
      </c>
      <c r="F8" s="172">
        <f t="shared" ref="F8:M8" si="0">E8</f>
        <v>6820000</v>
      </c>
      <c r="G8" s="172">
        <f t="shared" si="0"/>
        <v>6820000</v>
      </c>
      <c r="H8" s="172">
        <f t="shared" si="0"/>
        <v>6820000</v>
      </c>
      <c r="I8" s="172">
        <f t="shared" si="0"/>
        <v>6820000</v>
      </c>
      <c r="J8" s="172">
        <f t="shared" si="0"/>
        <v>6820000</v>
      </c>
      <c r="K8" s="172">
        <f t="shared" si="0"/>
        <v>6820000</v>
      </c>
      <c r="L8" s="172">
        <f t="shared" si="0"/>
        <v>6820000</v>
      </c>
      <c r="M8" s="172">
        <f t="shared" si="0"/>
        <v>6820000</v>
      </c>
    </row>
    <row r="9" spans="1:13" x14ac:dyDescent="0.25">
      <c r="A9" s="133"/>
      <c r="B9" s="100" t="s">
        <v>130</v>
      </c>
      <c r="C9" s="75"/>
      <c r="D9" s="112">
        <v>850000</v>
      </c>
      <c r="E9" s="112">
        <f>ROUND(D9*1.02,0)</f>
        <v>867000</v>
      </c>
      <c r="F9" s="112">
        <f t="shared" ref="F9:M9" si="1">ROUND(E9*1.02,0)</f>
        <v>884340</v>
      </c>
      <c r="G9" s="112">
        <f t="shared" si="1"/>
        <v>902027</v>
      </c>
      <c r="H9" s="112">
        <f t="shared" si="1"/>
        <v>920068</v>
      </c>
      <c r="I9" s="112">
        <f t="shared" si="1"/>
        <v>938469</v>
      </c>
      <c r="J9" s="112">
        <f t="shared" si="1"/>
        <v>957238</v>
      </c>
      <c r="K9" s="112">
        <f t="shared" si="1"/>
        <v>976383</v>
      </c>
      <c r="L9" s="112">
        <f t="shared" si="1"/>
        <v>995911</v>
      </c>
      <c r="M9" s="112">
        <f t="shared" si="1"/>
        <v>1015829</v>
      </c>
    </row>
    <row r="10" spans="1:13" x14ac:dyDescent="0.25">
      <c r="A10" s="133"/>
      <c r="B10" s="100" t="s">
        <v>131</v>
      </c>
      <c r="C10" s="75"/>
      <c r="D10" s="173">
        <f>+D8-D9</f>
        <v>5970000</v>
      </c>
      <c r="E10" s="173">
        <f t="shared" ref="E10:M10" si="2">+E8-E9</f>
        <v>5953000</v>
      </c>
      <c r="F10" s="173">
        <f t="shared" si="2"/>
        <v>5935660</v>
      </c>
      <c r="G10" s="173">
        <f t="shared" si="2"/>
        <v>5917973</v>
      </c>
      <c r="H10" s="173">
        <f t="shared" si="2"/>
        <v>5899932</v>
      </c>
      <c r="I10" s="173">
        <f t="shared" si="2"/>
        <v>5881531</v>
      </c>
      <c r="J10" s="173">
        <f t="shared" si="2"/>
        <v>5862762</v>
      </c>
      <c r="K10" s="173">
        <f t="shared" si="2"/>
        <v>5843617</v>
      </c>
      <c r="L10" s="173">
        <f t="shared" si="2"/>
        <v>5824089</v>
      </c>
      <c r="M10" s="173">
        <f t="shared" si="2"/>
        <v>5804171</v>
      </c>
    </row>
    <row r="11" spans="1:13" ht="14.4" x14ac:dyDescent="0.3">
      <c r="A11" s="133"/>
      <c r="B11" s="100" t="s">
        <v>132</v>
      </c>
      <c r="C11" s="75"/>
      <c r="D11" s="174">
        <f>ROUND(+D10*0.265,0)</f>
        <v>1582050</v>
      </c>
      <c r="E11" s="174">
        <f t="shared" ref="E11:M11" si="3">ROUND(+E10*0.265,0)</f>
        <v>1577545</v>
      </c>
      <c r="F11" s="174">
        <f t="shared" si="3"/>
        <v>1572950</v>
      </c>
      <c r="G11" s="174">
        <f t="shared" si="3"/>
        <v>1568263</v>
      </c>
      <c r="H11" s="174">
        <f t="shared" si="3"/>
        <v>1563482</v>
      </c>
      <c r="I11" s="174">
        <f t="shared" si="3"/>
        <v>1558606</v>
      </c>
      <c r="J11" s="174">
        <f t="shared" si="3"/>
        <v>1553632</v>
      </c>
      <c r="K11" s="174">
        <f t="shared" si="3"/>
        <v>1548559</v>
      </c>
      <c r="L11" s="174">
        <f t="shared" si="3"/>
        <v>1543384</v>
      </c>
      <c r="M11" s="174">
        <f t="shared" si="3"/>
        <v>1538105</v>
      </c>
    </row>
    <row r="12" spans="1:13" ht="14.1" customHeight="1" x14ac:dyDescent="0.25">
      <c r="A12" s="133"/>
      <c r="B12" s="175" t="s">
        <v>133</v>
      </c>
      <c r="C12" s="75"/>
      <c r="D12" s="166">
        <f>+D10-D11</f>
        <v>4387950</v>
      </c>
      <c r="E12" s="166">
        <f t="shared" ref="E12:M12" si="4">+E10-E11</f>
        <v>4375455</v>
      </c>
      <c r="F12" s="166">
        <f t="shared" si="4"/>
        <v>4362710</v>
      </c>
      <c r="G12" s="166">
        <f t="shared" si="4"/>
        <v>4349710</v>
      </c>
      <c r="H12" s="166">
        <f t="shared" si="4"/>
        <v>4336450</v>
      </c>
      <c r="I12" s="166">
        <f t="shared" si="4"/>
        <v>4322925</v>
      </c>
      <c r="J12" s="166">
        <f t="shared" si="4"/>
        <v>4309130</v>
      </c>
      <c r="K12" s="166">
        <f t="shared" si="4"/>
        <v>4295058</v>
      </c>
      <c r="L12" s="166">
        <f t="shared" si="4"/>
        <v>4280705</v>
      </c>
      <c r="M12" s="166">
        <f t="shared" si="4"/>
        <v>4266066</v>
      </c>
    </row>
    <row r="13" spans="1:13" x14ac:dyDescent="0.25">
      <c r="A13" s="133"/>
      <c r="B13" s="100" t="s">
        <v>134</v>
      </c>
      <c r="C13" s="176">
        <f>NPV(0.15, D12:M12)</f>
        <v>21799870.018921066</v>
      </c>
      <c r="D13" s="119"/>
      <c r="E13" s="119"/>
      <c r="F13" s="119"/>
      <c r="G13" s="119"/>
      <c r="H13" s="119"/>
      <c r="I13" s="119"/>
      <c r="J13" s="119"/>
      <c r="K13" s="119"/>
      <c r="L13" s="119"/>
      <c r="M13" s="119"/>
    </row>
    <row r="14" spans="1:13" x14ac:dyDescent="0.25">
      <c r="A14" s="133"/>
      <c r="B14" s="100"/>
      <c r="C14" s="167"/>
      <c r="D14" s="167"/>
      <c r="E14" s="167"/>
      <c r="F14" s="167"/>
      <c r="G14" s="167"/>
      <c r="H14" s="167"/>
      <c r="I14" s="167"/>
      <c r="J14" s="167"/>
      <c r="K14" s="167"/>
      <c r="L14" s="167"/>
      <c r="M14" s="167"/>
    </row>
    <row r="15" spans="1:13" x14ac:dyDescent="0.25">
      <c r="A15" s="177"/>
      <c r="B15" s="171" t="s">
        <v>13</v>
      </c>
      <c r="C15" s="102">
        <v>-20000000</v>
      </c>
      <c r="D15" s="119"/>
      <c r="E15" s="119"/>
      <c r="F15" s="119"/>
      <c r="G15" s="119"/>
      <c r="H15" s="119"/>
      <c r="I15" s="119"/>
      <c r="J15" s="119"/>
      <c r="K15" s="119"/>
      <c r="L15" s="119"/>
      <c r="M15" s="119"/>
    </row>
    <row r="16" spans="1:13" x14ac:dyDescent="0.25">
      <c r="A16" s="177"/>
      <c r="B16" s="171"/>
      <c r="C16" s="178"/>
      <c r="D16" s="165"/>
      <c r="E16" s="165"/>
      <c r="F16" s="165"/>
      <c r="G16" s="165"/>
      <c r="H16" s="165"/>
      <c r="I16" s="165"/>
      <c r="J16" s="165"/>
      <c r="K16" s="165"/>
      <c r="L16" s="165"/>
      <c r="M16" s="165"/>
    </row>
    <row r="17" spans="1:13" x14ac:dyDescent="0.25">
      <c r="A17" s="177"/>
      <c r="B17" s="171" t="s">
        <v>15</v>
      </c>
      <c r="C17" s="102">
        <f>-C15*0.265</f>
        <v>5300000</v>
      </c>
      <c r="D17" s="119"/>
      <c r="E17" s="119"/>
      <c r="F17" s="119"/>
      <c r="G17" s="119"/>
      <c r="H17" s="119"/>
      <c r="I17" s="119"/>
      <c r="J17" s="119"/>
      <c r="K17" s="119"/>
      <c r="L17" s="119"/>
      <c r="M17" s="119"/>
    </row>
    <row r="18" spans="1:13" x14ac:dyDescent="0.25">
      <c r="A18" s="177"/>
      <c r="B18" s="100"/>
      <c r="C18" s="178"/>
      <c r="D18" s="165"/>
      <c r="E18" s="165"/>
      <c r="F18" s="165"/>
      <c r="G18" s="165"/>
      <c r="H18" s="165"/>
      <c r="I18" s="165"/>
      <c r="J18" s="165"/>
      <c r="K18" s="165"/>
      <c r="L18" s="165"/>
      <c r="M18" s="165"/>
    </row>
    <row r="19" spans="1:13" ht="14.4" thickBot="1" x14ac:dyDescent="0.3">
      <c r="A19" s="177"/>
      <c r="B19" s="171" t="s">
        <v>135</v>
      </c>
      <c r="C19" s="179">
        <f>SUM(C13:C18)</f>
        <v>7099870.0189210661</v>
      </c>
      <c r="D19" s="98"/>
      <c r="E19" s="98"/>
      <c r="F19" s="98"/>
      <c r="G19" s="98"/>
      <c r="H19" s="98"/>
      <c r="I19" s="98"/>
      <c r="J19" s="98"/>
      <c r="K19" s="98"/>
      <c r="L19" s="98"/>
      <c r="M19" s="98"/>
    </row>
    <row r="20" spans="1:13" ht="14.4" thickTop="1" x14ac:dyDescent="0.25">
      <c r="A20" s="133"/>
      <c r="B20" s="100"/>
      <c r="C20" s="117"/>
      <c r="D20" s="117"/>
      <c r="E20" s="117"/>
      <c r="F20" s="117"/>
      <c r="G20" s="117"/>
      <c r="H20" s="117"/>
      <c r="I20" s="98"/>
      <c r="J20" s="98"/>
      <c r="K20" s="98"/>
      <c r="L20" s="98"/>
      <c r="M20" s="98"/>
    </row>
    <row r="21" spans="1:13" x14ac:dyDescent="0.25">
      <c r="A21" s="133"/>
      <c r="B21" s="100"/>
      <c r="C21" s="117"/>
      <c r="D21" s="117"/>
      <c r="E21" s="117"/>
      <c r="F21" s="117"/>
      <c r="G21" s="117"/>
      <c r="H21" s="117"/>
      <c r="I21" s="98"/>
      <c r="J21" s="98"/>
      <c r="K21" s="98"/>
      <c r="L21" s="98"/>
      <c r="M21" s="98"/>
    </row>
    <row r="22" spans="1:13" x14ac:dyDescent="0.25">
      <c r="A22" s="133"/>
      <c r="B22" s="100"/>
      <c r="C22" s="150">
        <v>2021</v>
      </c>
      <c r="D22" s="150">
        <v>2022</v>
      </c>
      <c r="E22" s="150">
        <v>2023</v>
      </c>
      <c r="F22" s="150">
        <v>2024</v>
      </c>
      <c r="G22" s="150">
        <v>2025</v>
      </c>
      <c r="H22" s="150">
        <v>2026</v>
      </c>
      <c r="I22" s="150">
        <v>2027</v>
      </c>
      <c r="J22" s="150">
        <v>2028</v>
      </c>
      <c r="K22" s="150">
        <v>2029</v>
      </c>
      <c r="L22" s="150">
        <v>2030</v>
      </c>
      <c r="M22" s="150">
        <v>2031</v>
      </c>
    </row>
    <row r="23" spans="1:13" ht="28.2" customHeight="1" x14ac:dyDescent="0.25">
      <c r="A23" s="133"/>
      <c r="B23" s="180" t="s">
        <v>136</v>
      </c>
      <c r="C23" s="181"/>
      <c r="D23" s="181"/>
      <c r="E23" s="181"/>
      <c r="F23" s="100"/>
      <c r="G23" s="100"/>
      <c r="H23" s="100"/>
    </row>
    <row r="24" spans="1:13" x14ac:dyDescent="0.25">
      <c r="A24" s="133"/>
      <c r="B24" s="171"/>
      <c r="C24" s="181"/>
      <c r="D24" s="181"/>
      <c r="E24" s="181"/>
      <c r="F24" s="100"/>
      <c r="G24" s="100"/>
      <c r="H24" s="100"/>
    </row>
    <row r="25" spans="1:13" x14ac:dyDescent="0.25">
      <c r="A25" s="133"/>
      <c r="B25" s="100" t="s">
        <v>129</v>
      </c>
      <c r="C25" s="181"/>
      <c r="D25" s="182">
        <v>3420000</v>
      </c>
      <c r="E25" s="182">
        <f>D25</f>
        <v>3420000</v>
      </c>
      <c r="F25" s="182">
        <f t="shared" ref="F25:M25" si="5">E25</f>
        <v>3420000</v>
      </c>
      <c r="G25" s="182">
        <f t="shared" si="5"/>
        <v>3420000</v>
      </c>
      <c r="H25" s="182">
        <f t="shared" si="5"/>
        <v>3420000</v>
      </c>
      <c r="I25" s="182">
        <f t="shared" si="5"/>
        <v>3420000</v>
      </c>
      <c r="J25" s="182">
        <f t="shared" si="5"/>
        <v>3420000</v>
      </c>
      <c r="K25" s="182">
        <f t="shared" si="5"/>
        <v>3420000</v>
      </c>
      <c r="L25" s="182">
        <f t="shared" si="5"/>
        <v>3420000</v>
      </c>
      <c r="M25" s="182">
        <f t="shared" si="5"/>
        <v>3420000</v>
      </c>
    </row>
    <row r="26" spans="1:13" x14ac:dyDescent="0.25">
      <c r="A26" s="133"/>
      <c r="B26" s="100" t="s">
        <v>130</v>
      </c>
      <c r="C26" s="181"/>
      <c r="D26" s="183">
        <v>540000</v>
      </c>
      <c r="E26" s="183">
        <f>ROUND(D26*1.02,0)</f>
        <v>550800</v>
      </c>
      <c r="F26" s="183">
        <f t="shared" ref="F26:M26" si="6">ROUND(E26*1.02,0)</f>
        <v>561816</v>
      </c>
      <c r="G26" s="183">
        <f t="shared" si="6"/>
        <v>573052</v>
      </c>
      <c r="H26" s="183">
        <f t="shared" si="6"/>
        <v>584513</v>
      </c>
      <c r="I26" s="183">
        <f t="shared" si="6"/>
        <v>596203</v>
      </c>
      <c r="J26" s="183">
        <f t="shared" si="6"/>
        <v>608127</v>
      </c>
      <c r="K26" s="183">
        <f t="shared" si="6"/>
        <v>620290</v>
      </c>
      <c r="L26" s="183">
        <f t="shared" si="6"/>
        <v>632696</v>
      </c>
      <c r="M26" s="183">
        <f t="shared" si="6"/>
        <v>645350</v>
      </c>
    </row>
    <row r="27" spans="1:13" x14ac:dyDescent="0.25">
      <c r="A27" s="133"/>
      <c r="B27" s="100" t="s">
        <v>131</v>
      </c>
      <c r="C27" s="181"/>
      <c r="D27" s="184">
        <f>+D25-D26</f>
        <v>2880000</v>
      </c>
      <c r="E27" s="184">
        <f t="shared" ref="E27:M27" si="7">+E25-E26</f>
        <v>2869200</v>
      </c>
      <c r="F27" s="184">
        <f t="shared" si="7"/>
        <v>2858184</v>
      </c>
      <c r="G27" s="184">
        <f t="shared" si="7"/>
        <v>2846948</v>
      </c>
      <c r="H27" s="184">
        <f t="shared" si="7"/>
        <v>2835487</v>
      </c>
      <c r="I27" s="184">
        <f t="shared" si="7"/>
        <v>2823797</v>
      </c>
      <c r="J27" s="184">
        <f t="shared" si="7"/>
        <v>2811873</v>
      </c>
      <c r="K27" s="184">
        <f t="shared" si="7"/>
        <v>2799710</v>
      </c>
      <c r="L27" s="184">
        <f t="shared" si="7"/>
        <v>2787304</v>
      </c>
      <c r="M27" s="184">
        <f t="shared" si="7"/>
        <v>2774650</v>
      </c>
    </row>
    <row r="28" spans="1:13" ht="14.4" x14ac:dyDescent="0.3">
      <c r="A28" s="133"/>
      <c r="B28" s="100" t="s">
        <v>132</v>
      </c>
      <c r="C28" s="181"/>
      <c r="D28" s="185">
        <f>+D27*0.265</f>
        <v>763200</v>
      </c>
      <c r="E28" s="185">
        <f t="shared" ref="E28:M28" si="8">ROUND(+E27*0.265,0)</f>
        <v>760338</v>
      </c>
      <c r="F28" s="185">
        <f t="shared" si="8"/>
        <v>757419</v>
      </c>
      <c r="G28" s="185">
        <f t="shared" si="8"/>
        <v>754441</v>
      </c>
      <c r="H28" s="185">
        <f t="shared" si="8"/>
        <v>751404</v>
      </c>
      <c r="I28" s="185">
        <f t="shared" si="8"/>
        <v>748306</v>
      </c>
      <c r="J28" s="185">
        <f t="shared" si="8"/>
        <v>745146</v>
      </c>
      <c r="K28" s="185">
        <f t="shared" si="8"/>
        <v>741923</v>
      </c>
      <c r="L28" s="185">
        <f t="shared" si="8"/>
        <v>738636</v>
      </c>
      <c r="M28" s="185">
        <f t="shared" si="8"/>
        <v>735282</v>
      </c>
    </row>
    <row r="29" spans="1:13" x14ac:dyDescent="0.25">
      <c r="A29" s="133"/>
      <c r="B29" s="100" t="s">
        <v>133</v>
      </c>
      <c r="C29" s="181"/>
      <c r="D29" s="186">
        <f>+D27-D28</f>
        <v>2116800</v>
      </c>
      <c r="E29" s="186">
        <f t="shared" ref="E29:M29" si="9">+E27-E28</f>
        <v>2108862</v>
      </c>
      <c r="F29" s="186">
        <f t="shared" si="9"/>
        <v>2100765</v>
      </c>
      <c r="G29" s="186">
        <f t="shared" si="9"/>
        <v>2092507</v>
      </c>
      <c r="H29" s="186">
        <f t="shared" si="9"/>
        <v>2084083</v>
      </c>
      <c r="I29" s="186">
        <f t="shared" si="9"/>
        <v>2075491</v>
      </c>
      <c r="J29" s="186">
        <f t="shared" si="9"/>
        <v>2066727</v>
      </c>
      <c r="K29" s="186">
        <f t="shared" si="9"/>
        <v>2057787</v>
      </c>
      <c r="L29" s="186">
        <f t="shared" si="9"/>
        <v>2048668</v>
      </c>
      <c r="M29" s="186">
        <f t="shared" si="9"/>
        <v>2039368</v>
      </c>
    </row>
    <row r="30" spans="1:13" x14ac:dyDescent="0.25">
      <c r="A30" s="133"/>
      <c r="B30" s="100"/>
      <c r="C30" s="181"/>
      <c r="D30" s="187"/>
      <c r="E30" s="187"/>
      <c r="F30" s="100"/>
      <c r="G30" s="100"/>
      <c r="H30" s="100"/>
    </row>
    <row r="31" spans="1:13" x14ac:dyDescent="0.25">
      <c r="A31" s="133"/>
      <c r="B31" s="100" t="s">
        <v>134</v>
      </c>
      <c r="C31" s="188">
        <f>NPV(0.15,(D29:M29))</f>
        <v>10482546.00988513</v>
      </c>
      <c r="D31" s="118"/>
      <c r="E31" s="118"/>
      <c r="F31" s="118"/>
      <c r="G31" s="118"/>
      <c r="H31" s="118"/>
      <c r="I31" s="118"/>
      <c r="J31" s="118"/>
      <c r="K31" s="118"/>
      <c r="L31" s="118"/>
      <c r="M31" s="118"/>
    </row>
    <row r="32" spans="1:13" x14ac:dyDescent="0.25">
      <c r="A32" s="133"/>
      <c r="B32" s="100"/>
      <c r="C32" s="118"/>
      <c r="D32" s="187"/>
      <c r="E32" s="187"/>
      <c r="F32" s="100"/>
      <c r="G32" s="100"/>
      <c r="H32" s="100"/>
    </row>
    <row r="33" spans="1:13" x14ac:dyDescent="0.25">
      <c r="A33" s="133"/>
      <c r="B33" s="171" t="s">
        <v>13</v>
      </c>
      <c r="C33" s="101">
        <v>-10000000</v>
      </c>
      <c r="D33" s="187"/>
      <c r="E33" s="187"/>
      <c r="F33" s="100"/>
      <c r="G33" s="100"/>
      <c r="H33" s="100"/>
    </row>
    <row r="34" spans="1:13" x14ac:dyDescent="0.25">
      <c r="A34" s="133"/>
      <c r="B34" s="171"/>
      <c r="C34" s="189"/>
      <c r="D34" s="187"/>
      <c r="E34" s="187"/>
      <c r="F34" s="100"/>
      <c r="G34" s="100"/>
      <c r="H34" s="100"/>
    </row>
    <row r="35" spans="1:13" x14ac:dyDescent="0.25">
      <c r="A35" s="133"/>
      <c r="B35" s="171" t="s">
        <v>15</v>
      </c>
      <c r="C35" s="183">
        <f>-C33*0.265</f>
        <v>2650000</v>
      </c>
      <c r="D35" s="187"/>
      <c r="E35" s="187"/>
      <c r="F35" s="100"/>
      <c r="G35" s="100"/>
      <c r="H35" s="100"/>
    </row>
    <row r="36" spans="1:13" x14ac:dyDescent="0.25">
      <c r="A36" s="133"/>
      <c r="B36" s="100"/>
      <c r="C36" s="189"/>
      <c r="D36" s="187"/>
      <c r="E36" s="187"/>
      <c r="F36" s="100"/>
      <c r="G36" s="100"/>
      <c r="H36" s="100"/>
    </row>
    <row r="37" spans="1:13" ht="14.4" thickBot="1" x14ac:dyDescent="0.3">
      <c r="A37" s="133"/>
      <c r="B37" s="171" t="s">
        <v>137</v>
      </c>
      <c r="C37" s="190">
        <f>SUM(C31:C35)</f>
        <v>3132546.0098851305</v>
      </c>
      <c r="D37" s="187"/>
      <c r="E37" s="187"/>
      <c r="F37" s="100"/>
      <c r="G37" s="100"/>
      <c r="H37" s="100"/>
    </row>
    <row r="38" spans="1:13" ht="14.4" thickTop="1" x14ac:dyDescent="0.25">
      <c r="A38" s="133"/>
      <c r="B38" s="100"/>
      <c r="C38" s="100"/>
      <c r="D38" s="100"/>
      <c r="E38" s="100"/>
      <c r="F38" s="100"/>
      <c r="G38" s="100"/>
      <c r="H38" s="100"/>
    </row>
    <row r="39" spans="1:13" x14ac:dyDescent="0.25">
      <c r="A39" s="133"/>
      <c r="B39" s="100"/>
      <c r="C39" s="100"/>
      <c r="D39" s="100"/>
      <c r="E39" s="100"/>
      <c r="F39" s="100"/>
      <c r="G39" s="100"/>
      <c r="H39" s="100"/>
    </row>
    <row r="40" spans="1:13" x14ac:dyDescent="0.25">
      <c r="A40" s="133"/>
      <c r="B40" s="98"/>
      <c r="C40" s="117"/>
      <c r="D40" s="117"/>
      <c r="E40" s="117"/>
      <c r="F40" s="117"/>
      <c r="G40" s="117"/>
      <c r="H40" s="117"/>
      <c r="I40" s="98"/>
      <c r="J40" s="98"/>
      <c r="K40" s="98"/>
      <c r="L40" s="98"/>
      <c r="M40" s="98"/>
    </row>
    <row r="41" spans="1:13" x14ac:dyDescent="0.25">
      <c r="A41" s="133"/>
      <c r="B41" s="117"/>
      <c r="C41" s="117"/>
      <c r="D41" s="117"/>
      <c r="E41" s="117"/>
      <c r="F41" s="117"/>
      <c r="G41" s="117"/>
      <c r="H41" s="117"/>
      <c r="I41" s="98"/>
      <c r="J41" s="98"/>
      <c r="K41" s="98"/>
      <c r="L41" s="98"/>
      <c r="M41" s="98"/>
    </row>
    <row r="42" spans="1:13" ht="14.1" customHeight="1" x14ac:dyDescent="0.25">
      <c r="A42" s="133"/>
      <c r="B42" s="288"/>
      <c r="C42" s="288"/>
      <c r="D42" s="288"/>
      <c r="E42" s="288"/>
      <c r="F42" s="288"/>
      <c r="G42" s="288"/>
      <c r="H42" s="288"/>
      <c r="I42" s="288"/>
      <c r="J42" s="288"/>
      <c r="K42" s="288"/>
      <c r="L42" s="288"/>
      <c r="M42" s="288"/>
    </row>
    <row r="43" spans="1:13" x14ac:dyDescent="0.25">
      <c r="A43" s="133"/>
      <c r="B43" s="117"/>
      <c r="C43" s="119"/>
      <c r="D43" s="119"/>
      <c r="E43" s="119"/>
      <c r="F43" s="117"/>
      <c r="G43" s="117"/>
      <c r="H43" s="117"/>
      <c r="I43" s="98"/>
      <c r="J43" s="98"/>
      <c r="K43" s="98"/>
      <c r="L43" s="98"/>
      <c r="M43" s="98"/>
    </row>
    <row r="44" spans="1:13" x14ac:dyDescent="0.25">
      <c r="A44" s="133"/>
      <c r="B44" s="117"/>
      <c r="C44" s="119"/>
      <c r="D44" s="119"/>
      <c r="E44" s="119"/>
      <c r="F44" s="117"/>
      <c r="G44" s="117"/>
      <c r="H44" s="117"/>
      <c r="I44" s="98"/>
      <c r="J44" s="98"/>
      <c r="K44" s="98"/>
      <c r="L44" s="98"/>
      <c r="M44" s="98"/>
    </row>
    <row r="45" spans="1:13" x14ac:dyDescent="0.25">
      <c r="B45" s="98"/>
      <c r="C45" s="75"/>
      <c r="D45" s="75"/>
      <c r="E45" s="75"/>
      <c r="F45" s="75"/>
      <c r="G45" s="75"/>
      <c r="H45" s="75"/>
      <c r="I45" s="75"/>
      <c r="J45" s="75"/>
      <c r="K45" s="75"/>
      <c r="L45" s="75"/>
      <c r="M45" s="75"/>
    </row>
    <row r="46" spans="1:13" x14ac:dyDescent="0.25">
      <c r="B46" s="69"/>
    </row>
    <row r="47" spans="1:13" x14ac:dyDescent="0.25">
      <c r="C47" s="186"/>
      <c r="D47" s="186"/>
      <c r="E47" s="186"/>
      <c r="F47" s="186"/>
      <c r="G47" s="186"/>
      <c r="H47" s="186"/>
      <c r="I47" s="186"/>
      <c r="J47" s="186"/>
      <c r="K47" s="186"/>
      <c r="L47" s="186"/>
      <c r="M47" s="186"/>
    </row>
    <row r="48" spans="1:13" x14ac:dyDescent="0.25">
      <c r="C48" s="186"/>
      <c r="D48" s="186"/>
      <c r="E48" s="186"/>
      <c r="F48" s="186"/>
      <c r="G48" s="186"/>
      <c r="H48" s="186"/>
      <c r="I48" s="186"/>
      <c r="J48" s="186"/>
      <c r="K48" s="186"/>
      <c r="L48" s="186"/>
      <c r="M48" s="186"/>
    </row>
    <row r="49" spans="2:13" x14ac:dyDescent="0.25">
      <c r="C49" s="186"/>
      <c r="D49" s="186"/>
      <c r="E49" s="186"/>
      <c r="F49" s="186"/>
      <c r="G49" s="186"/>
      <c r="H49" s="186"/>
      <c r="I49" s="186"/>
      <c r="J49" s="186"/>
      <c r="K49" s="186"/>
      <c r="L49" s="186"/>
      <c r="M49" s="186"/>
    </row>
    <row r="50" spans="2:13" x14ac:dyDescent="0.25">
      <c r="C50" s="186"/>
      <c r="D50" s="186"/>
      <c r="E50" s="186"/>
      <c r="F50" s="186"/>
      <c r="G50" s="186"/>
      <c r="H50" s="186"/>
      <c r="I50" s="186"/>
      <c r="J50" s="186"/>
      <c r="K50" s="186"/>
      <c r="L50" s="186"/>
      <c r="M50" s="186"/>
    </row>
    <row r="51" spans="2:13" x14ac:dyDescent="0.25">
      <c r="C51" s="186"/>
      <c r="D51" s="186"/>
      <c r="E51" s="186"/>
      <c r="F51" s="186"/>
      <c r="G51" s="186"/>
      <c r="H51" s="186"/>
      <c r="I51" s="186"/>
      <c r="J51" s="186"/>
      <c r="K51" s="186"/>
      <c r="L51" s="186"/>
      <c r="M51" s="186"/>
    </row>
    <row r="52" spans="2:13" x14ac:dyDescent="0.25">
      <c r="C52" s="182"/>
      <c r="D52" s="182"/>
      <c r="E52" s="182"/>
      <c r="F52" s="182"/>
      <c r="G52" s="182"/>
      <c r="H52" s="182"/>
      <c r="I52" s="182"/>
      <c r="J52" s="182"/>
      <c r="K52" s="182"/>
      <c r="L52" s="182"/>
      <c r="M52" s="182"/>
    </row>
    <row r="53" spans="2:13" x14ac:dyDescent="0.25">
      <c r="C53" s="182"/>
      <c r="D53" s="182"/>
      <c r="E53" s="182"/>
      <c r="F53" s="182"/>
      <c r="G53" s="182"/>
      <c r="H53" s="182"/>
      <c r="I53" s="182"/>
      <c r="J53" s="182"/>
      <c r="K53" s="182"/>
      <c r="L53" s="182"/>
      <c r="M53" s="182"/>
    </row>
    <row r="54" spans="2:13" x14ac:dyDescent="0.25">
      <c r="C54" s="182"/>
      <c r="D54" s="182"/>
      <c r="E54" s="182"/>
      <c r="F54" s="182"/>
      <c r="G54" s="182"/>
      <c r="H54" s="182"/>
      <c r="I54" s="182"/>
      <c r="J54" s="182"/>
      <c r="K54" s="182"/>
      <c r="L54" s="182"/>
      <c r="M54" s="182"/>
    </row>
    <row r="55" spans="2:13" x14ac:dyDescent="0.25">
      <c r="B55" s="69"/>
      <c r="C55" s="182"/>
      <c r="D55" s="182"/>
      <c r="E55" s="182"/>
      <c r="F55" s="182"/>
      <c r="G55" s="182"/>
      <c r="H55" s="182"/>
      <c r="I55" s="182"/>
      <c r="J55" s="182"/>
      <c r="K55" s="182"/>
      <c r="L55" s="182"/>
      <c r="M55" s="182"/>
    </row>
    <row r="56" spans="2:13" x14ac:dyDescent="0.25">
      <c r="C56" s="186"/>
      <c r="D56" s="186"/>
      <c r="E56" s="186"/>
      <c r="F56" s="186"/>
      <c r="G56" s="186"/>
      <c r="H56" s="186"/>
      <c r="I56" s="186"/>
      <c r="J56" s="186"/>
      <c r="K56" s="186"/>
      <c r="L56" s="186"/>
      <c r="M56" s="186"/>
    </row>
    <row r="57" spans="2:13" x14ac:dyDescent="0.25">
      <c r="C57" s="186"/>
      <c r="D57" s="186"/>
      <c r="E57" s="186"/>
      <c r="F57" s="186"/>
      <c r="G57" s="186"/>
      <c r="H57" s="186"/>
      <c r="I57" s="186"/>
      <c r="J57" s="186"/>
      <c r="K57" s="186"/>
      <c r="L57" s="186"/>
      <c r="M57" s="186"/>
    </row>
    <row r="58" spans="2:13" x14ac:dyDescent="0.25">
      <c r="C58" s="186"/>
      <c r="D58" s="186"/>
      <c r="E58" s="186"/>
      <c r="F58" s="186"/>
      <c r="G58" s="186"/>
      <c r="H58" s="186"/>
      <c r="I58" s="186"/>
      <c r="J58" s="186"/>
      <c r="K58" s="186"/>
      <c r="L58" s="186"/>
      <c r="M58" s="186"/>
    </row>
    <row r="59" spans="2:13" x14ac:dyDescent="0.25">
      <c r="C59" s="186"/>
      <c r="D59" s="186"/>
      <c r="E59" s="186"/>
      <c r="F59" s="186"/>
      <c r="G59" s="186"/>
      <c r="H59" s="186"/>
      <c r="I59" s="186"/>
      <c r="J59" s="186"/>
      <c r="K59" s="186"/>
      <c r="L59" s="186"/>
      <c r="M59" s="186"/>
    </row>
    <row r="60" spans="2:13" x14ac:dyDescent="0.25">
      <c r="C60" s="186"/>
      <c r="D60" s="186"/>
      <c r="E60" s="186"/>
      <c r="F60" s="186"/>
      <c r="G60" s="186"/>
      <c r="H60" s="186"/>
      <c r="I60" s="186"/>
      <c r="J60" s="186"/>
      <c r="K60" s="186"/>
      <c r="L60" s="186"/>
      <c r="M60" s="186"/>
    </row>
    <row r="61" spans="2:13" x14ac:dyDescent="0.25">
      <c r="C61" s="182"/>
      <c r="D61" s="182"/>
      <c r="E61" s="182"/>
      <c r="F61" s="182"/>
      <c r="G61" s="182"/>
      <c r="H61" s="182"/>
      <c r="I61" s="182"/>
      <c r="J61" s="182"/>
      <c r="K61" s="182"/>
      <c r="L61" s="182"/>
      <c r="M61" s="182"/>
    </row>
  </sheetData>
  <mergeCells count="1">
    <mergeCell ref="B42:M4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6371A-BDAB-4F23-8664-97BC849CDD6E}">
  <sheetPr codeName="Feuil6">
    <tabColor theme="7" tint="0.39997558519241921"/>
  </sheetPr>
  <dimension ref="A1:N42"/>
  <sheetViews>
    <sheetView topLeftCell="A4" workbookViewId="0">
      <selection activeCell="M33" sqref="M33"/>
    </sheetView>
  </sheetViews>
  <sheetFormatPr baseColWidth="10" defaultColWidth="8.6640625" defaultRowHeight="13.8" x14ac:dyDescent="0.25"/>
  <cols>
    <col min="1" max="1" width="31.33203125" style="68" customWidth="1"/>
    <col min="2" max="2" width="15.44140625" style="68" customWidth="1"/>
    <col min="3" max="3" width="20" style="68" customWidth="1"/>
    <col min="4" max="4" width="18" style="68" bestFit="1" customWidth="1"/>
    <col min="5" max="5" width="16.44140625" style="68" bestFit="1" customWidth="1"/>
    <col min="6" max="6" width="19.44140625" style="68" customWidth="1"/>
    <col min="7" max="7" width="18.5546875" style="68" customWidth="1"/>
    <col min="8" max="8" width="19.5546875" style="68" customWidth="1"/>
    <col min="9" max="9" width="19.6640625" style="68" customWidth="1"/>
    <col min="10" max="10" width="13.44140625" style="68" customWidth="1"/>
    <col min="11" max="11" width="29.44140625" style="68" customWidth="1"/>
    <col min="12" max="12" width="15.6640625" style="68" customWidth="1"/>
    <col min="13" max="13" width="15" style="68" customWidth="1"/>
    <col min="14" max="14" width="6.44140625" style="68" customWidth="1"/>
    <col min="15" max="16384" width="8.6640625" style="68"/>
  </cols>
  <sheetData>
    <row r="1" spans="1:11" s="70" customFormat="1" x14ac:dyDescent="0.25">
      <c r="A1" s="291" t="s">
        <v>138</v>
      </c>
      <c r="B1" s="291"/>
      <c r="C1" s="291"/>
      <c r="D1" s="291"/>
      <c r="E1" s="291"/>
      <c r="F1" s="291"/>
      <c r="G1" s="69"/>
      <c r="H1" s="69"/>
    </row>
    <row r="2" spans="1:11" s="70" customFormat="1" x14ac:dyDescent="0.25">
      <c r="A2" s="123"/>
      <c r="B2" s="123"/>
      <c r="C2" s="123"/>
      <c r="D2" s="123"/>
      <c r="E2" s="123"/>
      <c r="F2" s="123"/>
      <c r="G2" s="69"/>
      <c r="H2" s="69"/>
    </row>
    <row r="3" spans="1:11" x14ac:dyDescent="0.25">
      <c r="A3" s="127" t="s">
        <v>139</v>
      </c>
    </row>
    <row r="4" spans="1:11" x14ac:dyDescent="0.25">
      <c r="A4" s="128"/>
    </row>
    <row r="5" spans="1:11" x14ac:dyDescent="0.25">
      <c r="A5" s="129"/>
    </row>
    <row r="6" spans="1:11" ht="27.6" x14ac:dyDescent="0.25">
      <c r="B6" s="130" t="s">
        <v>10</v>
      </c>
      <c r="C6" s="131" t="s">
        <v>140</v>
      </c>
      <c r="D6" s="131" t="s">
        <v>141</v>
      </c>
      <c r="E6" s="131" t="s">
        <v>142</v>
      </c>
      <c r="K6" s="99"/>
    </row>
    <row r="7" spans="1:11" x14ac:dyDescent="0.25">
      <c r="A7" s="132" t="s">
        <v>143</v>
      </c>
      <c r="B7" s="133"/>
      <c r="C7" s="92">
        <v>5000</v>
      </c>
      <c r="D7" s="92">
        <v>0</v>
      </c>
      <c r="E7" s="92">
        <f>SUM(C7:D7)</f>
        <v>5000</v>
      </c>
      <c r="K7" s="99"/>
    </row>
    <row r="8" spans="1:11" x14ac:dyDescent="0.25">
      <c r="A8" s="132" t="s">
        <v>144</v>
      </c>
      <c r="B8" s="134"/>
      <c r="C8" s="76">
        <v>1095000</v>
      </c>
      <c r="D8" s="76">
        <v>0</v>
      </c>
      <c r="E8" s="76">
        <f>SUM(C8:D8)</f>
        <v>1095000</v>
      </c>
      <c r="K8" s="99"/>
    </row>
    <row r="9" spans="1:11" x14ac:dyDescent="0.25">
      <c r="A9" s="132" t="s">
        <v>145</v>
      </c>
      <c r="B9" s="134"/>
      <c r="C9" s="76">
        <v>1050000</v>
      </c>
      <c r="D9" s="76">
        <v>150000</v>
      </c>
      <c r="E9" s="76">
        <f>SUM(C9:D9)</f>
        <v>1200000</v>
      </c>
      <c r="K9" s="99"/>
    </row>
    <row r="10" spans="1:11" x14ac:dyDescent="0.25">
      <c r="A10" s="132" t="s">
        <v>146</v>
      </c>
      <c r="B10" s="134"/>
      <c r="C10" s="76">
        <v>60000</v>
      </c>
      <c r="D10" s="76">
        <v>0</v>
      </c>
      <c r="E10" s="76">
        <f>SUM(C10:D10)</f>
        <v>60000</v>
      </c>
      <c r="K10" s="99"/>
    </row>
    <row r="11" spans="1:11" x14ac:dyDescent="0.25">
      <c r="A11" s="132" t="s">
        <v>147</v>
      </c>
      <c r="B11" s="133" t="s">
        <v>148</v>
      </c>
      <c r="C11" s="81">
        <v>0</v>
      </c>
      <c r="D11" s="81">
        <f>-M37</f>
        <v>-82080</v>
      </c>
      <c r="E11" s="81">
        <f>SUM(C11:D11)</f>
        <v>-82080</v>
      </c>
      <c r="K11" s="99"/>
    </row>
    <row r="12" spans="1:11" x14ac:dyDescent="0.25">
      <c r="A12" s="132"/>
      <c r="B12" s="134"/>
      <c r="C12" s="76">
        <f>SUM(C7:C11)</f>
        <v>2210000</v>
      </c>
      <c r="D12" s="76">
        <f>SUM(D7:D11)</f>
        <v>67920</v>
      </c>
      <c r="E12" s="76">
        <f>SUM(E7:E11)</f>
        <v>2277920</v>
      </c>
      <c r="K12" s="99"/>
    </row>
    <row r="13" spans="1:11" x14ac:dyDescent="0.25">
      <c r="A13" s="132"/>
      <c r="B13" s="134"/>
      <c r="C13" s="135"/>
      <c r="D13" s="135"/>
      <c r="E13" s="135"/>
      <c r="K13" s="99"/>
    </row>
    <row r="14" spans="1:11" x14ac:dyDescent="0.25">
      <c r="A14" s="132" t="s">
        <v>149</v>
      </c>
      <c r="B14" s="136"/>
      <c r="C14" s="76">
        <v>6448000</v>
      </c>
      <c r="D14" s="76">
        <v>402000</v>
      </c>
      <c r="E14" s="76">
        <f>SUM(C14:D14)</f>
        <v>6850000</v>
      </c>
      <c r="K14" s="99"/>
    </row>
    <row r="15" spans="1:11" ht="14.4" x14ac:dyDescent="0.3">
      <c r="A15" s="132" t="s">
        <v>150</v>
      </c>
      <c r="B15" s="136"/>
      <c r="C15" s="76">
        <v>0</v>
      </c>
      <c r="D15" s="76">
        <v>800000</v>
      </c>
      <c r="E15" s="76">
        <f>SUM(C15:D15)</f>
        <v>800000</v>
      </c>
      <c r="F15" s="120" t="s">
        <v>151</v>
      </c>
      <c r="K15" s="99"/>
    </row>
    <row r="16" spans="1:11" x14ac:dyDescent="0.25">
      <c r="A16" s="132" t="s">
        <v>147</v>
      </c>
      <c r="B16" s="86" t="s">
        <v>148</v>
      </c>
      <c r="C16" s="76">
        <v>0</v>
      </c>
      <c r="D16" s="76">
        <f>-M35</f>
        <v>-500115</v>
      </c>
      <c r="E16" s="76">
        <f>SUM(C16:D16)</f>
        <v>-500115</v>
      </c>
      <c r="K16" s="99"/>
    </row>
    <row r="17" spans="1:14" ht="14.7" customHeight="1" x14ac:dyDescent="0.25">
      <c r="A17" s="132"/>
      <c r="B17" s="86"/>
      <c r="C17" s="80">
        <f>SUM(C12:C16)</f>
        <v>8658000</v>
      </c>
      <c r="D17" s="80">
        <f t="shared" ref="D17:E17" si="0">SUM(D12:D16)</f>
        <v>769805</v>
      </c>
      <c r="E17" s="80">
        <f t="shared" si="0"/>
        <v>9427805</v>
      </c>
      <c r="F17" s="290" t="s">
        <v>152</v>
      </c>
      <c r="G17" s="290"/>
      <c r="H17" s="290"/>
      <c r="I17" s="290"/>
      <c r="J17" s="290"/>
      <c r="K17" s="290"/>
    </row>
    <row r="18" spans="1:14" x14ac:dyDescent="0.25">
      <c r="A18" s="132"/>
      <c r="C18" s="135"/>
      <c r="D18" s="135"/>
      <c r="E18" s="135"/>
      <c r="F18" s="290"/>
      <c r="G18" s="290"/>
      <c r="H18" s="290"/>
      <c r="I18" s="290"/>
      <c r="J18" s="290"/>
      <c r="K18" s="290"/>
    </row>
    <row r="19" spans="1:14" x14ac:dyDescent="0.25">
      <c r="A19" s="132" t="s">
        <v>153</v>
      </c>
      <c r="B19" s="99"/>
      <c r="C19" s="76">
        <v>-241000</v>
      </c>
      <c r="D19" s="76">
        <v>0</v>
      </c>
      <c r="E19" s="76">
        <f>SUM(C19:D19)</f>
        <v>-241000</v>
      </c>
      <c r="G19" s="100"/>
    </row>
    <row r="20" spans="1:14" x14ac:dyDescent="0.25">
      <c r="A20" s="132" t="s">
        <v>154</v>
      </c>
      <c r="B20" s="99"/>
      <c r="C20" s="81">
        <v>-70000</v>
      </c>
      <c r="D20" s="81">
        <v>0</v>
      </c>
      <c r="E20" s="76">
        <f>SUM(C20:D20)</f>
        <v>-70000</v>
      </c>
    </row>
    <row r="21" spans="1:14" x14ac:dyDescent="0.25">
      <c r="A21" s="132" t="s">
        <v>155</v>
      </c>
      <c r="B21" s="137"/>
      <c r="C21" s="82">
        <f>SUM(C17:C20)</f>
        <v>8347000</v>
      </c>
      <c r="D21" s="82">
        <f>SUM(D17:D20)</f>
        <v>769805</v>
      </c>
      <c r="E21" s="82">
        <f>SUM(E17:E20)</f>
        <v>9116805</v>
      </c>
    </row>
    <row r="22" spans="1:14" x14ac:dyDescent="0.25">
      <c r="A22" s="132"/>
      <c r="B22" s="137"/>
      <c r="C22" s="138"/>
      <c r="D22" s="138"/>
      <c r="E22" s="138"/>
    </row>
    <row r="23" spans="1:14" x14ac:dyDescent="0.25">
      <c r="A23" s="132"/>
      <c r="B23" s="137"/>
      <c r="C23" s="138"/>
      <c r="D23" s="138"/>
      <c r="E23" s="138"/>
    </row>
    <row r="24" spans="1:14" x14ac:dyDescent="0.25">
      <c r="A24" s="132"/>
      <c r="B24" s="137"/>
      <c r="C24" s="138"/>
      <c r="D24" s="138"/>
      <c r="E24" s="138"/>
    </row>
    <row r="26" spans="1:14" x14ac:dyDescent="0.25">
      <c r="A26" s="292" t="s">
        <v>156</v>
      </c>
      <c r="B26" s="292"/>
      <c r="C26" s="292"/>
      <c r="D26" s="292"/>
      <c r="E26" s="292"/>
      <c r="F26" s="292"/>
      <c r="G26" s="292"/>
      <c r="H26" s="292"/>
      <c r="I26" s="292"/>
      <c r="J26" s="292"/>
      <c r="K26" s="292"/>
      <c r="L26" s="292"/>
      <c r="M26" s="292"/>
      <c r="N26" s="292"/>
    </row>
    <row r="28" spans="1:14" ht="41.4" x14ac:dyDescent="0.25">
      <c r="A28" s="99"/>
      <c r="B28" s="85" t="s">
        <v>157</v>
      </c>
      <c r="C28" s="85" t="s">
        <v>158</v>
      </c>
      <c r="D28" s="85" t="s">
        <v>159</v>
      </c>
      <c r="E28" s="85" t="s">
        <v>160</v>
      </c>
      <c r="F28" s="85" t="s">
        <v>161</v>
      </c>
      <c r="G28" s="85" t="s">
        <v>162</v>
      </c>
      <c r="H28" s="84" t="s">
        <v>163</v>
      </c>
      <c r="I28" s="85" t="s">
        <v>164</v>
      </c>
      <c r="J28" s="85" t="s">
        <v>165</v>
      </c>
      <c r="K28" s="84" t="s">
        <v>166</v>
      </c>
      <c r="L28" s="85" t="s">
        <v>167</v>
      </c>
      <c r="M28" s="85" t="s">
        <v>168</v>
      </c>
    </row>
    <row r="29" spans="1:14" x14ac:dyDescent="0.25">
      <c r="A29" s="99"/>
      <c r="B29" s="139" t="s">
        <v>47</v>
      </c>
      <c r="C29" s="139" t="s">
        <v>51</v>
      </c>
      <c r="D29" s="139" t="s">
        <v>169</v>
      </c>
      <c r="E29" s="139" t="s">
        <v>170</v>
      </c>
      <c r="F29" s="139" t="s">
        <v>171</v>
      </c>
      <c r="G29" s="139" t="s">
        <v>172</v>
      </c>
      <c r="H29" s="140" t="s">
        <v>173</v>
      </c>
      <c r="I29" s="139" t="s">
        <v>174</v>
      </c>
      <c r="J29" s="139" t="s">
        <v>175</v>
      </c>
      <c r="K29" s="139" t="s">
        <v>176</v>
      </c>
      <c r="L29" s="139" t="s">
        <v>177</v>
      </c>
      <c r="M29" s="139" t="s">
        <v>178</v>
      </c>
    </row>
    <row r="30" spans="1:14" ht="14.4" x14ac:dyDescent="0.25">
      <c r="A30" s="99"/>
      <c r="B30" s="134"/>
      <c r="C30" s="134"/>
      <c r="D30" s="134"/>
      <c r="E30" s="134"/>
      <c r="F30" s="134"/>
      <c r="G30" s="134"/>
      <c r="H30" s="134"/>
      <c r="I30" s="134"/>
      <c r="J30" s="141"/>
      <c r="K30" s="141"/>
      <c r="L30" s="141"/>
      <c r="M30" s="134"/>
    </row>
    <row r="31" spans="1:14" ht="14.4" x14ac:dyDescent="0.25">
      <c r="A31" s="132" t="s">
        <v>179</v>
      </c>
      <c r="B31" s="134"/>
      <c r="C31" s="134"/>
      <c r="D31" s="134"/>
      <c r="E31" s="134"/>
      <c r="F31" s="134"/>
      <c r="G31" s="134"/>
      <c r="H31" s="134"/>
      <c r="I31" s="134"/>
      <c r="J31" s="141"/>
      <c r="K31" s="141"/>
      <c r="L31" s="141"/>
      <c r="M31" s="134"/>
    </row>
    <row r="32" spans="1:14" ht="14.7" customHeight="1" x14ac:dyDescent="0.25">
      <c r="A32" s="142" t="s">
        <v>180</v>
      </c>
      <c r="B32" s="134">
        <v>580000</v>
      </c>
      <c r="C32" s="134">
        <f>0.05*B32</f>
        <v>29000</v>
      </c>
      <c r="D32" s="134">
        <f>B32-C32</f>
        <v>551000</v>
      </c>
      <c r="E32" s="134">
        <v>310000</v>
      </c>
      <c r="F32" s="134">
        <f>D32-E32</f>
        <v>241000</v>
      </c>
      <c r="G32" s="134">
        <f>0.5*F32</f>
        <v>120500</v>
      </c>
      <c r="H32" s="134">
        <f>G32*0.24</f>
        <v>28920</v>
      </c>
      <c r="I32" s="289" t="s">
        <v>181</v>
      </c>
      <c r="J32" s="289"/>
      <c r="K32" s="289"/>
      <c r="L32" s="289"/>
      <c r="M32" s="134">
        <f>C32+H32</f>
        <v>57920</v>
      </c>
    </row>
    <row r="33" spans="1:14" x14ac:dyDescent="0.25">
      <c r="A33" s="142" t="s">
        <v>182</v>
      </c>
      <c r="B33" s="134">
        <v>1710000</v>
      </c>
      <c r="C33" s="134">
        <f>0.05*B33</f>
        <v>85500</v>
      </c>
      <c r="D33" s="134">
        <f>B33-C33</f>
        <v>1624500</v>
      </c>
      <c r="E33" s="134">
        <v>1230000</v>
      </c>
      <c r="F33" s="134">
        <f>D33-E33</f>
        <v>394500</v>
      </c>
      <c r="G33" s="134">
        <f>0.5*F33</f>
        <v>197250</v>
      </c>
      <c r="H33" s="134">
        <f>G33*0.24</f>
        <v>47340</v>
      </c>
      <c r="I33" s="134">
        <f>MIN(E33,D33)</f>
        <v>1230000</v>
      </c>
      <c r="J33" s="134">
        <v>1195000</v>
      </c>
      <c r="K33" s="134">
        <f>I33-J33</f>
        <v>35000</v>
      </c>
      <c r="L33" s="134">
        <f>K33*0.265</f>
        <v>9275</v>
      </c>
      <c r="M33" s="134">
        <f>C33+H33+L33</f>
        <v>142115</v>
      </c>
    </row>
    <row r="34" spans="1:14" ht="24.75" customHeight="1" x14ac:dyDescent="0.25">
      <c r="A34" s="142" t="s">
        <v>14</v>
      </c>
      <c r="B34" s="134">
        <v>4560000</v>
      </c>
      <c r="C34" s="134">
        <f>0.05*B34</f>
        <v>228000</v>
      </c>
      <c r="D34" s="134">
        <f>B34-C34</f>
        <v>4332000</v>
      </c>
      <c r="E34" s="143">
        <v>6240000</v>
      </c>
      <c r="F34" s="289" t="s">
        <v>183</v>
      </c>
      <c r="G34" s="289"/>
      <c r="H34" s="289"/>
      <c r="I34" s="134">
        <f>MIN(F34,D34)</f>
        <v>4332000</v>
      </c>
      <c r="J34" s="134">
        <v>4060000</v>
      </c>
      <c r="K34" s="144">
        <f>I34-J34</f>
        <v>272000</v>
      </c>
      <c r="L34" s="144">
        <f>K34*0.265</f>
        <v>72080</v>
      </c>
      <c r="M34" s="139">
        <f>C34+H34+L34</f>
        <v>300080</v>
      </c>
    </row>
    <row r="35" spans="1:14" ht="14.4" thickBot="1" x14ac:dyDescent="0.3">
      <c r="B35" s="145">
        <f>SUM(B32:B34)</f>
        <v>6850000</v>
      </c>
      <c r="C35" s="146"/>
      <c r="D35" s="146"/>
      <c r="E35" s="146"/>
      <c r="F35" s="146"/>
      <c r="G35" s="146"/>
      <c r="H35" s="146"/>
      <c r="J35" s="147">
        <f>SUM(J33:J34)</f>
        <v>5255000</v>
      </c>
      <c r="L35" s="148" t="s">
        <v>184</v>
      </c>
      <c r="M35" s="134">
        <f>SUM(M32:M34)</f>
        <v>500115</v>
      </c>
      <c r="N35" s="68" t="s">
        <v>185</v>
      </c>
    </row>
    <row r="36" spans="1:14" x14ac:dyDescent="0.25">
      <c r="B36" s="146"/>
      <c r="C36" s="146"/>
      <c r="D36" s="146"/>
      <c r="E36" s="146"/>
      <c r="F36" s="146"/>
      <c r="G36" s="146"/>
      <c r="H36" s="146"/>
      <c r="L36" s="148"/>
      <c r="M36" s="149"/>
    </row>
    <row r="37" spans="1:14" ht="14.25" customHeight="1" x14ac:dyDescent="0.25">
      <c r="A37" s="88" t="s">
        <v>186</v>
      </c>
      <c r="B37" s="124">
        <v>1200000</v>
      </c>
      <c r="C37" s="85">
        <f>0.05*B37</f>
        <v>60000</v>
      </c>
      <c r="D37" s="85">
        <f>B37-C37</f>
        <v>1140000</v>
      </c>
      <c r="E37" s="85">
        <v>956000</v>
      </c>
      <c r="F37" s="85">
        <f>D37-E37</f>
        <v>184000</v>
      </c>
      <c r="G37" s="85">
        <f>0.5*F37</f>
        <v>92000</v>
      </c>
      <c r="H37" s="134">
        <f>G37*0.24</f>
        <v>22080</v>
      </c>
      <c r="I37" s="289" t="s">
        <v>187</v>
      </c>
      <c r="J37" s="289"/>
      <c r="K37" s="289"/>
      <c r="L37" s="289"/>
      <c r="M37" s="124">
        <f>H37+C37</f>
        <v>82080</v>
      </c>
      <c r="N37" s="68" t="s">
        <v>188</v>
      </c>
    </row>
    <row r="38" spans="1:14" x14ac:dyDescent="0.25">
      <c r="B38" s="146"/>
      <c r="C38" s="146"/>
      <c r="D38" s="146"/>
      <c r="E38" s="146"/>
      <c r="F38" s="146"/>
      <c r="G38" s="146"/>
      <c r="H38" s="146"/>
      <c r="L38" s="148"/>
      <c r="M38" s="149"/>
    </row>
    <row r="39" spans="1:14" x14ac:dyDescent="0.25">
      <c r="A39" s="68" t="s">
        <v>189</v>
      </c>
      <c r="B39" s="146"/>
      <c r="C39" s="146"/>
      <c r="D39" s="146"/>
      <c r="E39" s="146"/>
      <c r="F39" s="146"/>
      <c r="G39" s="146"/>
      <c r="H39" s="146"/>
      <c r="L39" s="148"/>
      <c r="M39" s="149"/>
    </row>
    <row r="42" spans="1:14" x14ac:dyDescent="0.25">
      <c r="A42" s="71"/>
    </row>
  </sheetData>
  <mergeCells count="6">
    <mergeCell ref="I37:L37"/>
    <mergeCell ref="F17:K18"/>
    <mergeCell ref="A1:F1"/>
    <mergeCell ref="A26:N26"/>
    <mergeCell ref="I32:L32"/>
    <mergeCell ref="F34:H3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F2ADB-0331-4783-B829-67B1A58517E2}">
  <sheetPr codeName="Feuil7">
    <tabColor theme="7" tint="0.39997558519241921"/>
  </sheetPr>
  <dimension ref="A1:J90"/>
  <sheetViews>
    <sheetView topLeftCell="A44" workbookViewId="0">
      <selection activeCell="C35" sqref="C35"/>
    </sheetView>
  </sheetViews>
  <sheetFormatPr baseColWidth="10" defaultColWidth="8.6640625" defaultRowHeight="13.8" x14ac:dyDescent="0.25"/>
  <cols>
    <col min="1" max="1" width="35.44140625" style="68" customWidth="1"/>
    <col min="2" max="2" width="22.44140625" style="68" customWidth="1"/>
    <col min="3" max="3" width="16.33203125" style="68" customWidth="1"/>
    <col min="4" max="4" width="15.6640625" style="68" customWidth="1"/>
    <col min="5" max="5" width="14.6640625" style="68" customWidth="1"/>
    <col min="6" max="8" width="14.44140625" style="68" customWidth="1"/>
    <col min="9" max="9" width="96.6640625" style="68" customWidth="1"/>
    <col min="10" max="10" width="4.6640625" style="68" bestFit="1" customWidth="1"/>
    <col min="11" max="13" width="10.44140625" style="68" customWidth="1"/>
    <col min="14" max="14" width="3.44140625" style="68" customWidth="1"/>
    <col min="15" max="16384" width="8.6640625" style="68"/>
  </cols>
  <sheetData>
    <row r="1" spans="1:10" ht="15.6" x14ac:dyDescent="0.3">
      <c r="A1" s="282" t="s">
        <v>190</v>
      </c>
      <c r="B1" s="282"/>
      <c r="C1" s="282"/>
      <c r="D1" s="282"/>
      <c r="E1" s="282"/>
    </row>
    <row r="2" spans="1:10" ht="15.6" x14ac:dyDescent="0.3">
      <c r="A2" s="23"/>
      <c r="B2" s="23"/>
      <c r="C2" s="23"/>
      <c r="D2" s="23"/>
      <c r="E2" s="23"/>
    </row>
    <row r="3" spans="1:10" x14ac:dyDescent="0.25">
      <c r="A3" s="292" t="s">
        <v>191</v>
      </c>
      <c r="B3" s="292"/>
      <c r="C3" s="292"/>
      <c r="D3" s="292"/>
      <c r="E3" s="292"/>
      <c r="F3" s="292"/>
      <c r="G3" s="292"/>
      <c r="H3" s="292"/>
      <c r="I3" s="292"/>
      <c r="J3" s="292"/>
    </row>
    <row r="4" spans="1:10" x14ac:dyDescent="0.25">
      <c r="A4" s="72"/>
      <c r="B4" s="72"/>
      <c r="C4" s="73">
        <v>2020</v>
      </c>
      <c r="D4" s="73">
        <v>2019</v>
      </c>
      <c r="E4" s="73">
        <v>2018</v>
      </c>
      <c r="H4" s="74"/>
      <c r="I4" s="74"/>
    </row>
    <row r="5" spans="1:10" x14ac:dyDescent="0.25">
      <c r="A5" s="68" t="s">
        <v>192</v>
      </c>
      <c r="C5" s="76">
        <v>2350000</v>
      </c>
      <c r="D5" s="76">
        <v>1490000</v>
      </c>
      <c r="E5" s="76">
        <v>1020000</v>
      </c>
      <c r="H5" s="77"/>
      <c r="I5" s="77"/>
    </row>
    <row r="6" spans="1:10" x14ac:dyDescent="0.25">
      <c r="C6" s="78"/>
      <c r="D6" s="78"/>
      <c r="E6" s="78"/>
      <c r="H6" s="77"/>
      <c r="I6" s="77"/>
    </row>
    <row r="7" spans="1:10" x14ac:dyDescent="0.25">
      <c r="A7" s="68" t="s">
        <v>193</v>
      </c>
      <c r="C7" s="78"/>
      <c r="D7" s="78"/>
      <c r="E7" s="78"/>
      <c r="H7" s="77"/>
      <c r="I7" s="77"/>
    </row>
    <row r="8" spans="1:10" ht="14.4" x14ac:dyDescent="0.3">
      <c r="A8" s="71" t="s">
        <v>194</v>
      </c>
      <c r="C8" s="76">
        <v>0</v>
      </c>
      <c r="D8" s="76">
        <v>100000</v>
      </c>
      <c r="E8" s="76">
        <v>100000</v>
      </c>
      <c r="F8" s="294" t="s">
        <v>195</v>
      </c>
      <c r="G8" s="294"/>
      <c r="H8" s="294"/>
      <c r="I8" s="294"/>
    </row>
    <row r="9" spans="1:10" ht="15.6" x14ac:dyDescent="0.3">
      <c r="A9" s="79" t="s">
        <v>196</v>
      </c>
      <c r="C9" s="76">
        <v>-125000</v>
      </c>
      <c r="D9" s="76">
        <v>-125000</v>
      </c>
      <c r="E9" s="76">
        <v>-125000</v>
      </c>
      <c r="F9" s="125" t="s">
        <v>197</v>
      </c>
      <c r="H9" s="77"/>
      <c r="I9" s="77"/>
    </row>
    <row r="10" spans="1:10" x14ac:dyDescent="0.25">
      <c r="A10" s="68" t="s">
        <v>198</v>
      </c>
      <c r="C10" s="80">
        <f>SUM(C5:C9)</f>
        <v>2225000</v>
      </c>
      <c r="D10" s="80">
        <f>SUM(D5:D9)</f>
        <v>1465000</v>
      </c>
      <c r="E10" s="80">
        <f>SUM(E5:E9)</f>
        <v>995000</v>
      </c>
      <c r="H10" s="77"/>
      <c r="I10" s="77"/>
    </row>
    <row r="11" spans="1:10" ht="29.1" customHeight="1" x14ac:dyDescent="0.3">
      <c r="A11" s="293" t="s">
        <v>199</v>
      </c>
      <c r="B11" s="293"/>
      <c r="C11" s="76">
        <v>-40000</v>
      </c>
      <c r="D11" s="76">
        <v>-30000</v>
      </c>
      <c r="E11" s="76">
        <v>-25000</v>
      </c>
      <c r="F11" s="120" t="s">
        <v>200</v>
      </c>
      <c r="H11" s="77"/>
      <c r="I11" s="77"/>
    </row>
    <row r="12" spans="1:10" x14ac:dyDescent="0.25">
      <c r="A12" s="68" t="s">
        <v>201</v>
      </c>
      <c r="C12" s="81">
        <v>520000</v>
      </c>
      <c r="D12" s="81">
        <v>500000</v>
      </c>
      <c r="E12" s="81">
        <v>480000</v>
      </c>
      <c r="H12" s="77"/>
      <c r="I12" s="77"/>
    </row>
    <row r="13" spans="1:10" x14ac:dyDescent="0.25">
      <c r="A13" s="68" t="s">
        <v>202</v>
      </c>
      <c r="C13" s="82">
        <f>SUM(C10:C12)</f>
        <v>2705000</v>
      </c>
      <c r="D13" s="82">
        <f>SUM(D10:D12)</f>
        <v>1935000</v>
      </c>
      <c r="E13" s="82">
        <f>SUM(E10:E12)</f>
        <v>1450000</v>
      </c>
      <c r="H13" s="83"/>
      <c r="I13" s="83"/>
    </row>
    <row r="15" spans="1:10" s="87" customFormat="1" ht="41.4" x14ac:dyDescent="0.25">
      <c r="A15" s="68"/>
      <c r="B15" s="68"/>
      <c r="C15" s="84" t="s">
        <v>203</v>
      </c>
      <c r="D15" s="85" t="s">
        <v>204</v>
      </c>
      <c r="E15" s="86"/>
      <c r="H15" s="86"/>
    </row>
    <row r="16" spans="1:10" s="87" customFormat="1" x14ac:dyDescent="0.25">
      <c r="A16" s="68" t="s">
        <v>205</v>
      </c>
      <c r="B16" s="68"/>
      <c r="C16" s="76">
        <f>AVERAGE(C13:E13)</f>
        <v>2030000</v>
      </c>
      <c r="D16" s="76">
        <f>C13</f>
        <v>2705000</v>
      </c>
      <c r="E16" s="86"/>
      <c r="H16" s="86"/>
    </row>
    <row r="17" spans="1:10" s="87" customFormat="1" x14ac:dyDescent="0.25">
      <c r="A17" s="68"/>
      <c r="B17" s="68"/>
      <c r="C17" s="68"/>
      <c r="D17" s="68"/>
      <c r="E17" s="68"/>
      <c r="F17" s="68"/>
      <c r="G17" s="68"/>
      <c r="H17" s="68"/>
    </row>
    <row r="18" spans="1:10" x14ac:dyDescent="0.25">
      <c r="A18" s="89"/>
    </row>
    <row r="19" spans="1:10" x14ac:dyDescent="0.25">
      <c r="A19" s="292" t="s">
        <v>206</v>
      </c>
      <c r="B19" s="292"/>
      <c r="C19" s="292"/>
      <c r="D19" s="292"/>
      <c r="E19" s="292"/>
      <c r="F19" s="292"/>
      <c r="G19" s="292"/>
      <c r="H19" s="292"/>
      <c r="I19" s="292"/>
      <c r="J19" s="292"/>
    </row>
    <row r="20" spans="1:10" x14ac:dyDescent="0.25">
      <c r="D20" s="90" t="s">
        <v>207</v>
      </c>
      <c r="E20" s="91" t="s">
        <v>208</v>
      </c>
    </row>
    <row r="21" spans="1:10" x14ac:dyDescent="0.25">
      <c r="A21" s="68" t="s">
        <v>209</v>
      </c>
      <c r="D21" s="92">
        <f>C16</f>
        <v>2030000</v>
      </c>
      <c r="E21" s="92">
        <f>D16</f>
        <v>2705000</v>
      </c>
    </row>
    <row r="22" spans="1:10" x14ac:dyDescent="0.25">
      <c r="A22" s="68" t="s">
        <v>210</v>
      </c>
      <c r="D22" s="81">
        <f>-0.265*D21</f>
        <v>-537950</v>
      </c>
      <c r="E22" s="81">
        <f>-0.265*E21</f>
        <v>-716825</v>
      </c>
    </row>
    <row r="23" spans="1:10" x14ac:dyDescent="0.25">
      <c r="A23" s="68" t="s">
        <v>211</v>
      </c>
      <c r="D23" s="76">
        <f>SUM(D21:D22)</f>
        <v>1492050</v>
      </c>
      <c r="E23" s="76">
        <f>SUM(E21:E22)</f>
        <v>1988175</v>
      </c>
    </row>
    <row r="24" spans="1:10" x14ac:dyDescent="0.25">
      <c r="D24" s="78"/>
      <c r="E24" s="78"/>
    </row>
    <row r="25" spans="1:10" ht="28.2" customHeight="1" x14ac:dyDescent="0.25">
      <c r="A25" s="293" t="s">
        <v>212</v>
      </c>
      <c r="B25" s="293"/>
      <c r="C25" s="86" t="s">
        <v>213</v>
      </c>
      <c r="D25" s="81">
        <f>-C58</f>
        <v>-587086.95652173914</v>
      </c>
      <c r="E25" s="81">
        <f>-D58</f>
        <v>-589837.16475095786</v>
      </c>
    </row>
    <row r="26" spans="1:10" x14ac:dyDescent="0.25">
      <c r="A26" s="68" t="s">
        <v>214</v>
      </c>
      <c r="D26" s="76">
        <f>SUM(D23:D25)</f>
        <v>904963.04347826086</v>
      </c>
      <c r="E26" s="76">
        <f>SUM(E23:E25)</f>
        <v>1398337.8352490421</v>
      </c>
    </row>
    <row r="27" spans="1:10" x14ac:dyDescent="0.25">
      <c r="D27" s="77"/>
      <c r="E27" s="77"/>
    </row>
    <row r="28" spans="1:10" x14ac:dyDescent="0.25">
      <c r="A28" s="89" t="s">
        <v>215</v>
      </c>
      <c r="D28" s="77"/>
      <c r="E28" s="77"/>
    </row>
    <row r="29" spans="1:10" x14ac:dyDescent="0.25">
      <c r="A29" s="68" t="s">
        <v>216</v>
      </c>
      <c r="D29" s="93">
        <v>0.15</v>
      </c>
      <c r="E29" s="93">
        <v>0.16</v>
      </c>
    </row>
    <row r="30" spans="1:10" x14ac:dyDescent="0.25">
      <c r="A30" s="68" t="s">
        <v>217</v>
      </c>
      <c r="D30" s="94">
        <f>ROUND(1/D29,2)</f>
        <v>6.67</v>
      </c>
      <c r="E30" s="94">
        <f>ROUND(1/E29,2)</f>
        <v>6.25</v>
      </c>
    </row>
    <row r="31" spans="1:10" x14ac:dyDescent="0.25">
      <c r="A31" s="68" t="s">
        <v>218</v>
      </c>
      <c r="D31" s="76">
        <f>D30*D26</f>
        <v>6036103.5</v>
      </c>
      <c r="E31" s="76">
        <f>E30*E26</f>
        <v>8739611.4703065138</v>
      </c>
    </row>
    <row r="32" spans="1:10" x14ac:dyDescent="0.25">
      <c r="D32" s="78"/>
      <c r="E32" s="78"/>
    </row>
    <row r="33" spans="1:8" x14ac:dyDescent="0.25">
      <c r="A33" s="89" t="s">
        <v>219</v>
      </c>
      <c r="D33" s="78"/>
      <c r="E33" s="78"/>
    </row>
    <row r="34" spans="1:8" x14ac:dyDescent="0.25">
      <c r="A34" s="68" t="s">
        <v>220</v>
      </c>
      <c r="C34" s="86" t="s">
        <v>221</v>
      </c>
      <c r="D34" s="81">
        <f>C80</f>
        <v>681468.42105263157</v>
      </c>
      <c r="E34" s="81">
        <f>+D80</f>
        <v>661057.22222222225</v>
      </c>
    </row>
    <row r="35" spans="1:8" x14ac:dyDescent="0.25">
      <c r="A35" s="68" t="s">
        <v>222</v>
      </c>
      <c r="C35" s="86"/>
      <c r="D35" s="76">
        <f>SUM(D31:D34)</f>
        <v>6717571.9210526319</v>
      </c>
      <c r="E35" s="76">
        <f>SUM(E31:E34)</f>
        <v>9400668.6925287358</v>
      </c>
    </row>
    <row r="36" spans="1:8" x14ac:dyDescent="0.25">
      <c r="C36" s="86"/>
      <c r="D36" s="78"/>
      <c r="E36" s="78"/>
    </row>
    <row r="37" spans="1:8" x14ac:dyDescent="0.25">
      <c r="A37" s="89" t="s">
        <v>223</v>
      </c>
      <c r="C37" s="86"/>
      <c r="D37" s="78"/>
      <c r="E37" s="78"/>
    </row>
    <row r="38" spans="1:8" x14ac:dyDescent="0.25">
      <c r="A38" s="68" t="s">
        <v>224</v>
      </c>
      <c r="C38" s="86"/>
      <c r="D38" s="78"/>
      <c r="E38" s="78"/>
    </row>
    <row r="39" spans="1:8" x14ac:dyDescent="0.25">
      <c r="A39" s="68" t="s">
        <v>186</v>
      </c>
      <c r="B39" s="95"/>
      <c r="D39" s="81">
        <v>1117920</v>
      </c>
      <c r="E39" s="81">
        <f>D39</f>
        <v>1117920</v>
      </c>
      <c r="F39" s="71" t="s">
        <v>225</v>
      </c>
    </row>
    <row r="40" spans="1:8" x14ac:dyDescent="0.25">
      <c r="D40" s="78"/>
      <c r="E40" s="78"/>
    </row>
    <row r="41" spans="1:8" x14ac:dyDescent="0.25">
      <c r="A41" s="89" t="s">
        <v>226</v>
      </c>
      <c r="B41" s="89"/>
      <c r="C41" s="89"/>
      <c r="D41" s="126">
        <f>D35+D39</f>
        <v>7835491.9210526319</v>
      </c>
      <c r="E41" s="126">
        <f>E35+E39</f>
        <v>10518588.692528736</v>
      </c>
    </row>
    <row r="42" spans="1:8" x14ac:dyDescent="0.25">
      <c r="D42" s="77"/>
      <c r="E42" s="77"/>
    </row>
    <row r="43" spans="1:8" s="96" customFormat="1" x14ac:dyDescent="0.25">
      <c r="A43" s="89" t="s">
        <v>227</v>
      </c>
      <c r="B43" s="68"/>
      <c r="C43" s="68"/>
      <c r="D43" s="77"/>
      <c r="E43" s="77"/>
    </row>
    <row r="44" spans="1:8" s="96" customFormat="1" x14ac:dyDescent="0.25">
      <c r="A44" s="68" t="s">
        <v>228</v>
      </c>
      <c r="B44" s="68"/>
      <c r="C44" s="68"/>
      <c r="D44" s="76">
        <v>0</v>
      </c>
      <c r="E44" s="76">
        <v>0</v>
      </c>
    </row>
    <row r="45" spans="1:8" s="96" customFormat="1" x14ac:dyDescent="0.25">
      <c r="A45" s="68"/>
      <c r="B45" s="68"/>
      <c r="C45" s="68"/>
      <c r="D45" s="68"/>
      <c r="E45" s="68"/>
    </row>
    <row r="46" spans="1:8" s="96" customFormat="1" ht="14.4" thickBot="1" x14ac:dyDescent="0.3">
      <c r="A46" s="68" t="s">
        <v>229</v>
      </c>
      <c r="B46" s="68"/>
      <c r="C46" s="68"/>
      <c r="D46" s="97">
        <f>D41-D44</f>
        <v>7835491.9210526319</v>
      </c>
      <c r="E46" s="97">
        <f>E41-E44</f>
        <v>10518588.692528736</v>
      </c>
    </row>
    <row r="47" spans="1:8" ht="14.4" thickTop="1" x14ac:dyDescent="0.25">
      <c r="G47" s="77"/>
      <c r="H47" s="77"/>
    </row>
    <row r="48" spans="1:8" x14ac:dyDescent="0.25">
      <c r="A48" s="89"/>
      <c r="G48" s="77"/>
      <c r="H48" s="77"/>
    </row>
    <row r="49" spans="1:10" x14ac:dyDescent="0.25">
      <c r="A49" s="295" t="s">
        <v>230</v>
      </c>
      <c r="B49" s="295"/>
      <c r="C49" s="88"/>
      <c r="D49" s="88"/>
      <c r="E49" s="88"/>
      <c r="F49" s="88"/>
      <c r="G49" s="88"/>
      <c r="H49" s="88"/>
      <c r="I49" s="296"/>
      <c r="J49" s="296"/>
    </row>
    <row r="50" spans="1:10" x14ac:dyDescent="0.25">
      <c r="A50" s="88" t="s">
        <v>148</v>
      </c>
      <c r="B50" s="98"/>
      <c r="C50" s="88"/>
      <c r="D50" s="88"/>
      <c r="E50" s="88"/>
      <c r="F50" s="88"/>
      <c r="G50" s="88"/>
      <c r="H50" s="88"/>
      <c r="I50" s="99"/>
      <c r="J50" s="99"/>
    </row>
    <row r="51" spans="1:10" x14ac:dyDescent="0.25">
      <c r="A51" s="100" t="s">
        <v>16</v>
      </c>
      <c r="B51" s="100"/>
      <c r="C51" s="100"/>
      <c r="D51" s="88"/>
      <c r="F51" s="88"/>
      <c r="G51" s="88"/>
      <c r="H51" s="88"/>
      <c r="I51" s="99"/>
      <c r="J51" s="99"/>
    </row>
    <row r="52" spans="1:10" x14ac:dyDescent="0.25">
      <c r="A52" s="100"/>
      <c r="B52" s="100" t="s">
        <v>231</v>
      </c>
      <c r="C52" s="101">
        <v>700000</v>
      </c>
      <c r="D52" s="102">
        <v>700000</v>
      </c>
      <c r="F52" s="88"/>
      <c r="G52" s="88"/>
      <c r="H52" s="88"/>
      <c r="I52" s="99"/>
      <c r="J52" s="99"/>
    </row>
    <row r="53" spans="1:10" x14ac:dyDescent="0.25">
      <c r="A53" s="100"/>
      <c r="B53" s="100" t="s">
        <v>232</v>
      </c>
      <c r="C53" s="103">
        <v>0.2</v>
      </c>
      <c r="D53" s="104">
        <v>0.2</v>
      </c>
      <c r="F53" s="88"/>
      <c r="G53" s="88"/>
      <c r="H53" s="88"/>
      <c r="I53" s="99"/>
      <c r="J53" s="99"/>
    </row>
    <row r="54" spans="1:10" x14ac:dyDescent="0.25">
      <c r="A54" s="100"/>
      <c r="B54" s="100" t="s">
        <v>233</v>
      </c>
      <c r="C54" s="105">
        <v>0.26500000000000001</v>
      </c>
      <c r="D54" s="106">
        <v>0.26500000000000001</v>
      </c>
      <c r="F54" s="88"/>
      <c r="G54" s="107"/>
      <c r="H54" s="108"/>
      <c r="I54" s="99"/>
      <c r="J54" s="99"/>
    </row>
    <row r="55" spans="1:10" x14ac:dyDescent="0.25">
      <c r="A55" s="100"/>
      <c r="B55" s="100" t="s">
        <v>234</v>
      </c>
      <c r="C55" s="109">
        <v>0.15</v>
      </c>
      <c r="D55" s="110">
        <v>0.16</v>
      </c>
      <c r="F55" s="88"/>
      <c r="G55" s="88"/>
      <c r="H55" s="108"/>
      <c r="I55" s="99"/>
      <c r="J55" s="99"/>
    </row>
    <row r="56" spans="1:10" ht="28.2" customHeight="1" x14ac:dyDescent="0.25">
      <c r="A56" s="100"/>
      <c r="B56" s="111" t="s">
        <v>235</v>
      </c>
      <c r="C56" s="112">
        <f>(((C52*C53*C54)/(C53+C55)))*((1+1.5*C55)/(1+C55))</f>
        <v>112913.04347826088</v>
      </c>
      <c r="D56" s="112">
        <f>(((D52*D53*D54)/(D53+D55)))*((1+1.5*D55)/(1+D55))</f>
        <v>110162.83524904217</v>
      </c>
      <c r="F56" s="88"/>
      <c r="G56" s="88"/>
      <c r="H56" s="88"/>
      <c r="I56" s="99"/>
      <c r="J56" s="99"/>
    </row>
    <row r="57" spans="1:10" x14ac:dyDescent="0.25">
      <c r="A57" s="100"/>
      <c r="B57" s="100"/>
      <c r="C57" s="113"/>
      <c r="D57" s="114"/>
      <c r="F57" s="88"/>
      <c r="G57" s="88"/>
      <c r="H57" s="88"/>
      <c r="I57" s="99"/>
      <c r="J57" s="99"/>
    </row>
    <row r="58" spans="1:10" x14ac:dyDescent="0.25">
      <c r="A58" s="68" t="s">
        <v>236</v>
      </c>
      <c r="B58" s="88"/>
      <c r="C58" s="115">
        <f>C52-C56</f>
        <v>587086.95652173914</v>
      </c>
      <c r="D58" s="115">
        <f>D52-D56</f>
        <v>589837.16475095786</v>
      </c>
      <c r="F58" s="88"/>
      <c r="G58" s="88"/>
      <c r="H58" s="88"/>
      <c r="I58" s="99"/>
      <c r="J58" s="99"/>
    </row>
    <row r="59" spans="1:10" x14ac:dyDescent="0.25">
      <c r="A59" s="88"/>
      <c r="C59" s="88"/>
      <c r="D59" s="88"/>
      <c r="E59" s="88"/>
      <c r="F59" s="88"/>
      <c r="G59" s="88"/>
      <c r="H59" s="88"/>
      <c r="I59" s="99"/>
      <c r="J59" s="99"/>
    </row>
    <row r="60" spans="1:10" x14ac:dyDescent="0.25">
      <c r="A60" s="88" t="s">
        <v>237</v>
      </c>
      <c r="C60" s="88"/>
      <c r="D60" s="88"/>
      <c r="E60" s="88"/>
      <c r="F60" s="88"/>
      <c r="G60" s="88"/>
      <c r="H60" s="88"/>
      <c r="I60" s="99"/>
      <c r="J60" s="99"/>
    </row>
    <row r="61" spans="1:10" x14ac:dyDescent="0.25">
      <c r="A61" s="88"/>
      <c r="C61" s="88"/>
      <c r="D61" s="88"/>
      <c r="E61" s="88"/>
      <c r="F61" s="88"/>
      <c r="G61" s="88"/>
      <c r="H61" s="88"/>
      <c r="I61" s="99"/>
      <c r="J61" s="99"/>
    </row>
    <row r="62" spans="1:10" x14ac:dyDescent="0.25">
      <c r="A62" s="116" t="s">
        <v>238</v>
      </c>
      <c r="B62" s="88"/>
      <c r="C62" s="88"/>
      <c r="D62" s="88"/>
      <c r="F62" s="88"/>
      <c r="G62" s="88"/>
      <c r="H62" s="88"/>
      <c r="I62" s="99"/>
      <c r="J62" s="99"/>
    </row>
    <row r="63" spans="1:10" x14ac:dyDescent="0.25">
      <c r="B63" s="88"/>
      <c r="C63" s="88"/>
      <c r="D63" s="88"/>
      <c r="F63" s="88"/>
      <c r="G63" s="88"/>
      <c r="H63" s="88"/>
      <c r="I63" s="99"/>
      <c r="J63" s="99"/>
    </row>
    <row r="64" spans="1:10" x14ac:dyDescent="0.25">
      <c r="A64" s="100" t="s">
        <v>239</v>
      </c>
      <c r="B64" s="100"/>
      <c r="C64" s="100"/>
      <c r="D64" s="88"/>
      <c r="F64" s="88"/>
      <c r="G64" s="88"/>
      <c r="H64" s="88"/>
      <c r="I64" s="99"/>
      <c r="J64" s="99"/>
    </row>
    <row r="65" spans="1:10" x14ac:dyDescent="0.25">
      <c r="A65" s="100"/>
      <c r="B65" s="117" t="s">
        <v>240</v>
      </c>
      <c r="C65" s="101">
        <v>1195000</v>
      </c>
      <c r="D65" s="102">
        <v>1195000</v>
      </c>
      <c r="F65" s="88"/>
      <c r="G65" s="88"/>
      <c r="H65" s="88"/>
      <c r="I65" s="99"/>
      <c r="J65" s="99"/>
    </row>
    <row r="66" spans="1:10" x14ac:dyDescent="0.25">
      <c r="A66" s="100"/>
      <c r="B66" s="117" t="s">
        <v>232</v>
      </c>
      <c r="C66" s="103">
        <v>0.04</v>
      </c>
      <c r="D66" s="104">
        <v>0.04</v>
      </c>
      <c r="F66" s="68" t="s">
        <v>241</v>
      </c>
      <c r="G66" s="88"/>
      <c r="H66" s="88"/>
      <c r="I66" s="99"/>
      <c r="J66" s="99"/>
    </row>
    <row r="67" spans="1:10" x14ac:dyDescent="0.25">
      <c r="A67" s="100"/>
      <c r="B67" s="117" t="s">
        <v>233</v>
      </c>
      <c r="C67" s="105">
        <v>0.26500000000000001</v>
      </c>
      <c r="D67" s="106">
        <v>0.26500000000000001</v>
      </c>
      <c r="F67" s="88"/>
      <c r="G67" s="88"/>
      <c r="H67" s="88"/>
      <c r="I67" s="99"/>
      <c r="J67" s="99"/>
    </row>
    <row r="68" spans="1:10" x14ac:dyDescent="0.25">
      <c r="A68" s="100"/>
      <c r="B68" s="117" t="s">
        <v>234</v>
      </c>
      <c r="C68" s="109">
        <v>0.15</v>
      </c>
      <c r="D68" s="110">
        <v>0.16</v>
      </c>
      <c r="F68" s="88"/>
      <c r="G68" s="88"/>
      <c r="H68" s="88"/>
      <c r="I68" s="99"/>
      <c r="J68" s="99"/>
    </row>
    <row r="69" spans="1:10" ht="28.2" customHeight="1" x14ac:dyDescent="0.25">
      <c r="A69" s="100"/>
      <c r="B69" s="111" t="s">
        <v>235</v>
      </c>
      <c r="C69" s="101">
        <f>((C65*C66*C67)/(C66+C68))</f>
        <v>66668.421052631573</v>
      </c>
      <c r="D69" s="102">
        <f>((D65*D66*D67)/(D66+D68))</f>
        <v>63335</v>
      </c>
      <c r="F69" s="88"/>
      <c r="G69" s="88"/>
      <c r="H69" s="88"/>
      <c r="I69" s="99"/>
      <c r="J69" s="99"/>
    </row>
    <row r="70" spans="1:10" x14ac:dyDescent="0.25">
      <c r="A70" s="100"/>
      <c r="C70" s="118"/>
      <c r="D70" s="119"/>
      <c r="F70" s="88"/>
      <c r="G70" s="88"/>
      <c r="H70" s="88"/>
      <c r="I70" s="99"/>
      <c r="J70" s="99"/>
    </row>
    <row r="71" spans="1:10" ht="14.4" x14ac:dyDescent="0.3">
      <c r="A71" s="100"/>
      <c r="B71" s="120"/>
      <c r="C71" s="118"/>
      <c r="D71" s="119"/>
      <c r="F71" s="88"/>
      <c r="G71" s="88"/>
      <c r="H71" s="88"/>
      <c r="I71" s="99"/>
      <c r="J71" s="99"/>
    </row>
    <row r="72" spans="1:10" x14ac:dyDescent="0.25">
      <c r="A72" s="100"/>
      <c r="B72" s="117"/>
      <c r="C72" s="118"/>
      <c r="D72" s="88"/>
      <c r="F72" s="88"/>
      <c r="G72" s="88"/>
      <c r="H72" s="88"/>
      <c r="I72" s="99"/>
      <c r="J72" s="99"/>
    </row>
    <row r="73" spans="1:10" x14ac:dyDescent="0.25">
      <c r="A73" s="100" t="s">
        <v>16</v>
      </c>
      <c r="B73" s="117"/>
      <c r="C73" s="100"/>
      <c r="D73" s="88"/>
      <c r="F73" s="88"/>
      <c r="G73" s="88"/>
      <c r="H73" s="88"/>
      <c r="I73" s="99"/>
      <c r="J73" s="99"/>
    </row>
    <row r="74" spans="1:10" x14ac:dyDescent="0.25">
      <c r="A74" s="100"/>
      <c r="B74" s="117" t="s">
        <v>240</v>
      </c>
      <c r="C74" s="101">
        <v>4060000</v>
      </c>
      <c r="D74" s="102">
        <v>4060000</v>
      </c>
      <c r="F74" s="88"/>
      <c r="G74" s="88"/>
      <c r="H74" s="88"/>
      <c r="I74" s="99"/>
      <c r="J74" s="99"/>
    </row>
    <row r="75" spans="1:10" x14ac:dyDescent="0.25">
      <c r="A75" s="100"/>
      <c r="B75" s="117" t="s">
        <v>232</v>
      </c>
      <c r="C75" s="103">
        <v>0.2</v>
      </c>
      <c r="D75" s="104">
        <v>0.2</v>
      </c>
      <c r="F75" s="88"/>
      <c r="G75" s="88"/>
      <c r="H75" s="88"/>
      <c r="I75" s="99"/>
      <c r="J75" s="99"/>
    </row>
    <row r="76" spans="1:10" x14ac:dyDescent="0.25">
      <c r="A76" s="100"/>
      <c r="B76" s="117" t="s">
        <v>233</v>
      </c>
      <c r="C76" s="105">
        <v>0.26500000000000001</v>
      </c>
      <c r="D76" s="106">
        <v>0.26500000000000001</v>
      </c>
      <c r="F76" s="88"/>
      <c r="G76" s="88"/>
      <c r="H76" s="88"/>
      <c r="I76" s="99"/>
      <c r="J76" s="99"/>
    </row>
    <row r="77" spans="1:10" x14ac:dyDescent="0.25">
      <c r="A77" s="100"/>
      <c r="B77" s="117" t="s">
        <v>234</v>
      </c>
      <c r="C77" s="109">
        <v>0.15</v>
      </c>
      <c r="D77" s="110">
        <v>0.16</v>
      </c>
      <c r="F77" s="88"/>
      <c r="G77" s="88"/>
      <c r="H77" s="88"/>
      <c r="I77" s="99"/>
      <c r="J77" s="99"/>
    </row>
    <row r="78" spans="1:10" ht="29.1" customHeight="1" x14ac:dyDescent="0.25">
      <c r="A78" s="100"/>
      <c r="B78" s="111" t="s">
        <v>235</v>
      </c>
      <c r="C78" s="101">
        <f>((C74*C75*C76)/(C75+C77))</f>
        <v>614800</v>
      </c>
      <c r="D78" s="102">
        <f>((D74*D75*D76)/(D75+D77))</f>
        <v>597722.22222222225</v>
      </c>
      <c r="F78" s="88"/>
      <c r="G78" s="121"/>
      <c r="H78" s="88"/>
      <c r="I78" s="99"/>
      <c r="J78" s="99"/>
    </row>
    <row r="79" spans="1:10" x14ac:dyDescent="0.25">
      <c r="B79" s="88"/>
      <c r="C79" s="88"/>
      <c r="D79" s="88"/>
      <c r="F79" s="88"/>
      <c r="G79" s="88"/>
      <c r="H79" s="88"/>
      <c r="I79" s="99"/>
      <c r="J79" s="99"/>
    </row>
    <row r="80" spans="1:10" x14ac:dyDescent="0.25">
      <c r="A80" s="68" t="s">
        <v>242</v>
      </c>
      <c r="B80" s="88"/>
      <c r="C80" s="115">
        <f>C69+C78</f>
        <v>681468.42105263157</v>
      </c>
      <c r="D80" s="115">
        <f>D69+D78</f>
        <v>661057.22222222225</v>
      </c>
      <c r="F80" s="88"/>
      <c r="G80" s="88"/>
      <c r="H80" s="88"/>
      <c r="I80" s="99"/>
      <c r="J80" s="99"/>
    </row>
    <row r="81" spans="1:10" x14ac:dyDescent="0.25">
      <c r="A81" s="88"/>
      <c r="C81" s="88"/>
      <c r="D81" s="88"/>
      <c r="E81" s="88"/>
      <c r="F81" s="88"/>
      <c r="G81" s="88"/>
      <c r="H81" s="88"/>
      <c r="I81" s="99"/>
      <c r="J81" s="99"/>
    </row>
    <row r="82" spans="1:10" x14ac:dyDescent="0.25">
      <c r="A82" s="88"/>
      <c r="B82" s="71"/>
      <c r="C82" s="88"/>
      <c r="D82" s="88"/>
      <c r="E82" s="88"/>
      <c r="F82" s="88"/>
      <c r="G82" s="88"/>
      <c r="H82" s="88"/>
      <c r="I82" s="99"/>
      <c r="J82" s="99"/>
    </row>
    <row r="83" spans="1:10" x14ac:dyDescent="0.25">
      <c r="A83" s="88"/>
      <c r="B83" s="88"/>
      <c r="C83" s="88"/>
      <c r="D83" s="88"/>
      <c r="E83" s="88"/>
      <c r="F83" s="88"/>
      <c r="G83" s="88"/>
      <c r="H83" s="88"/>
      <c r="I83" s="88"/>
      <c r="J83" s="99"/>
    </row>
    <row r="84" spans="1:10" ht="14.4" x14ac:dyDescent="0.3">
      <c r="A84" s="122"/>
      <c r="B84" s="71"/>
      <c r="C84" s="71"/>
      <c r="D84" s="71"/>
      <c r="E84" s="71"/>
      <c r="F84" s="71"/>
      <c r="G84" s="71"/>
      <c r="H84" s="71"/>
      <c r="I84" s="71"/>
      <c r="J84" s="99"/>
    </row>
    <row r="85" spans="1:10" ht="14.4" x14ac:dyDescent="0.3">
      <c r="A85" s="122"/>
      <c r="B85" s="71"/>
      <c r="C85" s="71"/>
      <c r="D85" s="71"/>
      <c r="E85" s="71"/>
      <c r="F85" s="71"/>
      <c r="G85" s="71"/>
      <c r="H85" s="71"/>
      <c r="I85" s="71"/>
      <c r="J85" s="99"/>
    </row>
    <row r="86" spans="1:10" x14ac:dyDescent="0.25">
      <c r="A86" s="88"/>
      <c r="E86" s="88"/>
      <c r="F86" s="88"/>
      <c r="G86" s="88"/>
      <c r="H86" s="88"/>
      <c r="I86" s="88"/>
      <c r="J86" s="99"/>
    </row>
    <row r="87" spans="1:10" x14ac:dyDescent="0.25">
      <c r="A87" s="88"/>
      <c r="B87" s="88"/>
      <c r="C87" s="88"/>
      <c r="D87" s="88"/>
      <c r="E87" s="88"/>
      <c r="F87" s="88"/>
      <c r="G87" s="88"/>
      <c r="H87" s="88"/>
      <c r="I87" s="88"/>
      <c r="J87" s="99"/>
    </row>
    <row r="88" spans="1:10" x14ac:dyDescent="0.25">
      <c r="A88" s="293"/>
      <c r="B88" s="293"/>
      <c r="C88" s="293"/>
      <c r="D88" s="293"/>
      <c r="E88" s="293"/>
      <c r="F88" s="293"/>
      <c r="G88" s="293"/>
      <c r="H88" s="293"/>
    </row>
    <row r="89" spans="1:10" x14ac:dyDescent="0.25">
      <c r="A89" s="293"/>
      <c r="B89" s="293"/>
      <c r="C89" s="293"/>
      <c r="D89" s="293"/>
      <c r="E89" s="293"/>
      <c r="F89" s="293"/>
      <c r="G89" s="293"/>
      <c r="H89" s="293"/>
    </row>
    <row r="90" spans="1:10" x14ac:dyDescent="0.25">
      <c r="A90" s="293"/>
      <c r="B90" s="293"/>
      <c r="C90" s="293"/>
      <c r="D90" s="293"/>
      <c r="E90" s="293"/>
      <c r="F90" s="293"/>
      <c r="G90" s="293"/>
      <c r="H90" s="293"/>
    </row>
  </sheetData>
  <mergeCells count="11">
    <mergeCell ref="A90:H90"/>
    <mergeCell ref="A1:E1"/>
    <mergeCell ref="F8:I8"/>
    <mergeCell ref="A25:B25"/>
    <mergeCell ref="A49:B49"/>
    <mergeCell ref="I49:J49"/>
    <mergeCell ref="A88:H88"/>
    <mergeCell ref="A89:H89"/>
    <mergeCell ref="A19:J19"/>
    <mergeCell ref="A3:J3"/>
    <mergeCell ref="A11:B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F4B283919F7A04E9CDC443BFD166F77" ma:contentTypeVersion="4" ma:contentTypeDescription="Create a new document." ma:contentTypeScope="" ma:versionID="12ec5126627feb4d615406ac977e398d">
  <xsd:schema xmlns:xsd="http://www.w3.org/2001/XMLSchema" xmlns:xs="http://www.w3.org/2001/XMLSchema" xmlns:p="http://schemas.microsoft.com/office/2006/metadata/properties" xmlns:ns2="5674f0a4-3645-4119-81c3-d28b34f876e3" targetNamespace="http://schemas.microsoft.com/office/2006/metadata/properties" ma:root="true" ma:fieldsID="2766d383dfafd6154fd78088492871af" ns2:_="">
    <xsd:import namespace="5674f0a4-3645-4119-81c3-d28b34f876e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74f0a4-3645-4119-81c3-d28b34f876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titus xmlns="http://schemas.titus.com/TitusProperties/">
  <TitusGUID xmlns="">f442576d-9cfb-4602-8a1c-e26d4882e079</TitusGUID>
  <TitusMetadata xmlns="">eyJucyI6Imh0dHA6XC9cL3d3dy5yY2d0LmNvbVwvIiwicHJvcHMiOlt7Im4iOiJSQ0dUUnAiLCJ2YWxzIjpbeyJ2YWx1ZSI6IlJDR1RScF8wIn1dfSx7Im4iOiJSQ0dUQ2xhc3MiLCJ2YWxzIjpbeyJ2YWx1ZSI6IlJDR1RDbGFzc19JIn1dfSx7Im4iOiJBcHBseVZpc01hcmsiLCJ2YWxzIjpbeyJ2YWx1ZSI6Ik5vIn1dfV19</TitusMetadata>
</titus>
</file>

<file path=customXml/itemProps1.xml><?xml version="1.0" encoding="utf-8"?>
<ds:datastoreItem xmlns:ds="http://schemas.openxmlformats.org/officeDocument/2006/customXml" ds:itemID="{7895DAE8-69C4-48DD-8C04-C58220F06C7B}">
  <ds:schemaRefs>
    <ds:schemaRef ds:uri="http://schemas.microsoft.com/sharepoint/v3/contenttype/forms"/>
  </ds:schemaRefs>
</ds:datastoreItem>
</file>

<file path=customXml/itemProps2.xml><?xml version="1.0" encoding="utf-8"?>
<ds:datastoreItem xmlns:ds="http://schemas.openxmlformats.org/officeDocument/2006/customXml" ds:itemID="{A746C4C6-BF11-4D91-9FCE-5CFDB2485E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74f0a4-3645-4119-81c3-d28b34f87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123CE0-AC16-4965-98BA-C172643B9266}">
  <ds:schemaRefs>
    <ds:schemaRef ds:uri="http://purl.org/dc/elements/1.1/"/>
    <ds:schemaRef ds:uri="http://schemas.microsoft.com/office/2006/metadata/properties"/>
    <ds:schemaRef ds:uri="http://schemas.openxmlformats.org/package/2006/metadata/core-properties"/>
    <ds:schemaRef ds:uri="http://www.w3.org/XML/1998/namespace"/>
    <ds:schemaRef ds:uri="http://purl.org/dc/terms/"/>
    <ds:schemaRef ds:uri="http://schemas.microsoft.com/office/2006/documentManagement/types"/>
    <ds:schemaRef ds:uri="5674f0a4-3645-4119-81c3-d28b34f876e3"/>
    <ds:schemaRef ds:uri="http://schemas.microsoft.com/office/infopath/2007/PartnerControls"/>
    <ds:schemaRef ds:uri="http://purl.org/dc/dcmitype/"/>
  </ds:schemaRefs>
</ds:datastoreItem>
</file>

<file path=customXml/itemProps4.xml><?xml version="1.0" encoding="utf-8"?>
<ds:datastoreItem xmlns:ds="http://schemas.openxmlformats.org/officeDocument/2006/customXml" ds:itemID="{B2DD9EEF-DB18-429F-B287-B036E974CFB5}">
  <ds:schemaRefs>
    <ds:schemaRef ds:uri="http://schemas.titus.com/Titus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PPP-Déchets organiques</vt:lpstr>
      <vt:lpstr>Services conseils	</vt:lpstr>
      <vt:lpstr>Recyclage-MCV</vt:lpstr>
      <vt:lpstr>Recyclage - Rentabilité</vt:lpstr>
      <vt:lpstr>Recyclage - VAN</vt:lpstr>
      <vt:lpstr>Pristine Patrimoniale</vt:lpstr>
      <vt:lpstr>Pristine - capitalisation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Marie-Eve Quenneville</dc:creator>
  <cp:keywords/>
  <dc:description/>
  <cp:lastModifiedBy>Sarah Semid</cp:lastModifiedBy>
  <cp:revision/>
  <dcterms:created xsi:type="dcterms:W3CDTF">2022-09-02T20:38:46Z</dcterms:created>
  <dcterms:modified xsi:type="dcterms:W3CDTF">2025-02-21T23:13:56Z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0x010100DF4B283919F7A04E9CDC443BFD166F77</vt:lpwstr>
  </property>
  <property fmtid="{D5CDD505-2E9C-101B-9397-08002B2CF9AE}" pid="3" name="TitusGUID">
    <vt:lpwstr>f442576d-9cfb-4602-8a1c-e26d4882e079</vt:lpwstr>
  </property>
  <property fmtid="{D5CDD505-2E9C-101B-9397-08002B2CF9AE}" pid="4" name="RCGTRp">
    <vt:lpwstr>RCGTRp_0</vt:lpwstr>
  </property>
  <property fmtid="{D5CDD505-2E9C-101B-9397-08002B2CF9AE}" pid="5" name="RCGTClass">
    <vt:lpwstr>RCGTClass_I</vt:lpwstr>
  </property>
  <property fmtid="{D5CDD505-2E9C-101B-9397-08002B2CF9AE}" pid="6" name="ApplyVisMark">
    <vt:lpwstr>No</vt:lpwstr>
  </property>
</Properties>
</file>