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S\Contrôle de gestion stratégique\Séance 6\"/>
    </mc:Choice>
  </mc:AlternateContent>
  <xr:revisionPtr revIDLastSave="0" documentId="13_ncr:1_{43F03CFF-8E75-44B9-AD9B-04A3823C71C9}" xr6:coauthVersionLast="47" xr6:coauthVersionMax="47" xr10:uidLastSave="{00000000-0000-0000-0000-000000000000}"/>
  <bookViews>
    <workbookView xWindow="-108" yWindow="-108" windowWidth="23256" windowHeight="13896" activeTab="2" xr2:uid="{40ABC887-0743-43E4-ABFB-934FDFE14F63}"/>
  </bookViews>
  <sheets>
    <sheet name="Marge nette unitaire" sheetId="1" r:id="rId1"/>
    <sheet name="Problamatiques" sheetId="2" r:id="rId2"/>
    <sheet name="Tableau de bo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1" i="1"/>
  <c r="B8" i="1"/>
  <c r="B7" i="1"/>
  <c r="E22" i="1"/>
  <c r="C22" i="1"/>
  <c r="D14" i="1"/>
  <c r="C14" i="1"/>
  <c r="B14" i="1"/>
  <c r="D7" i="1"/>
  <c r="D8" i="1" s="1"/>
  <c r="D11" i="1" s="1"/>
  <c r="C7" i="1"/>
  <c r="C8" i="1" s="1"/>
  <c r="C11" i="1" s="1"/>
  <c r="C20" i="1"/>
  <c r="C19" i="1"/>
  <c r="B19" i="1"/>
  <c r="D4" i="1"/>
  <c r="D18" i="1" s="1"/>
  <c r="C4" i="1"/>
  <c r="C18" i="1" s="1"/>
  <c r="B4" i="1"/>
  <c r="B20" i="1" s="1"/>
  <c r="B17" i="1"/>
  <c r="C17" i="1"/>
  <c r="D17" i="1"/>
  <c r="D16" i="1"/>
  <c r="C16" i="1"/>
  <c r="B16" i="1"/>
  <c r="D15" i="1"/>
  <c r="C15" i="1"/>
  <c r="C13" i="1" s="1"/>
  <c r="D22" i="1" l="1"/>
  <c r="D19" i="1"/>
  <c r="D13" i="1" s="1"/>
  <c r="D24" i="1" s="1"/>
  <c r="D20" i="1"/>
  <c r="C24" i="1"/>
  <c r="B18" i="1"/>
  <c r="B13" i="1" s="1"/>
  <c r="B24" i="1" s="1"/>
</calcChain>
</file>

<file path=xl/sharedStrings.xml><?xml version="1.0" encoding="utf-8"?>
<sst xmlns="http://schemas.openxmlformats.org/spreadsheetml/2006/main" count="60" uniqueCount="60">
  <si>
    <t>Meubles usinés</t>
  </si>
  <si>
    <t>Meubles usinés finis main</t>
  </si>
  <si>
    <t>Meubles sur mésure</t>
  </si>
  <si>
    <t>Cout des produits vendus</t>
  </si>
  <si>
    <t>Prix de vente</t>
  </si>
  <si>
    <t>Marge nette unitaire par produit pour l'année 2020</t>
  </si>
  <si>
    <t>Marge brute</t>
  </si>
  <si>
    <t>Escompte</t>
  </si>
  <si>
    <t xml:space="preserve">Revenu net </t>
  </si>
  <si>
    <t>Frais administration et ventes</t>
  </si>
  <si>
    <t>Commission (en % CA)</t>
  </si>
  <si>
    <t>Salaire administration</t>
  </si>
  <si>
    <t>Frais de bureau</t>
  </si>
  <si>
    <t>Frais de promotion et publicité</t>
  </si>
  <si>
    <t>Volume de vente (unité)</t>
  </si>
  <si>
    <t>Frais de design (en % de la charge totale)</t>
  </si>
  <si>
    <t>Frais de transport(en % de la charge totale)</t>
  </si>
  <si>
    <t>Frais d'assemblage chez le client (% de la charge totale)</t>
  </si>
  <si>
    <t>% CA</t>
  </si>
  <si>
    <t>Amortissment</t>
  </si>
  <si>
    <t>Marge nette unitaire</t>
  </si>
  <si>
    <t>Total</t>
  </si>
  <si>
    <t>Mauvaise planification des opérations et les pannes des véhicules de livraison</t>
  </si>
  <si>
    <t xml:space="preserve">La non de mise en œuvre de nouveau produits </t>
  </si>
  <si>
    <t>Augmenatation de marge bénéficiaire</t>
  </si>
  <si>
    <t>Réduction de cout de production</t>
  </si>
  <si>
    <t>Satisfaction de clientele</t>
  </si>
  <si>
    <t>Nombre de palinte/nombre de vente</t>
  </si>
  <si>
    <t>Nombre de noveau client par mois</t>
  </si>
  <si>
    <t>Chiffre d'affaire</t>
  </si>
  <si>
    <t>Émission de nouveux produits sur le marché</t>
  </si>
  <si>
    <t>nombre de nouveau meuble par mois</t>
  </si>
  <si>
    <t>nombre de jours ente la commande et la livraison finale</t>
  </si>
  <si>
    <t>Nombe de panne de véhicule de livraison par mois</t>
  </si>
  <si>
    <t>RCI/RNR</t>
  </si>
  <si>
    <t xml:space="preserve">Cout d'entretien et de réparation par mois </t>
  </si>
  <si>
    <t>Par untié</t>
  </si>
  <si>
    <t>Financier</t>
  </si>
  <si>
    <t>Client</t>
  </si>
  <si>
    <t>Processus</t>
  </si>
  <si>
    <t>Indicateurs</t>
  </si>
  <si>
    <t>Cout de production unitaire cible par chaque meuble</t>
  </si>
  <si>
    <t>Réduction des délais de livraison</t>
  </si>
  <si>
    <t xml:space="preserve">Augmenataion des ventes </t>
  </si>
  <si>
    <t>Attirer une nouveaux client</t>
  </si>
  <si>
    <t>Minimisation des couts d'entretien</t>
  </si>
  <si>
    <t>Objectif Stratégique</t>
  </si>
  <si>
    <t>Péspectives</t>
  </si>
  <si>
    <t>Identification des principaux problématiques</t>
  </si>
  <si>
    <t xml:space="preserve">Diminution de rentabilité de l'année a une autre </t>
  </si>
  <si>
    <t>Stagnation de chiffre d'affaire depuis 2018</t>
  </si>
  <si>
    <t xml:space="preserve">La clientèle est stable depuis des année cela créer une stagnation des ventes </t>
  </si>
  <si>
    <t>Augmentation des nombre des plaintes relatives aux pièces endommagées ou manquantes</t>
  </si>
  <si>
    <t xml:space="preserve">Délais de livraison trop long </t>
  </si>
  <si>
    <t xml:space="preserve">Augmentation des demandes budgétaires </t>
  </si>
  <si>
    <t>Défaillance de systèmes budgétaire (imposé et non négocié)</t>
  </si>
  <si>
    <t>Celui est un symptome mais le probleme derniere ca donc pour quoi</t>
  </si>
  <si>
    <t>S</t>
  </si>
  <si>
    <t>Changer le fais en argument</t>
  </si>
  <si>
    <t>Marge nette spécifque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</si>
</sst>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_ * #,##0.00_)\ _$_ ;_ * \(#,##0.00\)\ _$_ ;_ * &quot;-&quot;??_)\ _$_ ;_ @_ "/>
    <numFmt numFmtId="165" formatCode="_ * #,##0.0_)_ ;_ * \(#,##0.0\)_ ;_ * &quot;-&quot;??_)_ ;_ @_ "/>
    <numFmt numFmtId="166" formatCode="_ * #,##0_)_ ;_ * \(#,##0\)_ ;_ * &quot;-&quot;??_)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164" fontId="0" fillId="0" borderId="0" xfId="0" applyNumberFormat="1"/>
    <xf numFmtId="43" fontId="0" fillId="0" borderId="0" xfId="0" applyNumberFormat="1"/>
    <xf numFmtId="44" fontId="0" fillId="0" borderId="0" xfId="2" applyFont="1"/>
    <xf numFmtId="10" fontId="0" fillId="0" borderId="0" xfId="3" applyNumberFormat="1" applyFont="1"/>
    <xf numFmtId="166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3" fontId="0" fillId="0" borderId="1" xfId="1" applyFont="1" applyBorder="1"/>
    <xf numFmtId="9" fontId="0" fillId="0" borderId="1" xfId="3" applyFont="1" applyBorder="1" applyAlignment="1">
      <alignment horizontal="center" vertical="center" wrapText="1"/>
    </xf>
    <xf numFmtId="166" fontId="0" fillId="0" borderId="1" xfId="1" applyNumberFormat="1" applyFont="1" applyBorder="1"/>
    <xf numFmtId="0" fontId="0" fillId="2" borderId="1" xfId="0" applyFill="1" applyBorder="1"/>
    <xf numFmtId="43" fontId="0" fillId="2" borderId="1" xfId="1" applyFont="1" applyFill="1" applyBorder="1"/>
    <xf numFmtId="0" fontId="0" fillId="0" borderId="1" xfId="0" applyBorder="1" applyAlignment="1">
      <alignment wrapText="1"/>
    </xf>
    <xf numFmtId="164" fontId="0" fillId="2" borderId="1" xfId="0" applyNumberFormat="1" applyFill="1" applyBorder="1"/>
    <xf numFmtId="43" fontId="0" fillId="0" borderId="1" xfId="1" applyFont="1" applyFill="1" applyBorder="1"/>
    <xf numFmtId="165" fontId="0" fillId="0" borderId="0" xfId="0" applyNumberFormat="1"/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6" fontId="2" fillId="0" borderId="0" xfId="0" applyNumberFormat="1" applyFont="1"/>
    <xf numFmtId="0" fontId="2" fillId="0" borderId="0" xfId="0" applyFont="1"/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DB33-2920-4337-AD34-67FE07A67E05}">
  <dimension ref="A1:J26"/>
  <sheetViews>
    <sheetView workbookViewId="0">
      <selection activeCell="B22" sqref="B22"/>
    </sheetView>
  </sheetViews>
  <sheetFormatPr baseColWidth="10" defaultRowHeight="14.4" x14ac:dyDescent="0.3"/>
  <cols>
    <col min="1" max="1" width="28" customWidth="1"/>
    <col min="2" max="2" width="13.33203125" bestFit="1" customWidth="1"/>
    <col min="3" max="4" width="12.44140625" bestFit="1" customWidth="1"/>
    <col min="5" max="5" width="12.44140625" style="1" bestFit="1" customWidth="1"/>
    <col min="8" max="8" width="13.77734375" bestFit="1" customWidth="1"/>
    <col min="9" max="9" width="12.44140625" bestFit="1" customWidth="1"/>
    <col min="10" max="10" width="11.5546875" style="1"/>
  </cols>
  <sheetData>
    <row r="1" spans="1:9" x14ac:dyDescent="0.3">
      <c r="A1" t="s">
        <v>5</v>
      </c>
    </row>
    <row r="3" spans="1:9" ht="43.2" x14ac:dyDescent="0.3">
      <c r="A3" s="7" t="s">
        <v>36</v>
      </c>
      <c r="B3" s="8" t="s">
        <v>0</v>
      </c>
      <c r="C3" s="8" t="s">
        <v>1</v>
      </c>
      <c r="D3" s="8" t="s">
        <v>2</v>
      </c>
      <c r="E3" s="9" t="s">
        <v>21</v>
      </c>
    </row>
    <row r="4" spans="1:9" x14ac:dyDescent="0.3">
      <c r="A4" s="7" t="s">
        <v>18</v>
      </c>
      <c r="B4" s="10">
        <f>1908/5450</f>
        <v>0.35009174311926605</v>
      </c>
      <c r="C4" s="10">
        <f>2453/5450</f>
        <v>0.45009174311926603</v>
      </c>
      <c r="D4" s="10">
        <f>1090/5450</f>
        <v>0.2</v>
      </c>
      <c r="E4" s="9"/>
    </row>
    <row r="5" spans="1:9" x14ac:dyDescent="0.3">
      <c r="A5" s="7" t="s">
        <v>4</v>
      </c>
      <c r="B5" s="9">
        <v>867</v>
      </c>
      <c r="C5" s="9">
        <v>1752</v>
      </c>
      <c r="D5" s="9">
        <v>2725</v>
      </c>
      <c r="E5" s="9"/>
      <c r="H5" s="2"/>
    </row>
    <row r="6" spans="1:9" x14ac:dyDescent="0.3">
      <c r="A6" s="7" t="s">
        <v>14</v>
      </c>
      <c r="B6" s="11">
        <v>2200</v>
      </c>
      <c r="C6" s="11">
        <v>1400</v>
      </c>
      <c r="D6" s="11">
        <v>400</v>
      </c>
      <c r="E6" s="9"/>
      <c r="H6" s="2"/>
    </row>
    <row r="7" spans="1:9" x14ac:dyDescent="0.3">
      <c r="A7" s="7" t="s">
        <v>7</v>
      </c>
      <c r="B7" s="9">
        <f>+(E7*0.2)/2200</f>
        <v>39.636363636363633</v>
      </c>
      <c r="C7" s="9">
        <f>+(E7*0.35)/1400</f>
        <v>109</v>
      </c>
      <c r="D7" s="9">
        <f>+(E7*0.45)/400</f>
        <v>490.5</v>
      </c>
      <c r="E7" s="9">
        <v>436000</v>
      </c>
    </row>
    <row r="8" spans="1:9" x14ac:dyDescent="0.3">
      <c r="A8" s="12" t="s">
        <v>8</v>
      </c>
      <c r="B8" s="13">
        <f>+B5-B7</f>
        <v>827.36363636363637</v>
      </c>
      <c r="C8" s="13">
        <f>+C5-C7</f>
        <v>1643</v>
      </c>
      <c r="D8" s="13">
        <f>+D5-D7</f>
        <v>2234.5</v>
      </c>
      <c r="E8" s="9"/>
      <c r="F8" s="3"/>
      <c r="H8" s="2"/>
    </row>
    <row r="9" spans="1:9" x14ac:dyDescent="0.3">
      <c r="A9" s="7" t="s">
        <v>3</v>
      </c>
      <c r="B9" s="9">
        <v>456</v>
      </c>
      <c r="C9" s="9">
        <v>1122</v>
      </c>
      <c r="D9" s="9">
        <v>2013</v>
      </c>
      <c r="E9" s="9"/>
      <c r="G9" s="6"/>
    </row>
    <row r="10" spans="1:9" x14ac:dyDescent="0.3">
      <c r="A10" s="7"/>
      <c r="B10" s="7"/>
      <c r="C10" s="7"/>
      <c r="D10" s="7"/>
      <c r="E10" s="9"/>
      <c r="G10" s="17"/>
    </row>
    <row r="11" spans="1:9" x14ac:dyDescent="0.3">
      <c r="A11" s="7" t="s">
        <v>6</v>
      </c>
      <c r="B11" s="9">
        <f>+B8-B9</f>
        <v>371.36363636363637</v>
      </c>
      <c r="C11" s="9">
        <f>+C8-C9</f>
        <v>521</v>
      </c>
      <c r="D11" s="9">
        <f>+D8-D9</f>
        <v>221.5</v>
      </c>
      <c r="E11" s="9"/>
      <c r="G11" s="6"/>
    </row>
    <row r="12" spans="1:9" x14ac:dyDescent="0.3">
      <c r="A12" s="7"/>
      <c r="B12" s="9"/>
      <c r="C12" s="9"/>
      <c r="D12" s="9"/>
      <c r="E12" s="9"/>
      <c r="G12" s="6"/>
    </row>
    <row r="13" spans="1:9" x14ac:dyDescent="0.3">
      <c r="A13" s="12" t="s">
        <v>9</v>
      </c>
      <c r="B13" s="13">
        <f>+SUM(B14:B20)</f>
        <v>116.96173894912428</v>
      </c>
      <c r="C13" s="13">
        <f>+SUM(C14:C20)</f>
        <v>268.30058977719528</v>
      </c>
      <c r="D13" s="13">
        <f>+SUM(D14:D20)</f>
        <v>731.125</v>
      </c>
      <c r="E13" s="9"/>
      <c r="G13" s="6"/>
    </row>
    <row r="14" spans="1:9" x14ac:dyDescent="0.3">
      <c r="A14" s="7" t="s">
        <v>10</v>
      </c>
      <c r="B14" s="9">
        <f>+B5*0.025</f>
        <v>21.675000000000001</v>
      </c>
      <c r="C14" s="9">
        <f>+C5*0.05</f>
        <v>87.600000000000009</v>
      </c>
      <c r="D14" s="9">
        <f>+D5*0.1</f>
        <v>272.5</v>
      </c>
      <c r="E14" s="9">
        <v>280000</v>
      </c>
      <c r="G14" s="21" t="s">
        <v>59</v>
      </c>
      <c r="H14" s="22"/>
    </row>
    <row r="15" spans="1:9" ht="28.8" x14ac:dyDescent="0.3">
      <c r="A15" s="14" t="s">
        <v>15</v>
      </c>
      <c r="B15" s="9">
        <v>0</v>
      </c>
      <c r="C15" s="9">
        <f>+(15%*E15)/C6</f>
        <v>8.5714285714285712</v>
      </c>
      <c r="D15" s="9">
        <f>+(85%*E15)/D6</f>
        <v>170</v>
      </c>
      <c r="E15" s="9">
        <v>80000</v>
      </c>
      <c r="G15" s="6"/>
    </row>
    <row r="16" spans="1:9" ht="28.8" x14ac:dyDescent="0.3">
      <c r="A16" s="14" t="s">
        <v>16</v>
      </c>
      <c r="B16" s="9">
        <f>(40%*E16)/B6</f>
        <v>33.636363636363633</v>
      </c>
      <c r="C16" s="9">
        <f>(40%*E16)/C6</f>
        <v>52.857142857142854</v>
      </c>
      <c r="D16" s="9">
        <f>(20%*E16)/D6</f>
        <v>92.5</v>
      </c>
      <c r="E16" s="9">
        <v>185000</v>
      </c>
      <c r="I16" s="1"/>
    </row>
    <row r="17" spans="1:9" ht="28.8" x14ac:dyDescent="0.3">
      <c r="A17" s="14" t="s">
        <v>17</v>
      </c>
      <c r="B17" s="9">
        <f>(40%*E17)/B6</f>
        <v>8.1818181818181817</v>
      </c>
      <c r="C17" s="9">
        <f>(35%*E17)/C6</f>
        <v>11.249999999999998</v>
      </c>
      <c r="D17" s="9">
        <f>+(E17*25%)/D6</f>
        <v>28.125</v>
      </c>
      <c r="E17" s="9">
        <v>45000</v>
      </c>
      <c r="I17" s="1"/>
    </row>
    <row r="18" spans="1:9" x14ac:dyDescent="0.3">
      <c r="A18" s="7" t="s">
        <v>11</v>
      </c>
      <c r="B18" s="9">
        <f>+(B4*E18)/B6</f>
        <v>36.759633027522938</v>
      </c>
      <c r="C18" s="9">
        <f>+(C4*E18)/C6</f>
        <v>74.265137614678892</v>
      </c>
      <c r="D18" s="9">
        <f>+(D4*E18)/D6</f>
        <v>115.5</v>
      </c>
      <c r="E18" s="9">
        <v>231000</v>
      </c>
    </row>
    <row r="19" spans="1:9" x14ac:dyDescent="0.3">
      <c r="A19" s="7" t="s">
        <v>12</v>
      </c>
      <c r="B19" s="9">
        <f>+(E19*B4)/B6</f>
        <v>2.3869891576313593</v>
      </c>
      <c r="C19" s="9">
        <f>+(E19*C4)/C6</f>
        <v>4.8224115334207074</v>
      </c>
      <c r="D19" s="9">
        <f>+(E19*D4)/D6</f>
        <v>7.5</v>
      </c>
      <c r="E19" s="9">
        <v>15000</v>
      </c>
      <c r="H19" s="5"/>
      <c r="I19" s="1"/>
    </row>
    <row r="20" spans="1:9" x14ac:dyDescent="0.3">
      <c r="A20" s="7" t="s">
        <v>13</v>
      </c>
      <c r="B20" s="9">
        <f>+(E20*B4)/B6</f>
        <v>14.321934945788156</v>
      </c>
      <c r="C20" s="9">
        <f>+(E20*C4)/C6</f>
        <v>28.934469200524244</v>
      </c>
      <c r="D20" s="9">
        <f>+(E20*D4)/D6</f>
        <v>45</v>
      </c>
      <c r="E20" s="9">
        <v>90000</v>
      </c>
      <c r="H20" s="5"/>
      <c r="I20" s="1"/>
    </row>
    <row r="21" spans="1:9" x14ac:dyDescent="0.3">
      <c r="A21" s="7"/>
      <c r="B21" s="7"/>
      <c r="C21" s="7"/>
      <c r="D21" s="7"/>
      <c r="E21" s="9"/>
      <c r="H21" s="5"/>
      <c r="I21" s="1"/>
    </row>
    <row r="22" spans="1:9" x14ac:dyDescent="0.3">
      <c r="A22" s="12" t="s">
        <v>19</v>
      </c>
      <c r="B22" s="13">
        <f>+(E22*B4)/B6</f>
        <v>126.35129274395329</v>
      </c>
      <c r="C22" s="13">
        <f>+(E22*C4)/C6</f>
        <v>255.26631716906945</v>
      </c>
      <c r="D22" s="13">
        <f>+(E22*D4)/D6</f>
        <v>397</v>
      </c>
      <c r="E22" s="16">
        <f>794000</f>
        <v>794000</v>
      </c>
      <c r="H22" s="4"/>
    </row>
    <row r="23" spans="1:9" x14ac:dyDescent="0.3">
      <c r="A23" s="7"/>
      <c r="B23" s="7"/>
      <c r="C23" s="7"/>
      <c r="D23" s="7"/>
      <c r="E23" s="16"/>
      <c r="H23" s="4"/>
    </row>
    <row r="24" spans="1:9" x14ac:dyDescent="0.3">
      <c r="A24" s="12" t="s">
        <v>20</v>
      </c>
      <c r="B24" s="15">
        <f>+B11-B13-B22</f>
        <v>128.05060467055881</v>
      </c>
      <c r="C24" s="15">
        <f>+C11-C13-C22</f>
        <v>-2.5669069462647371</v>
      </c>
      <c r="D24" s="15">
        <f>+D11-D13-D22</f>
        <v>-906.625</v>
      </c>
      <c r="E24" s="16"/>
    </row>
    <row r="26" spans="1:9" x14ac:dyDescent="0.3">
      <c r="B26" s="6"/>
      <c r="C26" s="6"/>
      <c r="D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F3C3-1D00-4E9F-BB63-3840A3BC5E9C}">
  <dimension ref="A1:C11"/>
  <sheetViews>
    <sheetView workbookViewId="0">
      <selection activeCell="A18" sqref="A18"/>
    </sheetView>
  </sheetViews>
  <sheetFormatPr baseColWidth="10" defaultRowHeight="14.4" x14ac:dyDescent="0.3"/>
  <cols>
    <col min="1" max="1" width="72.33203125" bestFit="1" customWidth="1"/>
    <col min="2" max="2" width="55.33203125" bestFit="1" customWidth="1"/>
  </cols>
  <sheetData>
    <row r="1" spans="1:3" x14ac:dyDescent="0.3">
      <c r="A1" t="s">
        <v>48</v>
      </c>
    </row>
    <row r="3" spans="1:3" x14ac:dyDescent="0.3">
      <c r="A3" t="s">
        <v>49</v>
      </c>
      <c r="B3" t="s">
        <v>56</v>
      </c>
    </row>
    <row r="4" spans="1:3" x14ac:dyDescent="0.3">
      <c r="A4" t="s">
        <v>50</v>
      </c>
      <c r="B4" t="s">
        <v>57</v>
      </c>
    </row>
    <row r="5" spans="1:3" x14ac:dyDescent="0.3">
      <c r="A5" t="s">
        <v>51</v>
      </c>
    </row>
    <row r="6" spans="1:3" x14ac:dyDescent="0.3">
      <c r="A6" t="s">
        <v>52</v>
      </c>
    </row>
    <row r="7" spans="1:3" x14ac:dyDescent="0.3">
      <c r="A7" t="s">
        <v>53</v>
      </c>
    </row>
    <row r="8" spans="1:3" x14ac:dyDescent="0.3">
      <c r="A8" t="s">
        <v>22</v>
      </c>
    </row>
    <row r="9" spans="1:3" x14ac:dyDescent="0.3">
      <c r="A9" t="s">
        <v>23</v>
      </c>
    </row>
    <row r="10" spans="1:3" x14ac:dyDescent="0.3">
      <c r="A10" t="s">
        <v>54</v>
      </c>
    </row>
    <row r="11" spans="1:3" x14ac:dyDescent="0.3">
      <c r="A11" t="s">
        <v>55</v>
      </c>
      <c r="C1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1D87-3234-4917-A25D-CBF5B42D4460}">
  <dimension ref="A2:C11"/>
  <sheetViews>
    <sheetView tabSelected="1" workbookViewId="0">
      <selection activeCell="G17" sqref="G17"/>
    </sheetView>
  </sheetViews>
  <sheetFormatPr baseColWidth="10" defaultRowHeight="14.4" x14ac:dyDescent="0.3"/>
  <cols>
    <col min="2" max="2" width="36" bestFit="1" customWidth="1"/>
    <col min="3" max="3" width="45.109375" bestFit="1" customWidth="1"/>
  </cols>
  <sheetData>
    <row r="2" spans="1:3" x14ac:dyDescent="0.3">
      <c r="A2" s="7" t="s">
        <v>47</v>
      </c>
      <c r="B2" s="7" t="s">
        <v>46</v>
      </c>
      <c r="C2" s="7" t="s">
        <v>40</v>
      </c>
    </row>
    <row r="3" spans="1:3" x14ac:dyDescent="0.3">
      <c r="A3" s="7" t="s">
        <v>37</v>
      </c>
      <c r="B3" s="7" t="s">
        <v>24</v>
      </c>
      <c r="C3" s="7" t="s">
        <v>34</v>
      </c>
    </row>
    <row r="4" spans="1:3" x14ac:dyDescent="0.3">
      <c r="A4" s="18" t="s">
        <v>38</v>
      </c>
      <c r="B4" s="7" t="s">
        <v>26</v>
      </c>
      <c r="C4" s="7" t="s">
        <v>27</v>
      </c>
    </row>
    <row r="5" spans="1:3" x14ac:dyDescent="0.3">
      <c r="A5" s="18"/>
      <c r="B5" s="7" t="s">
        <v>44</v>
      </c>
      <c r="C5" s="7" t="s">
        <v>28</v>
      </c>
    </row>
    <row r="6" spans="1:3" x14ac:dyDescent="0.3">
      <c r="A6" s="18"/>
      <c r="B6" s="7" t="s">
        <v>43</v>
      </c>
      <c r="C6" s="7" t="s">
        <v>29</v>
      </c>
    </row>
    <row r="7" spans="1:3" x14ac:dyDescent="0.3">
      <c r="A7" s="18" t="s">
        <v>39</v>
      </c>
      <c r="B7" s="7" t="s">
        <v>25</v>
      </c>
      <c r="C7" s="7" t="s">
        <v>41</v>
      </c>
    </row>
    <row r="8" spans="1:3" x14ac:dyDescent="0.3">
      <c r="A8" s="18"/>
      <c r="B8" s="7" t="s">
        <v>30</v>
      </c>
      <c r="C8" s="7" t="s">
        <v>31</v>
      </c>
    </row>
    <row r="9" spans="1:3" x14ac:dyDescent="0.3">
      <c r="A9" s="18"/>
      <c r="B9" s="7" t="s">
        <v>42</v>
      </c>
      <c r="C9" s="7" t="s">
        <v>32</v>
      </c>
    </row>
    <row r="10" spans="1:3" x14ac:dyDescent="0.3">
      <c r="A10" s="18"/>
      <c r="B10" s="19" t="s">
        <v>45</v>
      </c>
      <c r="C10" s="7" t="s">
        <v>33</v>
      </c>
    </row>
    <row r="11" spans="1:3" x14ac:dyDescent="0.3">
      <c r="A11" s="18"/>
      <c r="B11" s="20"/>
      <c r="C11" s="7" t="s">
        <v>35</v>
      </c>
    </row>
  </sheetData>
  <mergeCells count="3">
    <mergeCell ref="A4:A6"/>
    <mergeCell ref="A7:A11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Marge nette unitaire</vt:lpstr>
      <vt:lpstr>Problamatiques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2025-02-11T17:11:59Z</dcterms:created>
  <dcterms:modified xsi:type="dcterms:W3CDTF">2025-02-12T18:52:56Z</dcterms:modified>
</cp:coreProperties>
</file>