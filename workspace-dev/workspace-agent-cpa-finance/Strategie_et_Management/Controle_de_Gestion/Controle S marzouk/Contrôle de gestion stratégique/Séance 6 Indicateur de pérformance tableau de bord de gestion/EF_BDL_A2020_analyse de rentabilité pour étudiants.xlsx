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https://hecmtl-my.sharepoint.com/personal/marie-eve_quenneville_hec_ca/Documents/40937/Séance 06/cas BDL/"/>
    </mc:Choice>
  </mc:AlternateContent>
  <xr:revisionPtr revIDLastSave="221" documentId="8_{71FE7ECC-ED9D-4172-9234-989FB0B46C81}" xr6:coauthVersionLast="47" xr6:coauthVersionMax="47" xr10:uidLastSave="{5A2E6324-0092-4FCF-A06C-657E7ACD8F74}"/>
  <bookViews>
    <workbookView xWindow="-28920" yWindow="-120" windowWidth="29040" windowHeight="15840" firstSheet="2" activeTab="2" xr2:uid="{00000000-000D-0000-FFFF-FFFF00000000}"/>
  </bookViews>
  <sheets>
    <sheet name="BDL_Résultats" sheetId="1" r:id="rId1"/>
    <sheet name="BDL_Bilan" sheetId="2" r:id="rId2"/>
    <sheet name="BDL_CR" sheetId="5" r:id="rId3"/>
  </sheets>
  <externalReferences>
    <externalReference r:id="rId4"/>
  </externalReferences>
  <definedNames>
    <definedName name="Taux_actualisation">'[1]Comptoir cosmétiques'!$B$5</definedName>
    <definedName name="Taux_d_actualisation">#REF!</definedName>
    <definedName name="Taux_d_amortissement">#REF!</definedName>
    <definedName name="Taux_d_impôt">#REF!</definedName>
    <definedName name="Tx_DAC">'[1]Comptoir cosmétiques'!$B$7</definedName>
    <definedName name="Tx_Impôt">'[1]Comptoir cosmétiques'!$B$6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M17" i="2"/>
  <c r="M34" i="1"/>
  <c r="B35" i="5"/>
  <c r="B34" i="5"/>
  <c r="B33" i="5"/>
  <c r="B32" i="5"/>
  <c r="F31" i="5"/>
  <c r="P20" i="1"/>
  <c r="F13" i="1"/>
  <c r="E42" i="1"/>
  <c r="B77" i="5"/>
  <c r="B66" i="5"/>
  <c r="B67" i="5"/>
  <c r="D81" i="5"/>
  <c r="C81" i="5"/>
  <c r="B60" i="5"/>
  <c r="D77" i="5"/>
  <c r="C64" i="5"/>
  <c r="D64" i="5"/>
  <c r="B59" i="5"/>
  <c r="B75" i="5"/>
  <c r="D63" i="5"/>
  <c r="D60" i="5"/>
  <c r="B25" i="5"/>
  <c r="B26" i="5" s="1"/>
  <c r="C60" i="5"/>
  <c r="B78" i="5"/>
  <c r="B22" i="5"/>
  <c r="F10" i="1"/>
  <c r="P10" i="1"/>
  <c r="B73" i="5"/>
  <c r="P13" i="1"/>
  <c r="P9" i="1"/>
  <c r="N9" i="1"/>
  <c r="C22" i="5"/>
  <c r="C66" i="5" l="1"/>
  <c r="D22" i="5"/>
  <c r="K39" i="1"/>
  <c r="P18" i="1"/>
  <c r="L17" i="1"/>
  <c r="N18" i="1"/>
  <c r="L18" i="1"/>
  <c r="L9" i="1"/>
  <c r="J18" i="1"/>
  <c r="J17" i="1"/>
  <c r="J13" i="1"/>
  <c r="J10" i="1"/>
  <c r="J9" i="1"/>
  <c r="J22" i="2" s="1"/>
  <c r="H18" i="1"/>
  <c r="H13" i="1"/>
  <c r="H12" i="2" s="1"/>
  <c r="H9" i="1"/>
  <c r="H16" i="2" s="1"/>
  <c r="F9" i="1"/>
  <c r="F16" i="2" s="1"/>
  <c r="D73" i="5"/>
  <c r="M18" i="1"/>
  <c r="K18" i="1"/>
  <c r="I18" i="1"/>
  <c r="G18" i="1"/>
  <c r="E18" i="1"/>
  <c r="F18" i="1" s="1"/>
  <c r="M23" i="2"/>
  <c r="G10" i="1"/>
  <c r="G11" i="1" s="1"/>
  <c r="G10" i="2" s="1"/>
  <c r="G40" i="1" s="1"/>
  <c r="G13" i="1"/>
  <c r="I10" i="1"/>
  <c r="I11" i="1" s="1"/>
  <c r="I13" i="1"/>
  <c r="I12" i="2" s="1"/>
  <c r="I39" i="1" s="1"/>
  <c r="I17" i="1"/>
  <c r="M10" i="1"/>
  <c r="N10" i="1" s="1"/>
  <c r="M13" i="1"/>
  <c r="M22" i="2" s="1"/>
  <c r="K10" i="1"/>
  <c r="L10" i="1" s="1"/>
  <c r="K11" i="1"/>
  <c r="K10" i="2" s="1"/>
  <c r="K40" i="1" s="1"/>
  <c r="K13" i="1"/>
  <c r="K22" i="2" s="1"/>
  <c r="K17" i="1"/>
  <c r="L22" i="1"/>
  <c r="G17" i="1"/>
  <c r="H17" i="1" s="1"/>
  <c r="E10" i="1"/>
  <c r="E11" i="1" s="1"/>
  <c r="E10" i="2" s="1"/>
  <c r="E40" i="1" s="1"/>
  <c r="E13" i="1"/>
  <c r="E22" i="2" s="1"/>
  <c r="E17" i="1"/>
  <c r="F17" i="1" s="1"/>
  <c r="M17" i="1"/>
  <c r="N17" i="1" s="1"/>
  <c r="F23" i="5"/>
  <c r="E23" i="5"/>
  <c r="D23" i="5"/>
  <c r="C23" i="5"/>
  <c r="B23" i="5"/>
  <c r="F28" i="5"/>
  <c r="A24" i="5"/>
  <c r="E57" i="5"/>
  <c r="D57" i="5"/>
  <c r="C57" i="5"/>
  <c r="B57" i="5"/>
  <c r="L24" i="2"/>
  <c r="L32" i="2"/>
  <c r="L25" i="2"/>
  <c r="L28" i="2"/>
  <c r="L33" i="2" s="1"/>
  <c r="J32" i="2"/>
  <c r="D42" i="5"/>
  <c r="C42" i="5"/>
  <c r="B42" i="5"/>
  <c r="F43" i="5"/>
  <c r="C67" i="5"/>
  <c r="D67" i="5"/>
  <c r="B68" i="5"/>
  <c r="C68" i="5"/>
  <c r="D68" i="5"/>
  <c r="B69" i="5"/>
  <c r="C69" i="5"/>
  <c r="D69" i="5"/>
  <c r="E43" i="5"/>
  <c r="E48" i="5"/>
  <c r="E47" i="5"/>
  <c r="E46" i="5"/>
  <c r="K12" i="2"/>
  <c r="L14" i="2"/>
  <c r="L17" i="2" s="1"/>
  <c r="J10" i="2"/>
  <c r="H10" i="2"/>
  <c r="F10" i="2"/>
  <c r="E12" i="2"/>
  <c r="E39" i="1" s="1"/>
  <c r="B24" i="5"/>
  <c r="B70" i="5"/>
  <c r="D66" i="5"/>
  <c r="E68" i="5" l="1"/>
  <c r="H22" i="2"/>
  <c r="H10" i="1"/>
  <c r="N13" i="1"/>
  <c r="I22" i="2"/>
  <c r="L13" i="1"/>
  <c r="P17" i="1"/>
  <c r="M25" i="2"/>
  <c r="F22" i="2"/>
  <c r="J16" i="2"/>
  <c r="J12" i="2"/>
  <c r="J14" i="2" s="1"/>
  <c r="J17" i="2" s="1"/>
  <c r="F12" i="2"/>
  <c r="F14" i="2" s="1"/>
  <c r="F17" i="2" s="1"/>
  <c r="M12" i="2"/>
  <c r="M39" i="1" s="1"/>
  <c r="D70" i="5"/>
  <c r="E69" i="5"/>
  <c r="J22" i="1"/>
  <c r="C70" i="5"/>
  <c r="C59" i="5"/>
  <c r="C24" i="5"/>
  <c r="C73" i="5"/>
  <c r="K37" i="1"/>
  <c r="D59" i="5"/>
  <c r="D24" i="5"/>
  <c r="N22" i="1"/>
  <c r="F27" i="2"/>
  <c r="E67" i="5"/>
  <c r="D75" i="5"/>
  <c r="E52" i="5"/>
  <c r="I15" i="1"/>
  <c r="I10" i="2"/>
  <c r="I40" i="1" s="1"/>
  <c r="M11" i="1"/>
  <c r="G12" i="2"/>
  <c r="G22" i="2"/>
  <c r="C77" i="5"/>
  <c r="F45" i="5"/>
  <c r="F52" i="5" s="1"/>
  <c r="B74" i="5"/>
  <c r="H27" i="2"/>
  <c r="G15" i="1"/>
  <c r="H15" i="1" s="1"/>
  <c r="H14" i="2"/>
  <c r="H17" i="2" s="1"/>
  <c r="E15" i="1"/>
  <c r="K15" i="1"/>
  <c r="L15" i="1" s="1"/>
  <c r="H22" i="1"/>
  <c r="F15" i="1" l="1"/>
  <c r="P15" i="1"/>
  <c r="E60" i="5"/>
  <c r="G14" i="2"/>
  <c r="G39" i="1"/>
  <c r="F22" i="1"/>
  <c r="P22" i="1"/>
  <c r="J27" i="2"/>
  <c r="J24" i="2" s="1"/>
  <c r="D61" i="5"/>
  <c r="E66" i="5"/>
  <c r="E70" i="5" s="1"/>
  <c r="F24" i="5"/>
  <c r="C61" i="5"/>
  <c r="E37" i="1"/>
  <c r="H24" i="2"/>
  <c r="E77" i="5"/>
  <c r="I37" i="1"/>
  <c r="E20" i="1"/>
  <c r="E31" i="1"/>
  <c r="I20" i="1"/>
  <c r="J20" i="1" s="1"/>
  <c r="I31" i="1"/>
  <c r="C75" i="5"/>
  <c r="M15" i="1"/>
  <c r="N15" i="1" s="1"/>
  <c r="M10" i="2"/>
  <c r="M28" i="2"/>
  <c r="M37" i="1"/>
  <c r="G37" i="1"/>
  <c r="B61" i="5"/>
  <c r="E59" i="5"/>
  <c r="E61" i="5" s="1"/>
  <c r="C74" i="5"/>
  <c r="G20" i="1"/>
  <c r="H20" i="1" s="1"/>
  <c r="G31" i="1"/>
  <c r="J25" i="2"/>
  <c r="J28" i="2" s="1"/>
  <c r="J33" i="2" s="1"/>
  <c r="C78" i="5"/>
  <c r="K20" i="1"/>
  <c r="L20" i="1" s="1"/>
  <c r="K31" i="1"/>
  <c r="D74" i="5"/>
  <c r="E75" i="5"/>
  <c r="F32" i="5"/>
  <c r="F33" i="5" s="1"/>
  <c r="D32" i="5"/>
  <c r="D33" i="5" s="1"/>
  <c r="C32" i="5"/>
  <c r="C33" i="5" s="1"/>
  <c r="F20" i="1" l="1"/>
  <c r="M14" i="2"/>
  <c r="M40" i="1"/>
  <c r="E74" i="5"/>
  <c r="G17" i="2"/>
  <c r="G38" i="1" s="1"/>
  <c r="D78" i="5"/>
  <c r="D34" i="5"/>
  <c r="D35" i="5" s="1"/>
  <c r="I24" i="1"/>
  <c r="J24" i="1" s="1"/>
  <c r="M31" i="1"/>
  <c r="M20" i="1"/>
  <c r="N20" i="1" s="1"/>
  <c r="E73" i="5"/>
  <c r="K24" i="1"/>
  <c r="L24" i="1" s="1"/>
  <c r="E24" i="1"/>
  <c r="G24" i="1"/>
  <c r="H24" i="1" s="1"/>
  <c r="M43" i="1" l="1"/>
  <c r="M42" i="1"/>
  <c r="E78" i="5"/>
  <c r="P24" i="1"/>
  <c r="F24" i="1"/>
  <c r="M24" i="1"/>
  <c r="N24" i="1" s="1"/>
  <c r="I26" i="1"/>
  <c r="J26" i="1" s="1"/>
  <c r="H23" i="2" s="1"/>
  <c r="H25" i="2" s="1"/>
  <c r="H28" i="2" s="1"/>
  <c r="D62" i="5"/>
  <c r="G26" i="1"/>
  <c r="E26" i="1"/>
  <c r="C34" i="5"/>
  <c r="C35" i="5" s="1"/>
  <c r="F34" i="5"/>
  <c r="F35" i="5" s="1"/>
  <c r="K26" i="1"/>
  <c r="L26" i="1" s="1"/>
  <c r="K28" i="1" l="1"/>
  <c r="L28" i="1" s="1"/>
  <c r="M31" i="2"/>
  <c r="M32" i="2" s="1"/>
  <c r="M33" i="2" s="1"/>
  <c r="M35" i="1" s="1"/>
  <c r="M38" i="1"/>
  <c r="G28" i="1"/>
  <c r="H28" i="1" s="1"/>
  <c r="H31" i="2" s="1"/>
  <c r="H32" i="2" s="1"/>
  <c r="H33" i="2" s="1"/>
  <c r="H26" i="1"/>
  <c r="F23" i="2" s="1"/>
  <c r="F25" i="2" s="1"/>
  <c r="F28" i="2" s="1"/>
  <c r="F26" i="1"/>
  <c r="P26" i="1"/>
  <c r="E28" i="1"/>
  <c r="E62" i="5"/>
  <c r="E63" i="5" s="1"/>
  <c r="E71" i="5" s="1"/>
  <c r="E79" i="5" s="1"/>
  <c r="E81" i="5" s="1"/>
  <c r="G23" i="2"/>
  <c r="E14" i="2"/>
  <c r="I28" i="1"/>
  <c r="J28" i="1" s="1"/>
  <c r="C62" i="5"/>
  <c r="I23" i="2"/>
  <c r="I25" i="2" s="1"/>
  <c r="I28" i="2" s="1"/>
  <c r="B31" i="5"/>
  <c r="D31" i="5"/>
  <c r="K32" i="1"/>
  <c r="B63" i="5"/>
  <c r="B64" i="5" s="1"/>
  <c r="D25" i="5"/>
  <c r="D26" i="5" s="1"/>
  <c r="D71" i="5"/>
  <c r="D79" i="5" s="1"/>
  <c r="M26" i="1"/>
  <c r="B71" i="5" l="1"/>
  <c r="B79" i="5" s="1"/>
  <c r="E17" i="2"/>
  <c r="E38" i="1" s="1"/>
  <c r="K31" i="2"/>
  <c r="M28" i="1"/>
  <c r="N28" i="1" s="1"/>
  <c r="N26" i="1"/>
  <c r="G32" i="1"/>
  <c r="G34" i="1"/>
  <c r="P28" i="1"/>
  <c r="E32" i="1"/>
  <c r="F28" i="1"/>
  <c r="F31" i="2" s="1"/>
  <c r="F32" i="2" s="1"/>
  <c r="F33" i="2" s="1"/>
  <c r="C31" i="5"/>
  <c r="I31" i="2"/>
  <c r="K32" i="2"/>
  <c r="E34" i="1"/>
  <c r="C25" i="5"/>
  <c r="C63" i="5"/>
  <c r="K23" i="2"/>
  <c r="K25" i="2" s="1"/>
  <c r="K28" i="2" s="1"/>
  <c r="I32" i="1"/>
  <c r="B81" i="5" l="1"/>
  <c r="C71" i="5"/>
  <c r="C79" i="5" s="1"/>
  <c r="C26" i="5"/>
  <c r="F25" i="5"/>
  <c r="M32" i="1"/>
  <c r="F26" i="5"/>
  <c r="C29" i="5" s="1"/>
  <c r="G31" i="2"/>
  <c r="I32" i="2"/>
  <c r="I33" i="2" s="1"/>
  <c r="K33" i="2"/>
  <c r="K14" i="2" l="1"/>
  <c r="K35" i="1"/>
  <c r="E31" i="2"/>
  <c r="E32" i="2" s="1"/>
  <c r="G32" i="2"/>
  <c r="D29" i="5"/>
  <c r="I14" i="2"/>
  <c r="I35" i="1"/>
  <c r="B29" i="5"/>
  <c r="I17" i="2" l="1"/>
  <c r="I43" i="1"/>
  <c r="I42" i="1"/>
  <c r="K17" i="2"/>
  <c r="K43" i="1"/>
  <c r="K42" i="1"/>
  <c r="F29" i="5"/>
  <c r="G25" i="2"/>
  <c r="E25" i="2"/>
  <c r="I38" i="1"/>
  <c r="I34" i="1"/>
  <c r="K38" i="1"/>
  <c r="K34" i="1"/>
  <c r="G28" i="2" l="1"/>
  <c r="G33" i="2" s="1"/>
  <c r="G35" i="1" s="1"/>
  <c r="G43" i="1"/>
  <c r="G42" i="1"/>
  <c r="E28" i="2"/>
  <c r="E33" i="2" s="1"/>
  <c r="E35" i="1" s="1"/>
  <c r="E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 Vézina</author>
  </authors>
  <commentList>
    <comment ref="A10" authorId="0" shapeId="0" xr:uid="{00000000-0006-0000-0000-000001000000}">
      <text>
        <r>
          <rPr>
            <b/>
            <sz val="8"/>
            <color indexed="81"/>
            <rFont val="Tahoma"/>
          </rPr>
          <t>Michel Vézina:</t>
        </r>
        <r>
          <rPr>
            <sz val="8"/>
            <color indexed="81"/>
            <rFont val="Tahoma"/>
          </rPr>
          <t xml:space="preserve">
Politique d'escompte révisée en 2003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 Vézina</author>
  </authors>
  <commentList>
    <comment ref="B27" authorId="0" shapeId="0" xr:uid="{00000000-0006-0000-0100-000001000000}">
      <text>
        <r>
          <rPr>
            <b/>
            <sz val="8"/>
            <color indexed="81"/>
            <rFont val="Tahoma"/>
          </rPr>
          <t>Michel Vézina:</t>
        </r>
        <r>
          <rPr>
            <sz val="8"/>
            <color indexed="81"/>
            <rFont val="Tahoma"/>
          </rPr>
          <t xml:space="preserve">
Divisé par 2 pour augmenter le coût en cap. à 10%
</t>
        </r>
      </text>
    </comment>
  </commentList>
</comments>
</file>

<file path=xl/sharedStrings.xml><?xml version="1.0" encoding="utf-8"?>
<sst xmlns="http://schemas.openxmlformats.org/spreadsheetml/2006/main" count="134" uniqueCount="107">
  <si>
    <r>
      <t xml:space="preserve">BDL inc.
</t>
    </r>
    <r>
      <rPr>
        <sz val="9"/>
        <rFont val="Arial"/>
        <family val="2"/>
      </rPr>
      <t>RÉSULTATS</t>
    </r>
    <r>
      <rPr>
        <b/>
        <sz val="9"/>
        <rFont val="Arial"/>
        <family val="2"/>
      </rPr>
      <t xml:space="preserve">
</t>
    </r>
    <r>
      <rPr>
        <i/>
        <sz val="9"/>
        <rFont val="Arial"/>
        <family val="2"/>
      </rPr>
      <t xml:space="preserve">Pour les exercices terminés le 31 décembre </t>
    </r>
  </si>
  <si>
    <t xml:space="preserve">Variation </t>
  </si>
  <si>
    <t>(en milliers de dollars sauf pour les montants relatifs au bénéfice par action)</t>
  </si>
  <si>
    <t>CHIFFRE D'AFFAIRES</t>
  </si>
  <si>
    <t>Moins : rendus, rabais et escomptes</t>
  </si>
  <si>
    <t>Revenus nets</t>
  </si>
  <si>
    <t>COÛT DES PRODUITS VENDUS</t>
  </si>
  <si>
    <t>BÉNÉFICE BRUT</t>
  </si>
  <si>
    <t>Frais de vente et d'administration</t>
  </si>
  <si>
    <t>Amortissements</t>
  </si>
  <si>
    <t>BÉNÉFICE D'EXPLOITATION</t>
  </si>
  <si>
    <t>Frais financiers</t>
  </si>
  <si>
    <t>BÉNÉFICE (PERTE) AVANT IMPÔTS SUR LES BÉNÉFICES</t>
  </si>
  <si>
    <t>IMPÔTS SUR LES BÉNÉFICES</t>
  </si>
  <si>
    <t>BÉNÉFICE NET (PERTE NETTE)</t>
  </si>
  <si>
    <t>Marge brute</t>
  </si>
  <si>
    <t>Marge nette</t>
  </si>
  <si>
    <t>Rendement sur capital Investi</t>
  </si>
  <si>
    <t>Ratio d'endettement (P/A)</t>
  </si>
  <si>
    <t>% de frais généraux</t>
  </si>
  <si>
    <t>Taux de rotation des actif</t>
  </si>
  <si>
    <t xml:space="preserve">Taux de rotation des stocks </t>
  </si>
  <si>
    <t xml:space="preserve">Delai de paiement des comptes clients </t>
  </si>
  <si>
    <t>FDR</t>
  </si>
  <si>
    <t>Liquidité immédiate</t>
  </si>
  <si>
    <r>
      <t xml:space="preserve">BDL inc
</t>
    </r>
    <r>
      <rPr>
        <sz val="9"/>
        <rFont val="Arial"/>
        <family val="2"/>
      </rPr>
      <t>BILAN</t>
    </r>
    <r>
      <rPr>
        <b/>
        <sz val="9"/>
        <rFont val="Arial"/>
        <family val="2"/>
      </rPr>
      <t xml:space="preserve">
</t>
    </r>
    <r>
      <rPr>
        <i/>
        <sz val="9"/>
        <rFont val="Arial"/>
        <family val="2"/>
      </rPr>
      <t xml:space="preserve">Au 31 décembre </t>
    </r>
  </si>
  <si>
    <t>ACTIF</t>
  </si>
  <si>
    <t>Actif à court terme</t>
  </si>
  <si>
    <t>Espèces et quasi espèces</t>
  </si>
  <si>
    <t>Débiteurs</t>
  </si>
  <si>
    <t>Impôts à recevoir</t>
  </si>
  <si>
    <t>Stocks</t>
  </si>
  <si>
    <t>Frais payés d'avance</t>
  </si>
  <si>
    <t>Actif à long terme</t>
  </si>
  <si>
    <t>Immobilisations</t>
  </si>
  <si>
    <t>PASSIF</t>
  </si>
  <si>
    <t>Passif à court terme</t>
  </si>
  <si>
    <t>Découvert de banque</t>
  </si>
  <si>
    <t>Créditeurs et frais courus</t>
  </si>
  <si>
    <t>Impôts  à payer</t>
  </si>
  <si>
    <t>Portion à court terme de la dette à long terme</t>
  </si>
  <si>
    <t>Passif à long terme</t>
  </si>
  <si>
    <t>Dette à long terme</t>
  </si>
  <si>
    <t>CAPITAUX PROPRES</t>
  </si>
  <si>
    <t>Capital-actions</t>
  </si>
  <si>
    <t>Bénéfices non répartis</t>
  </si>
  <si>
    <t>Informations sur le coût des produits vendus- année 2020</t>
  </si>
  <si>
    <t>Meubles usinés</t>
  </si>
  <si>
    <t>Meubles usinés finis main</t>
  </si>
  <si>
    <t>Meubles sur mesure</t>
  </si>
  <si>
    <t>Moyenne par unité pondérée</t>
  </si>
  <si>
    <t>Total en milliers de dollars</t>
  </si>
  <si>
    <t>Nombre de modèles</t>
  </si>
  <si>
    <t>Chiffre d'affaires (en milliers de $)</t>
  </si>
  <si>
    <t>Ne tient pas compte de l'escompte</t>
  </si>
  <si>
    <t>Volume de vente</t>
  </si>
  <si>
    <t>Prix de vente unitaire moyen avant escomptes</t>
  </si>
  <si>
    <t>Frais directs de fabrication unitaires</t>
  </si>
  <si>
    <t>Achats nets de matières premières</t>
  </si>
  <si>
    <t>Main-d'œuvre directe</t>
  </si>
  <si>
    <t>Total frais directs</t>
  </si>
  <si>
    <t>Frais indirects de fabrication unitaires</t>
  </si>
  <si>
    <t xml:space="preserve">   Fournitures de fabrication</t>
  </si>
  <si>
    <t xml:space="preserve">   Main-d’œuvre indirecte</t>
  </si>
  <si>
    <t xml:space="preserve">   Charges sociales</t>
  </si>
  <si>
    <t xml:space="preserve">   Énergie</t>
  </si>
  <si>
    <t xml:space="preserve">   Entretien et réparations</t>
  </si>
  <si>
    <t xml:space="preserve">   Impôts fonciers</t>
  </si>
  <si>
    <t xml:space="preserve">   Assurances</t>
  </si>
  <si>
    <t>Total frais indirects</t>
  </si>
  <si>
    <t>Coût unitaire des marchandises vendues</t>
  </si>
  <si>
    <t>Marge brute unitaire $</t>
  </si>
  <si>
    <t>Meubles sur mesure semblent plus rentables à l'unité</t>
  </si>
  <si>
    <t xml:space="preserve">… mais le ratio  indique que les meubles usinés ont une marge supérieure </t>
  </si>
  <si>
    <t>CMV total (en 000$)</t>
  </si>
  <si>
    <t>Pourcentage des ventes totales</t>
  </si>
  <si>
    <t>Pourcentage de contribution à la marge brute totale</t>
  </si>
  <si>
    <t>Marge brute %</t>
  </si>
  <si>
    <t>Marge sur coûts variables</t>
  </si>
  <si>
    <t>% de MCV</t>
  </si>
  <si>
    <t>S.R. de fabrication</t>
  </si>
  <si>
    <t>Marge de sécurité de fabrication (%)</t>
  </si>
  <si>
    <t>Total</t>
  </si>
  <si>
    <t>en 000$</t>
  </si>
  <si>
    <t>Escomptes</t>
  </si>
  <si>
    <t>Commissions</t>
  </si>
  <si>
    <t>Frais de transports</t>
  </si>
  <si>
    <t>Frais d'assemblage</t>
  </si>
  <si>
    <t>Frais de design</t>
  </si>
  <si>
    <t>Salaires administration</t>
  </si>
  <si>
    <t>% du CA</t>
  </si>
  <si>
    <t>Frais de bureau</t>
  </si>
  <si>
    <t>Frais promotion et de publicité</t>
  </si>
  <si>
    <t>Ventes brutes</t>
  </si>
  <si>
    <t>Escompte</t>
  </si>
  <si>
    <t>Facteur important affectant la rentabilité des lignes</t>
  </si>
  <si>
    <t>Ventes nettes</t>
  </si>
  <si>
    <t>Coût des marchandises vendues</t>
  </si>
  <si>
    <t>Impact global du volume de ventes</t>
  </si>
  <si>
    <t>Frais de ventes et d'administration</t>
  </si>
  <si>
    <t>Frais spécifiques</t>
  </si>
  <si>
    <t>Inversement relié au volume</t>
  </si>
  <si>
    <t>Marge nette spécifique</t>
  </si>
  <si>
    <t>Frais communs</t>
  </si>
  <si>
    <t>Salaires direction</t>
  </si>
  <si>
    <t>Marge nette d'exploitation</t>
  </si>
  <si>
    <t>Marge nette unitaire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</si>
</sst>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\ &quot;$&quot;_-;[Red]#,##0\ &quot;$&quot;\-"/>
    <numFmt numFmtId="165" formatCode="_-* #,##0.00\ &quot;$&quot;_-;_-* #,##0.00\ &quot;$&quot;\-;_-* &quot;-&quot;??\ &quot;$&quot;_-;_-@_-"/>
    <numFmt numFmtId="166" formatCode="_-* #,##0.00\ _$_-;_-* #,##0.00\ _$\-;_-* &quot;-&quot;??\ _$_-;_-@_-"/>
    <numFmt numFmtId="167" formatCode="[$-F800]dddd\,\ mmmm\ dd\,\ yyyy"/>
    <numFmt numFmtId="168" formatCode="_-* #,##0\ &quot;$&quot;_-;_-* #,##0\ &quot;$&quot;\-;_-* &quot;-&quot;??\ &quot;$&quot;_-;_-@_-"/>
    <numFmt numFmtId="169" formatCode="#,##0\ _$_-"/>
    <numFmt numFmtId="170" formatCode="#,##0\ &quot;$&quot;_-"/>
    <numFmt numFmtId="171" formatCode="0.0%"/>
    <numFmt numFmtId="172" formatCode="_ * #,##0.0_)\ &quot;$&quot;_ ;_ * \(#,##0.0\)\ &quot;$&quot;_ ;_ * &quot;-&quot;?_)\ &quot;$&quot;_ ;_ @_ "/>
    <numFmt numFmtId="173" formatCode="_-* #,##0.00\ _$_-;_-* #,##0.00\ _$\-;_-* &quot;-&quot;?\ _$_-;_-@_-"/>
  </numFmts>
  <fonts count="27">
    <font>
      <sz val="10"/>
      <name val="Arial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8.5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.5"/>
      <color indexed="10"/>
      <name val="Arial"/>
      <family val="2"/>
    </font>
    <font>
      <b/>
      <sz val="8.5"/>
      <color indexed="12"/>
      <name val="Arial"/>
      <family val="2"/>
    </font>
    <font>
      <b/>
      <sz val="9"/>
      <color indexed="10"/>
      <name val="Arial"/>
      <family val="2"/>
    </font>
    <font>
      <sz val="8"/>
      <name val="Arial"/>
    </font>
    <font>
      <b/>
      <sz val="10"/>
      <name val="Arial"/>
      <family val="2"/>
    </font>
    <font>
      <b/>
      <i/>
      <sz val="8.5"/>
      <color indexed="12"/>
      <name val="Arial"/>
      <family val="2"/>
    </font>
    <font>
      <sz val="9"/>
      <name val="Arial"/>
    </font>
    <font>
      <i/>
      <sz val="8.5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sz val="12"/>
      <color indexed="5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48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8" fontId="3" fillId="0" borderId="0" xfId="1" applyNumberFormat="1" applyFont="1"/>
    <xf numFmtId="0" fontId="9" fillId="0" borderId="0" xfId="0" applyFont="1"/>
    <xf numFmtId="169" fontId="3" fillId="0" borderId="4" xfId="1" applyNumberFormat="1" applyFont="1" applyBorder="1"/>
    <xf numFmtId="169" fontId="3" fillId="0" borderId="4" xfId="0" applyNumberFormat="1" applyFont="1" applyBorder="1"/>
    <xf numFmtId="169" fontId="3" fillId="0" borderId="0" xfId="0" applyNumberFormat="1" applyFont="1"/>
    <xf numFmtId="169" fontId="3" fillId="0" borderId="0" xfId="1" applyNumberFormat="1" applyFont="1"/>
    <xf numFmtId="0" fontId="10" fillId="0" borderId="0" xfId="0" applyFont="1"/>
    <xf numFmtId="0" fontId="5" fillId="0" borderId="0" xfId="0" applyFont="1" applyAlignment="1">
      <alignment horizontal="left" indent="1"/>
    </xf>
    <xf numFmtId="170" fontId="3" fillId="0" borderId="5" xfId="0" applyNumberFormat="1" applyFont="1" applyBorder="1"/>
    <xf numFmtId="0" fontId="12" fillId="0" borderId="0" xfId="0" applyFont="1" applyAlignment="1">
      <alignment horizontal="center" vertical="center"/>
    </xf>
    <xf numFmtId="167" fontId="13" fillId="0" borderId="0" xfId="0" applyNumberFormat="1" applyFont="1"/>
    <xf numFmtId="168" fontId="0" fillId="0" borderId="0" xfId="1" applyNumberFormat="1" applyFont="1"/>
    <xf numFmtId="0" fontId="14" fillId="0" borderId="0" xfId="0" applyFont="1" applyAlignment="1">
      <alignment horizontal="left"/>
    </xf>
    <xf numFmtId="170" fontId="0" fillId="0" borderId="0" xfId="0" applyNumberFormat="1"/>
    <xf numFmtId="169" fontId="15" fillId="0" borderId="0" xfId="0" applyNumberFormat="1" applyFont="1"/>
    <xf numFmtId="0" fontId="15" fillId="0" borderId="0" xfId="0" applyFont="1"/>
    <xf numFmtId="169" fontId="15" fillId="0" borderId="6" xfId="0" applyNumberFormat="1" applyFont="1" applyBorder="1"/>
    <xf numFmtId="0" fontId="16" fillId="0" borderId="0" xfId="0" applyFont="1"/>
    <xf numFmtId="170" fontId="15" fillId="0" borderId="7" xfId="0" applyNumberFormat="1" applyFont="1" applyBorder="1"/>
    <xf numFmtId="170" fontId="15" fillId="0" borderId="0" xfId="0" applyNumberFormat="1" applyFont="1"/>
    <xf numFmtId="0" fontId="14" fillId="0" borderId="0" xfId="0" applyFont="1"/>
    <xf numFmtId="169" fontId="15" fillId="0" borderId="0" xfId="1" applyNumberFormat="1" applyFont="1"/>
    <xf numFmtId="169" fontId="15" fillId="0" borderId="0" xfId="1" applyNumberFormat="1" applyFont="1" applyBorder="1"/>
    <xf numFmtId="169" fontId="15" fillId="0" borderId="4" xfId="1" applyNumberFormat="1" applyFont="1" applyBorder="1"/>
    <xf numFmtId="168" fontId="15" fillId="0" borderId="8" xfId="1" applyNumberFormat="1" applyFont="1" applyBorder="1"/>
    <xf numFmtId="168" fontId="15" fillId="0" borderId="0" xfId="1" applyNumberFormat="1" applyFont="1" applyBorder="1"/>
    <xf numFmtId="169" fontId="15" fillId="0" borderId="8" xfId="0" applyNumberFormat="1" applyFont="1" applyBorder="1"/>
    <xf numFmtId="168" fontId="15" fillId="0" borderId="7" xfId="0" applyNumberFormat="1" applyFont="1" applyBorder="1"/>
    <xf numFmtId="168" fontId="15" fillId="0" borderId="0" xfId="0" applyNumberFormat="1" applyFont="1"/>
    <xf numFmtId="9" fontId="3" fillId="0" borderId="0" xfId="2" applyFont="1"/>
    <xf numFmtId="0" fontId="20" fillId="0" borderId="0" xfId="0" applyFont="1" applyAlignment="1">
      <alignment horizontal="right" vertical="top" wrapText="1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170" fontId="20" fillId="0" borderId="0" xfId="0" applyNumberFormat="1" applyFont="1" applyAlignment="1">
      <alignment horizontal="center" vertical="top" wrapText="1"/>
    </xf>
    <xf numFmtId="169" fontId="20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170" fontId="20" fillId="0" borderId="0" xfId="0" applyNumberFormat="1" applyFont="1" applyAlignment="1">
      <alignment horizontal="right" vertical="top" wrapText="1"/>
    </xf>
    <xf numFmtId="0" fontId="20" fillId="0" borderId="0" xfId="0" applyFont="1" applyAlignment="1">
      <alignment horizontal="left" vertical="top" wrapText="1" indent="1"/>
    </xf>
    <xf numFmtId="9" fontId="20" fillId="0" borderId="0" xfId="0" applyNumberFormat="1" applyFont="1" applyAlignment="1">
      <alignment horizontal="right" vertical="top" wrapText="1"/>
    </xf>
    <xf numFmtId="171" fontId="20" fillId="0" borderId="0" xfId="2" applyNumberFormat="1" applyFont="1" applyAlignment="1">
      <alignment horizontal="center" vertical="top" wrapText="1"/>
    </xf>
    <xf numFmtId="169" fontId="20" fillId="0" borderId="4" xfId="0" applyNumberFormat="1" applyFont="1" applyBorder="1" applyAlignment="1">
      <alignment horizontal="center" vertical="top" wrapText="1"/>
    </xf>
    <xf numFmtId="169" fontId="20" fillId="0" borderId="8" xfId="0" applyNumberFormat="1" applyFont="1" applyBorder="1" applyAlignment="1">
      <alignment horizontal="center" vertical="top" wrapText="1"/>
    </xf>
    <xf numFmtId="170" fontId="20" fillId="0" borderId="7" xfId="0" applyNumberFormat="1" applyFont="1" applyBorder="1" applyAlignment="1">
      <alignment horizontal="center" vertical="top" wrapText="1"/>
    </xf>
    <xf numFmtId="9" fontId="20" fillId="0" borderId="0" xfId="2" applyFont="1" applyAlignment="1">
      <alignment horizontal="center" vertical="top" wrapText="1"/>
    </xf>
    <xf numFmtId="164" fontId="20" fillId="0" borderId="0" xfId="0" applyNumberFormat="1" applyFont="1" applyAlignment="1">
      <alignment horizontal="right" vertical="top" wrapText="1"/>
    </xf>
    <xf numFmtId="9" fontId="20" fillId="0" borderId="0" xfId="0" applyNumberFormat="1" applyFont="1" applyAlignment="1">
      <alignment horizontal="center" vertical="top" wrapText="1"/>
    </xf>
    <xf numFmtId="164" fontId="0" fillId="0" borderId="7" xfId="0" applyNumberFormat="1" applyBorder="1"/>
    <xf numFmtId="164" fontId="20" fillId="0" borderId="4" xfId="0" applyNumberFormat="1" applyFont="1" applyBorder="1" applyAlignment="1">
      <alignment horizontal="right" vertical="top" wrapText="1"/>
    </xf>
    <xf numFmtId="2" fontId="20" fillId="0" borderId="0" xfId="0" applyNumberFormat="1" applyFont="1" applyAlignment="1">
      <alignment horizontal="right" vertical="top" wrapText="1"/>
    </xf>
    <xf numFmtId="165" fontId="0" fillId="0" borderId="0" xfId="1" applyFont="1"/>
    <xf numFmtId="169" fontId="3" fillId="0" borderId="0" xfId="1" applyNumberFormat="1" applyFont="1" applyBorder="1"/>
    <xf numFmtId="164" fontId="0" fillId="0" borderId="0" xfId="0" applyNumberFormat="1"/>
    <xf numFmtId="9" fontId="20" fillId="0" borderId="0" xfId="2" applyFont="1" applyBorder="1" applyAlignment="1">
      <alignment horizontal="center" vertical="top" wrapText="1"/>
    </xf>
    <xf numFmtId="0" fontId="13" fillId="0" borderId="0" xfId="0" applyFont="1" applyAlignment="1">
      <alignment horizontal="left"/>
    </xf>
    <xf numFmtId="164" fontId="20" fillId="0" borderId="0" xfId="0" applyNumberFormat="1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170" fontId="20" fillId="0" borderId="7" xfId="0" applyNumberFormat="1" applyFont="1" applyBorder="1" applyAlignment="1">
      <alignment horizontal="right" vertical="top" wrapText="1"/>
    </xf>
    <xf numFmtId="166" fontId="3" fillId="0" borderId="0" xfId="0" applyNumberFormat="1" applyFont="1"/>
    <xf numFmtId="171" fontId="20" fillId="0" borderId="0" xfId="0" applyNumberFormat="1" applyFont="1" applyAlignment="1">
      <alignment horizontal="center" vertical="top" wrapText="1"/>
    </xf>
    <xf numFmtId="0" fontId="24" fillId="0" borderId="0" xfId="0" applyFont="1" applyAlignment="1">
      <alignment horizontal="left"/>
    </xf>
    <xf numFmtId="171" fontId="20" fillId="0" borderId="0" xfId="2" applyNumberFormat="1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center"/>
    </xf>
    <xf numFmtId="171" fontId="3" fillId="0" borderId="0" xfId="2" applyNumberFormat="1" applyFont="1"/>
    <xf numFmtId="172" fontId="3" fillId="0" borderId="0" xfId="0" applyNumberFormat="1" applyFont="1"/>
    <xf numFmtId="171" fontId="3" fillId="0" borderId="0" xfId="2" applyNumberFormat="1" applyFont="1" applyAlignment="1">
      <alignment horizontal="right"/>
    </xf>
    <xf numFmtId="171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0" fontId="3" fillId="0" borderId="0" xfId="2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0" fontId="22" fillId="3" borderId="0" xfId="0" applyFont="1" applyFill="1" applyAlignment="1">
      <alignment horizontal="left" wrapText="1"/>
    </xf>
    <xf numFmtId="0" fontId="21" fillId="3" borderId="0" xfId="0" applyFont="1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23" fillId="3" borderId="0" xfId="0" applyFont="1" applyFill="1" applyAlignment="1">
      <alignment horizontal="left"/>
    </xf>
    <xf numFmtId="0" fontId="2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0" fillId="3" borderId="0" xfId="0" applyFont="1" applyFill="1" applyAlignment="1">
      <alignment horizontal="left" vertical="top" wrapText="1" indent="1"/>
    </xf>
    <xf numFmtId="0" fontId="0" fillId="3" borderId="0" xfId="0" applyFill="1"/>
    <xf numFmtId="0" fontId="21" fillId="3" borderId="0" xfId="0" applyFont="1" applyFill="1" applyAlignment="1">
      <alignment horizontal="left" vertical="top" wrapText="1" indent="1"/>
    </xf>
    <xf numFmtId="165" fontId="0" fillId="3" borderId="0" xfId="1" applyFont="1" applyFill="1"/>
    <xf numFmtId="0" fontId="25" fillId="0" borderId="0" xfId="0" applyFont="1"/>
    <xf numFmtId="170" fontId="0" fillId="3" borderId="0" xfId="1" applyNumberFormat="1" applyFont="1" applyFill="1"/>
    <xf numFmtId="0" fontId="24" fillId="0" borderId="0" xfId="0" applyFont="1"/>
    <xf numFmtId="170" fontId="0" fillId="0" borderId="4" xfId="0" applyNumberFormat="1" applyBorder="1"/>
    <xf numFmtId="170" fontId="0" fillId="0" borderId="5" xfId="0" applyNumberFormat="1" applyBorder="1"/>
    <xf numFmtId="10" fontId="24" fillId="0" borderId="0" xfId="0" applyNumberFormat="1" applyFont="1" applyAlignment="1">
      <alignment horizontal="center" vertical="top" wrapText="1"/>
    </xf>
    <xf numFmtId="0" fontId="24" fillId="3" borderId="0" xfId="0" applyFont="1" applyFill="1" applyAlignment="1">
      <alignment horizontal="left" vertical="top" wrapText="1"/>
    </xf>
    <xf numFmtId="170" fontId="0" fillId="3" borderId="6" xfId="0" applyNumberFormat="1" applyFill="1" applyBorder="1" applyAlignment="1">
      <alignment horizontal="center" vertical="top" wrapText="1"/>
    </xf>
    <xf numFmtId="169" fontId="0" fillId="3" borderId="4" xfId="0" applyNumberFormat="1" applyFill="1" applyBorder="1" applyAlignment="1">
      <alignment horizontal="center" vertical="top" wrapText="1"/>
    </xf>
    <xf numFmtId="169" fontId="0" fillId="3" borderId="8" xfId="0" applyNumberFormat="1" applyFill="1" applyBorder="1" applyAlignment="1">
      <alignment horizontal="center" vertical="top" wrapText="1"/>
    </xf>
    <xf numFmtId="169" fontId="0" fillId="3" borderId="0" xfId="0" applyNumberFormat="1" applyFill="1" applyAlignment="1">
      <alignment horizontal="center" vertical="top" wrapText="1"/>
    </xf>
    <xf numFmtId="170" fontId="0" fillId="3" borderId="4" xfId="0" applyNumberFormat="1" applyFill="1" applyBorder="1" applyAlignment="1">
      <alignment horizontal="center" vertical="top" wrapText="1"/>
    </xf>
    <xf numFmtId="170" fontId="0" fillId="3" borderId="0" xfId="0" applyNumberFormat="1" applyFill="1" applyAlignment="1">
      <alignment horizontal="center" vertical="top" wrapText="1"/>
    </xf>
    <xf numFmtId="9" fontId="0" fillId="3" borderId="0" xfId="2" applyFont="1" applyFill="1" applyAlignment="1">
      <alignment horizontal="center" vertical="top" wrapText="1"/>
    </xf>
    <xf numFmtId="0" fontId="13" fillId="3" borderId="0" xfId="0" applyFont="1" applyFill="1" applyAlignment="1">
      <alignment horizontal="left" vertical="top" wrapText="1"/>
    </xf>
    <xf numFmtId="169" fontId="26" fillId="3" borderId="8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5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/>
    </xf>
    <xf numFmtId="170" fontId="0" fillId="0" borderId="10" xfId="0" applyNumberFormat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cuments\Enseignement\Cours\Pharmacie\Cas_r&#233;e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écisions"/>
      <sheetName val="Tester"/>
      <sheetName val="Véhicule de livraison"/>
      <sheetName val="Présentoir"/>
      <sheetName val="Achat_appareil"/>
      <sheetName val="Location"/>
      <sheetName val="Heures"/>
      <sheetName val="Journée_santé"/>
      <sheetName val="Bannières"/>
      <sheetName val="Comptoir cosmétiques"/>
      <sheetName val="non_étiquetage"/>
      <sheetName val="Compte Pillule"/>
      <sheetName val="Achat Pharmac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workbookViewId="0">
      <pane xSplit="4" ySplit="7" topLeftCell="I22" activePane="bottomRight" state="frozen"/>
      <selection pane="bottomRight" activeCell="M34" sqref="M34"/>
      <selection pane="bottomLeft" activeCell="A8" sqref="A8"/>
      <selection pane="topRight" activeCell="E1" sqref="E1"/>
    </sheetView>
  </sheetViews>
  <sheetFormatPr defaultColWidth="11.42578125" defaultRowHeight="11.45"/>
  <cols>
    <col min="1" max="1" width="11.42578125" style="2"/>
    <col min="2" max="2" width="11.42578125" style="1"/>
    <col min="3" max="3" width="8.28515625" style="1" customWidth="1"/>
    <col min="4" max="4" width="2.28515625" style="1" customWidth="1"/>
    <col min="5" max="5" width="14.42578125" style="1" bestFit="1" customWidth="1"/>
    <col min="6" max="6" width="5.42578125" style="1" customWidth="1"/>
    <col min="7" max="7" width="11.7109375" style="1" bestFit="1" customWidth="1"/>
    <col min="8" max="8" width="5.28515625" style="1" bestFit="1" customWidth="1"/>
    <col min="9" max="9" width="10.28515625" style="1" bestFit="1" customWidth="1"/>
    <col min="10" max="10" width="5.5703125" style="1" bestFit="1" customWidth="1"/>
    <col min="11" max="11" width="10.28515625" style="1" bestFit="1" customWidth="1"/>
    <col min="12" max="12" width="5.28515625" style="1" bestFit="1" customWidth="1"/>
    <col min="13" max="13" width="10.28515625" style="1" bestFit="1" customWidth="1"/>
    <col min="14" max="14" width="7.42578125" style="1" customWidth="1"/>
    <col min="15" max="16384" width="11.42578125" style="1"/>
  </cols>
  <sheetData>
    <row r="1" spans="1:16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6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6" ht="25.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  <row r="4" spans="1:16" ht="12" thickBot="1"/>
    <row r="5" spans="1:16" s="4" customFormat="1" ht="21" customHeight="1" thickTop="1" thickBot="1">
      <c r="A5" s="3"/>
      <c r="E5" s="70">
        <v>2020</v>
      </c>
      <c r="F5" s="5"/>
      <c r="G5" s="70">
        <v>2019</v>
      </c>
      <c r="H5" s="6"/>
      <c r="I5" s="70">
        <v>2018</v>
      </c>
      <c r="J5" s="5"/>
      <c r="K5" s="70">
        <v>2017</v>
      </c>
      <c r="L5" s="5"/>
      <c r="M5" s="7">
        <v>2016</v>
      </c>
      <c r="P5" s="4" t="s">
        <v>1</v>
      </c>
    </row>
    <row r="6" spans="1:16" ht="13.5" customHeight="1" thickTop="1">
      <c r="E6" s="105" t="s">
        <v>2</v>
      </c>
      <c r="F6" s="105"/>
      <c r="G6" s="105"/>
      <c r="H6" s="105"/>
      <c r="I6" s="105"/>
      <c r="J6" s="105"/>
      <c r="K6" s="105"/>
      <c r="L6" s="105"/>
      <c r="M6" s="105"/>
    </row>
    <row r="7" spans="1:16">
      <c r="E7" s="106"/>
      <c r="F7" s="106"/>
      <c r="G7" s="106"/>
      <c r="H7" s="106"/>
      <c r="I7" s="106"/>
      <c r="J7" s="106"/>
      <c r="K7" s="106"/>
      <c r="L7" s="106"/>
      <c r="M7" s="106"/>
    </row>
    <row r="8" spans="1:16">
      <c r="E8" s="8"/>
      <c r="G8" s="8"/>
    </row>
    <row r="9" spans="1:16">
      <c r="A9" s="9" t="s">
        <v>3</v>
      </c>
      <c r="E9" s="8">
        <v>5450</v>
      </c>
      <c r="F9" s="37">
        <f>E9/$E$9</f>
        <v>1</v>
      </c>
      <c r="G9" s="8">
        <v>5350</v>
      </c>
      <c r="H9" s="37">
        <f>G9/$G$9</f>
        <v>1</v>
      </c>
      <c r="I9" s="8">
        <v>5250</v>
      </c>
      <c r="J9" s="37">
        <f>I9/$I$9</f>
        <v>1</v>
      </c>
      <c r="K9" s="8">
        <v>5000</v>
      </c>
      <c r="L9" s="37">
        <f>K9/$K$9</f>
        <v>1</v>
      </c>
      <c r="M9" s="8">
        <v>4500</v>
      </c>
      <c r="N9" s="37">
        <f>M9/$M$9</f>
        <v>1</v>
      </c>
      <c r="P9" s="71">
        <f>(E9-G9)/E9</f>
        <v>1.834862385321101E-2</v>
      </c>
    </row>
    <row r="10" spans="1:16" ht="21.75" customHeight="1">
      <c r="A10" s="107" t="s">
        <v>4</v>
      </c>
      <c r="B10" s="107"/>
      <c r="E10" s="11">
        <f>8%*E9</f>
        <v>436</v>
      </c>
      <c r="F10" s="37">
        <f>E10/$E$9</f>
        <v>0.08</v>
      </c>
      <c r="G10" s="11">
        <f>7%*G9</f>
        <v>374.50000000000006</v>
      </c>
      <c r="H10" s="37">
        <f>G10/$G$9</f>
        <v>7.0000000000000007E-2</v>
      </c>
      <c r="I10" s="11">
        <f>5%*I9</f>
        <v>262.5</v>
      </c>
      <c r="J10" s="37">
        <f>I10/$I$9</f>
        <v>0.05</v>
      </c>
      <c r="K10" s="11">
        <f>4%*K9</f>
        <v>200</v>
      </c>
      <c r="L10" s="37">
        <f>K10/$K$9</f>
        <v>0.04</v>
      </c>
      <c r="M10" s="11">
        <f>4%*M9</f>
        <v>180</v>
      </c>
      <c r="N10" s="37">
        <f>M10/$M$9</f>
        <v>0.04</v>
      </c>
      <c r="P10" s="71">
        <f>(E10-G10)/E10</f>
        <v>0.14105504587155951</v>
      </c>
    </row>
    <row r="11" spans="1:16">
      <c r="A11" s="2" t="s">
        <v>5</v>
      </c>
      <c r="E11" s="13">
        <f>SUM(E9-E10)</f>
        <v>5014</v>
      </c>
      <c r="F11" s="37"/>
      <c r="G11" s="13">
        <f>SUM(G9-G10)</f>
        <v>4975.5</v>
      </c>
      <c r="H11" s="37"/>
      <c r="I11" s="12">
        <f>SUM(I9-I10)</f>
        <v>4987.5</v>
      </c>
      <c r="J11" s="12"/>
      <c r="K11" s="12">
        <f>SUM(K9-K10)</f>
        <v>4800</v>
      </c>
      <c r="L11" s="37"/>
      <c r="M11" s="12">
        <f>SUM(M9-M10)</f>
        <v>4320</v>
      </c>
    </row>
    <row r="12" spans="1:16">
      <c r="E12" s="8"/>
      <c r="G12" s="8"/>
      <c r="I12" s="12"/>
      <c r="J12" s="12"/>
      <c r="K12" s="12"/>
      <c r="L12" s="12"/>
      <c r="M12" s="12"/>
      <c r="P12" s="72"/>
    </row>
    <row r="13" spans="1:16">
      <c r="A13" s="14" t="s">
        <v>6</v>
      </c>
      <c r="E13" s="11">
        <f>62%*E9</f>
        <v>3379</v>
      </c>
      <c r="F13" s="37">
        <f>E13/$E$9</f>
        <v>0.62</v>
      </c>
      <c r="G13" s="11">
        <f>61%*G9</f>
        <v>3263.5</v>
      </c>
      <c r="H13" s="37">
        <f>G13/$G$9</f>
        <v>0.61</v>
      </c>
      <c r="I13" s="11">
        <f>60%*I9</f>
        <v>3150</v>
      </c>
      <c r="J13" s="37">
        <f>I13/$I$9</f>
        <v>0.6</v>
      </c>
      <c r="K13" s="11">
        <f>59%*K9</f>
        <v>2950</v>
      </c>
      <c r="L13" s="37">
        <f>K13/$K$9</f>
        <v>0.59</v>
      </c>
      <c r="M13" s="11">
        <f>58%*M9</f>
        <v>2610</v>
      </c>
      <c r="N13" s="37">
        <f>M13/$M$9</f>
        <v>0.57999999999999996</v>
      </c>
      <c r="P13" s="71">
        <f>(E13-G13)/E13</f>
        <v>3.4181710565255992E-2</v>
      </c>
    </row>
    <row r="14" spans="1:16">
      <c r="E14" s="8"/>
      <c r="G14" s="8"/>
      <c r="I14" s="12"/>
      <c r="J14" s="12"/>
      <c r="K14" s="12"/>
      <c r="L14" s="12"/>
      <c r="M14" s="12"/>
    </row>
    <row r="15" spans="1:16">
      <c r="A15" s="9" t="s">
        <v>7</v>
      </c>
      <c r="E15" s="10">
        <f>E11-E13</f>
        <v>1635</v>
      </c>
      <c r="F15" s="37">
        <f>E15/$E$9</f>
        <v>0.3</v>
      </c>
      <c r="G15" s="10">
        <f>G11-G13</f>
        <v>1712</v>
      </c>
      <c r="H15" s="37">
        <f>G15/$G$9</f>
        <v>0.32</v>
      </c>
      <c r="I15" s="11">
        <f>I11-I13</f>
        <v>1837.5</v>
      </c>
      <c r="J15" s="12"/>
      <c r="K15" s="11">
        <f>K11-K13</f>
        <v>1850</v>
      </c>
      <c r="L15" s="37">
        <f>K15/$K$9</f>
        <v>0.37</v>
      </c>
      <c r="M15" s="11">
        <f>M11-M13</f>
        <v>1710</v>
      </c>
      <c r="N15" s="37">
        <f>M15/$M$9</f>
        <v>0.38</v>
      </c>
      <c r="P15" s="71">
        <f>(E15-G15)/E15</f>
        <v>-4.7094801223241591E-2</v>
      </c>
    </row>
    <row r="17" spans="1:16">
      <c r="A17" s="15" t="s">
        <v>8</v>
      </c>
      <c r="E17" s="12">
        <f>17%*E9</f>
        <v>926.50000000000011</v>
      </c>
      <c r="F17" s="37">
        <f>E17/$E$9</f>
        <v>0.17</v>
      </c>
      <c r="G17" s="12">
        <f>16%*G9</f>
        <v>856</v>
      </c>
      <c r="H17" s="37">
        <f>G17/$G$9</f>
        <v>0.16</v>
      </c>
      <c r="I17" s="12">
        <f>14%*I9</f>
        <v>735.00000000000011</v>
      </c>
      <c r="J17" s="37">
        <f>I17/$I$9</f>
        <v>0.14000000000000001</v>
      </c>
      <c r="K17" s="12">
        <f>13.5%*K9</f>
        <v>675</v>
      </c>
      <c r="L17" s="37">
        <f>K17/$K$9</f>
        <v>0.13500000000000001</v>
      </c>
      <c r="M17" s="12">
        <f>13%*M9</f>
        <v>585</v>
      </c>
      <c r="N17" s="37">
        <f>M17/$M$9</f>
        <v>0.13</v>
      </c>
      <c r="P17" s="71">
        <f>(E17-G17)/E17</f>
        <v>7.609282245008106E-2</v>
      </c>
    </row>
    <row r="18" spans="1:16">
      <c r="A18" s="15" t="s">
        <v>9</v>
      </c>
      <c r="E18" s="10">
        <f>11.5%*BDL_Bilan!E16</f>
        <v>793.5</v>
      </c>
      <c r="F18" s="37">
        <f>E18/$E$9</f>
        <v>0.14559633027522936</v>
      </c>
      <c r="G18" s="10">
        <f>11.5%*BDL_Bilan!G16</f>
        <v>770.5</v>
      </c>
      <c r="H18" s="37">
        <f>G18/$G$9</f>
        <v>0.14401869158878505</v>
      </c>
      <c r="I18" s="10">
        <f>11.5%*BDL_Bilan!I16</f>
        <v>747.5</v>
      </c>
      <c r="J18" s="37">
        <f>I18/$I$9</f>
        <v>0.14238095238095239</v>
      </c>
      <c r="K18" s="10">
        <f>11.5%*BDL_Bilan!K16</f>
        <v>690</v>
      </c>
      <c r="L18" s="37">
        <f>K18/$K$9</f>
        <v>0.13800000000000001</v>
      </c>
      <c r="M18" s="10">
        <f>11.5%*BDL_Bilan!M16</f>
        <v>632.5</v>
      </c>
      <c r="N18" s="37">
        <f>M18/$M$9</f>
        <v>0.14055555555555554</v>
      </c>
      <c r="P18" s="71">
        <f>(E18-G18)/E18</f>
        <v>2.8985507246376812E-2</v>
      </c>
    </row>
    <row r="19" spans="1:16">
      <c r="A19" s="15"/>
      <c r="E19" s="59"/>
      <c r="F19" s="59"/>
      <c r="G19" s="59"/>
      <c r="H19" s="59"/>
      <c r="I19" s="59"/>
      <c r="J19" s="59"/>
      <c r="K19" s="59"/>
      <c r="L19" s="59"/>
      <c r="M19" s="59"/>
    </row>
    <row r="20" spans="1:16">
      <c r="A20" s="9" t="s">
        <v>10</v>
      </c>
      <c r="E20" s="12">
        <f>E15-E17-E18</f>
        <v>-85.000000000000114</v>
      </c>
      <c r="F20" s="37">
        <f>E20/$E$9</f>
        <v>-1.5596330275229379E-2</v>
      </c>
      <c r="G20" s="12">
        <f t="shared" ref="G20:M20" si="0">G15-G17-G18</f>
        <v>85.5</v>
      </c>
      <c r="H20" s="37">
        <f>G20/$G$9</f>
        <v>1.5981308411214954E-2</v>
      </c>
      <c r="I20" s="12">
        <f t="shared" si="0"/>
        <v>355</v>
      </c>
      <c r="J20" s="37">
        <f>I20/$I$9</f>
        <v>6.761904761904762E-2</v>
      </c>
      <c r="K20" s="12">
        <f t="shared" si="0"/>
        <v>485</v>
      </c>
      <c r="L20" s="37">
        <f>K20/$K$9</f>
        <v>9.7000000000000003E-2</v>
      </c>
      <c r="M20" s="12">
        <f t="shared" si="0"/>
        <v>492.5</v>
      </c>
      <c r="N20" s="37">
        <f>M20/$M$9</f>
        <v>0.10944444444444444</v>
      </c>
      <c r="P20" s="71">
        <f>(E20-G20)/E20</f>
        <v>2.0058823529411751</v>
      </c>
    </row>
    <row r="21" spans="1:16">
      <c r="A21" s="1"/>
    </row>
    <row r="22" spans="1:16">
      <c r="A22" s="15" t="s">
        <v>11</v>
      </c>
      <c r="E22" s="13">
        <v>272</v>
      </c>
      <c r="F22" s="37">
        <f>E22/$E$9</f>
        <v>4.9908256880733942E-2</v>
      </c>
      <c r="G22" s="13">
        <v>264</v>
      </c>
      <c r="H22" s="37">
        <f>G22/$G$9</f>
        <v>4.9345794392523366E-2</v>
      </c>
      <c r="I22" s="13">
        <v>256</v>
      </c>
      <c r="J22" s="37">
        <f>I22/$I$9</f>
        <v>4.8761904761904763E-2</v>
      </c>
      <c r="K22" s="13">
        <v>236</v>
      </c>
      <c r="L22" s="37">
        <f>K22/$K$9</f>
        <v>4.7199999999999999E-2</v>
      </c>
      <c r="M22" s="13">
        <v>217</v>
      </c>
      <c r="N22" s="37">
        <f>M22/$M$9</f>
        <v>4.8222222222222222E-2</v>
      </c>
      <c r="P22" s="71">
        <f>(E22-G22)/E22</f>
        <v>2.9411764705882353E-2</v>
      </c>
    </row>
    <row r="23" spans="1:16">
      <c r="A23" s="1"/>
    </row>
    <row r="24" spans="1:16" ht="27" customHeight="1">
      <c r="A24" s="108" t="s">
        <v>12</v>
      </c>
      <c r="B24" s="108"/>
      <c r="C24" s="108"/>
      <c r="E24" s="11">
        <f>E20-E22</f>
        <v>-357.00000000000011</v>
      </c>
      <c r="F24" s="37">
        <f>E24/$E$9</f>
        <v>-6.5504587155963329E-2</v>
      </c>
      <c r="G24" s="11">
        <f t="shared" ref="G24:M24" si="1">G20-G22</f>
        <v>-178.5</v>
      </c>
      <c r="H24" s="37">
        <f>G24/$G$9</f>
        <v>-3.3364485981308409E-2</v>
      </c>
      <c r="I24" s="11">
        <f t="shared" si="1"/>
        <v>99</v>
      </c>
      <c r="J24" s="37">
        <f>I24/$I$9</f>
        <v>1.8857142857142857E-2</v>
      </c>
      <c r="K24" s="11">
        <f t="shared" si="1"/>
        <v>249</v>
      </c>
      <c r="L24" s="37">
        <f>K24/$K$9</f>
        <v>4.9799999999999997E-2</v>
      </c>
      <c r="M24" s="11">
        <f t="shared" si="1"/>
        <v>275.5</v>
      </c>
      <c r="N24" s="37">
        <f>M24/$M$9</f>
        <v>6.122222222222222E-2</v>
      </c>
      <c r="P24" s="71">
        <f>(E24-G24)/E24</f>
        <v>0.50000000000000011</v>
      </c>
    </row>
    <row r="26" spans="1:16">
      <c r="A26" s="14" t="s">
        <v>13</v>
      </c>
      <c r="E26" s="11">
        <f t="shared" ref="E26:K26" si="2">32%*E24</f>
        <v>-114.24000000000004</v>
      </c>
      <c r="F26" s="37">
        <f>E26/$E$9</f>
        <v>-2.0961467889908263E-2</v>
      </c>
      <c r="G26" s="11">
        <f t="shared" si="2"/>
        <v>-57.120000000000005</v>
      </c>
      <c r="H26" s="37">
        <f>G26/$G$9</f>
        <v>-1.0676635514018692E-2</v>
      </c>
      <c r="I26" s="11">
        <f t="shared" si="2"/>
        <v>31.68</v>
      </c>
      <c r="J26" s="37">
        <f>I26/$I$9</f>
        <v>6.0342857142857143E-3</v>
      </c>
      <c r="K26" s="11">
        <f t="shared" si="2"/>
        <v>79.680000000000007</v>
      </c>
      <c r="L26" s="37">
        <f>K26/$K$9</f>
        <v>1.5936000000000002E-2</v>
      </c>
      <c r="M26" s="11">
        <f>32%*M24</f>
        <v>88.16</v>
      </c>
      <c r="N26" s="37">
        <f>M26/$M$9</f>
        <v>1.9591111111111111E-2</v>
      </c>
      <c r="P26" s="71">
        <f>(E26-G26)/E26</f>
        <v>0.50000000000000011</v>
      </c>
    </row>
    <row r="28" spans="1:16" ht="12" thickBot="1">
      <c r="A28" s="9" t="s">
        <v>14</v>
      </c>
      <c r="E28" s="16">
        <f>E24-E26</f>
        <v>-242.76000000000008</v>
      </c>
      <c r="F28" s="37">
        <f>E28/$E$9</f>
        <v>-4.4543119266055059E-2</v>
      </c>
      <c r="G28" s="16">
        <f>G24-G26</f>
        <v>-121.38</v>
      </c>
      <c r="H28" s="37">
        <f>G28/$G$9</f>
        <v>-2.268785046728972E-2</v>
      </c>
      <c r="I28" s="16">
        <f>I24-I26</f>
        <v>67.319999999999993</v>
      </c>
      <c r="J28" s="37">
        <f>I28/$I$9</f>
        <v>1.2822857142857141E-2</v>
      </c>
      <c r="K28" s="16">
        <f>K24-K26</f>
        <v>169.32</v>
      </c>
      <c r="L28" s="37">
        <f>K28/$K$9</f>
        <v>3.3863999999999998E-2</v>
      </c>
      <c r="M28" s="16">
        <f>M24-M26</f>
        <v>187.34</v>
      </c>
      <c r="N28" s="37">
        <f>M28/$M$9</f>
        <v>4.1631111111111112E-2</v>
      </c>
      <c r="P28" s="71">
        <f>(E28-G28)/E28</f>
        <v>0.50000000000000022</v>
      </c>
    </row>
    <row r="29" spans="1:16" ht="12" thickTop="1"/>
    <row r="31" spans="1:16">
      <c r="A31" s="2" t="s">
        <v>15</v>
      </c>
      <c r="E31" s="73">
        <f>E15/E9</f>
        <v>0.3</v>
      </c>
      <c r="F31" s="74"/>
      <c r="G31" s="73">
        <f t="shared" ref="G31:M31" si="3">G15/G9</f>
        <v>0.32</v>
      </c>
      <c r="H31" s="73"/>
      <c r="I31" s="73">
        <f t="shared" si="3"/>
        <v>0.35</v>
      </c>
      <c r="J31" s="73"/>
      <c r="K31" s="73">
        <f t="shared" si="3"/>
        <v>0.37</v>
      </c>
      <c r="L31" s="73"/>
      <c r="M31" s="73">
        <f t="shared" si="3"/>
        <v>0.38</v>
      </c>
    </row>
    <row r="32" spans="1:16" ht="12.75" customHeight="1">
      <c r="A32" s="2" t="s">
        <v>16</v>
      </c>
      <c r="E32" s="73">
        <f>E28/E9</f>
        <v>-4.4543119266055059E-2</v>
      </c>
      <c r="F32" s="74"/>
      <c r="G32" s="73">
        <f t="shared" ref="G32:M32" si="4">G28/G9</f>
        <v>-2.268785046728972E-2</v>
      </c>
      <c r="H32" s="73"/>
      <c r="I32" s="73">
        <f t="shared" si="4"/>
        <v>1.2822857142857141E-2</v>
      </c>
      <c r="J32" s="73"/>
      <c r="K32" s="73">
        <f t="shared" si="4"/>
        <v>3.3863999999999998E-2</v>
      </c>
      <c r="L32" s="73"/>
      <c r="M32" s="73">
        <f t="shared" si="4"/>
        <v>4.1631111111111112E-2</v>
      </c>
    </row>
    <row r="34" spans="1:13" ht="20.25" customHeight="1">
      <c r="A34" s="2" t="s">
        <v>17</v>
      </c>
      <c r="E34" s="73">
        <f>E28/BDL_Bilan!E17</f>
        <v>-2.5975109861361232E-2</v>
      </c>
      <c r="F34" s="74"/>
      <c r="G34" s="73">
        <f>G28/BDL_Bilan!G17</f>
        <v>-1.3437173079158433E-2</v>
      </c>
      <c r="H34" s="73"/>
      <c r="I34" s="73">
        <f>I28/BDL_Bilan!I17</f>
        <v>7.4785458383092168E-3</v>
      </c>
      <c r="J34" s="73"/>
      <c r="K34" s="73">
        <f>K28/BDL_Bilan!K17</f>
        <v>1.9880239520958083E-2</v>
      </c>
      <c r="L34" s="73"/>
      <c r="M34" s="73">
        <f>M28/BDL_Bilan!M17</f>
        <v>2.3703422534320239E-2</v>
      </c>
    </row>
    <row r="35" spans="1:13">
      <c r="A35" s="2" t="s">
        <v>18</v>
      </c>
      <c r="E35" s="73">
        <f>(BDL_Bilan!E27+BDL_Bilan!E24)/BDL_Bilan!E33</f>
        <v>0.47444380719220008</v>
      </c>
      <c r="F35" s="75"/>
      <c r="G35" s="73">
        <f>(BDL_Bilan!G27+BDL_Bilan!G24)/BDL_Bilan!G33</f>
        <v>0.47337592535804879</v>
      </c>
      <c r="H35" s="73"/>
      <c r="I35" s="73">
        <f>(BDL_Bilan!I27+BDL_Bilan!I24)/BDL_Bilan!I33</f>
        <v>0.45753855587102277</v>
      </c>
      <c r="J35" s="73"/>
      <c r="K35" s="73">
        <f>(BDL_Bilan!K27+BDL_Bilan!K24)/BDL_Bilan!K33</f>
        <v>0.4373641676049938</v>
      </c>
      <c r="L35" s="73"/>
      <c r="M35" s="73">
        <f>(BDL_Bilan!M27+BDL_Bilan!M24)/BDL_Bilan!M33</f>
        <v>0.4214588473461125</v>
      </c>
    </row>
    <row r="36" spans="1:13">
      <c r="E36" s="75"/>
      <c r="F36" s="75"/>
      <c r="G36" s="75"/>
      <c r="H36" s="75"/>
      <c r="I36" s="75"/>
      <c r="J36" s="75"/>
      <c r="K36" s="75"/>
      <c r="L36" s="75"/>
      <c r="M36" s="75"/>
    </row>
    <row r="37" spans="1:13">
      <c r="A37" s="2" t="s">
        <v>19</v>
      </c>
      <c r="E37" s="76">
        <f>(E22+E18+E17)/E9</f>
        <v>0.36550458715596329</v>
      </c>
      <c r="F37" s="75"/>
      <c r="G37" s="76">
        <f>(G22+G18+G17)/G9</f>
        <v>0.35336448598130843</v>
      </c>
      <c r="H37" s="75"/>
      <c r="I37" s="76">
        <f>(I22+I18+I17)/I9</f>
        <v>0.33114285714285713</v>
      </c>
      <c r="J37" s="75"/>
      <c r="K37" s="76">
        <f>(K22+K18+K17)/K9</f>
        <v>0.32019999999999998</v>
      </c>
      <c r="L37" s="75"/>
      <c r="M37" s="76">
        <f>(M22+M18+M17)/M9</f>
        <v>0.31877777777777777</v>
      </c>
    </row>
    <row r="38" spans="1:13">
      <c r="A38" s="2" t="s">
        <v>20</v>
      </c>
      <c r="E38" s="77">
        <f>E9/BDL_Bilan!E17</f>
        <v>0.58314528235466578</v>
      </c>
      <c r="F38" s="77"/>
      <c r="G38" s="77">
        <f>G9/BDL_Bilan!G17</f>
        <v>0.59226294260584622</v>
      </c>
      <c r="H38" s="77"/>
      <c r="I38" s="77">
        <f>I9/BDL_Bilan!I17</f>
        <v>0.58321992945816092</v>
      </c>
      <c r="J38" s="77"/>
      <c r="K38" s="77">
        <f>K9/BDL_Bilan!K17</f>
        <v>0.58706117177409889</v>
      </c>
      <c r="L38" s="77"/>
      <c r="M38" s="77">
        <f>M9/BDL_Bilan!M17</f>
        <v>0.56936800151831468</v>
      </c>
    </row>
    <row r="39" spans="1:13">
      <c r="A39" s="2" t="s">
        <v>21</v>
      </c>
      <c r="E39" s="66">
        <f>(BDL_Bilan!E12/BDL_Résultats!E13)*365</f>
        <v>127.74999999999999</v>
      </c>
      <c r="G39" s="66">
        <f>(BDL_Bilan!G12/BDL_Résultats!G13)*365</f>
        <v>109.5</v>
      </c>
      <c r="I39" s="66">
        <f>(BDL_Bilan!I12/BDL_Résultats!I13)*365</f>
        <v>102.2</v>
      </c>
      <c r="K39" s="66">
        <f>(BDL_Bilan!K12/BDL_Résultats!K13)*365</f>
        <v>94.9</v>
      </c>
      <c r="M39" s="66">
        <f>(BDL_Bilan!M12/BDL_Résultats!M13)*365</f>
        <v>91.25</v>
      </c>
    </row>
    <row r="40" spans="1:13">
      <c r="A40" s="2" t="s">
        <v>22</v>
      </c>
      <c r="E40" s="66">
        <f>(BDL_Bilan!E10/BDL_Résultats!E9)*365</f>
        <v>77.234000000000009</v>
      </c>
      <c r="G40" s="66">
        <f>(BDL_Bilan!G10/BDL_Résultats!G9)*365</f>
        <v>67.89</v>
      </c>
      <c r="I40" s="66">
        <f>(BDL_Bilan!I10/BDL_Résultats!I9)*365</f>
        <v>62.415000000000006</v>
      </c>
      <c r="K40" s="66">
        <f>(BDL_Bilan!K10/BDL_Résultats!K9)*365</f>
        <v>56.063999999999993</v>
      </c>
      <c r="M40" s="66">
        <f>(BDL_Bilan!M10/BDL_Résultats!M9)*365</f>
        <v>52.559999999999995</v>
      </c>
    </row>
    <row r="41" spans="1:13" ht="12.75" customHeight="1"/>
    <row r="42" spans="1:13">
      <c r="A42" s="2" t="s">
        <v>23</v>
      </c>
      <c r="E42" s="66">
        <f>BDL_Bilan!E14/BDL_Bilan!E25</f>
        <v>2.4109593092027439</v>
      </c>
      <c r="G42" s="66">
        <f>BDL_Bilan!G14/BDL_Bilan!G25</f>
        <v>3.8309278689062931</v>
      </c>
      <c r="I42" s="66">
        <f>BDL_Bilan!I14/BDL_Bilan!I25</f>
        <v>4.1202773477387264</v>
      </c>
      <c r="K42" s="66">
        <f>BDL_Bilan!K14/BDL_Bilan!K25</f>
        <v>4.4634782146087133</v>
      </c>
      <c r="M42" s="66">
        <f>BDL_Bilan!M14/BDL_Bilan!M25</f>
        <v>4.8575181891673402</v>
      </c>
    </row>
    <row r="43" spans="1:13">
      <c r="A43" s="2" t="s">
        <v>24</v>
      </c>
      <c r="E43" s="66">
        <f>(BDL_Bilan!E14-BDL_Bilan!E12-BDL_Bilan!E13)/BDL_Bilan!E25</f>
        <v>1.1367597192650423</v>
      </c>
      <c r="G43" s="66">
        <f>(BDL_Bilan!G14-BDL_Bilan!G12-BDL_Bilan!G13)/BDL_Bilan!G25</f>
        <v>2.026336962054414</v>
      </c>
      <c r="I43" s="66">
        <f>(BDL_Bilan!I14-BDL_Bilan!I12-BDL_Bilan!I13)/BDL_Bilan!I25</f>
        <v>2.5029645245232053</v>
      </c>
      <c r="K43" s="66">
        <f>(BDL_Bilan!K14-BDL_Bilan!K12-BDL_Bilan!K13)/BDL_Bilan!K25</f>
        <v>2.8905321771204622</v>
      </c>
      <c r="M43" s="66">
        <f>(BDL_Bilan!M14-BDL_Bilan!M12-BDL_Bilan!M13)/BDL_Bilan!M25</f>
        <v>3.3043654001616813</v>
      </c>
    </row>
    <row r="46" spans="1:13" ht="24.75" customHeight="1"/>
    <row r="47" spans="1:13" ht="24.75" customHeight="1"/>
    <row r="48" spans="1:13" ht="24.75" customHeight="1"/>
    <row r="57" ht="24.75" customHeight="1"/>
    <row r="58" ht="12.75" customHeight="1"/>
    <row r="60" ht="12.75" customHeight="1"/>
    <row r="61" ht="24.75" customHeight="1"/>
    <row r="62" ht="24.75" customHeight="1"/>
    <row r="63" ht="12.75" customHeight="1"/>
    <row r="66" ht="24.75" customHeight="1"/>
    <row r="68" ht="24.75" customHeight="1"/>
    <row r="69" ht="24.75" customHeight="1"/>
    <row r="70" ht="24.75" customHeight="1"/>
    <row r="75" ht="19.5" customHeight="1"/>
  </sheetData>
  <mergeCells count="4">
    <mergeCell ref="A1:M3"/>
    <mergeCell ref="E6:M7"/>
    <mergeCell ref="A10:B10"/>
    <mergeCell ref="A24:C24"/>
  </mergeCells>
  <phoneticPr fontId="12" type="noConversion"/>
  <pageMargins left="0.78740157499999996" right="0.78740157499999996" top="0.984251969" bottom="0.984251969" header="0.4921259845" footer="0.492125984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topLeftCell="A11" workbookViewId="0">
      <selection activeCell="O21" sqref="O21"/>
    </sheetView>
  </sheetViews>
  <sheetFormatPr defaultColWidth="11.42578125" defaultRowHeight="13.15"/>
  <cols>
    <col min="1" max="1" width="11.42578125" style="2" customWidth="1"/>
    <col min="2" max="2" width="11.28515625" customWidth="1"/>
    <col min="3" max="3" width="0.7109375" customWidth="1"/>
    <col min="4" max="4" width="1.28515625" customWidth="1"/>
    <col min="5" max="5" width="10.28515625" bestFit="1" customWidth="1"/>
    <col min="6" max="6" width="1.28515625" customWidth="1"/>
    <col min="7" max="7" width="10.28515625" bestFit="1" customWidth="1"/>
    <col min="8" max="8" width="1.28515625" customWidth="1"/>
    <col min="9" max="9" width="10.28515625" bestFit="1" customWidth="1"/>
    <col min="10" max="10" width="1.28515625" customWidth="1"/>
    <col min="11" max="11" width="10.28515625" bestFit="1" customWidth="1"/>
    <col min="12" max="12" width="1.28515625" customWidth="1"/>
    <col min="13" max="13" width="10.28515625" bestFit="1" customWidth="1"/>
  </cols>
  <sheetData>
    <row r="1" spans="1:13">
      <c r="A1" s="104" t="s">
        <v>25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3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3" ht="21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  <row r="4" spans="1:13" ht="13.9" thickBot="1"/>
    <row r="5" spans="1:13" s="17" customFormat="1" ht="20.25" customHeight="1" thickTop="1" thickBot="1">
      <c r="A5" s="3"/>
      <c r="E5" s="70">
        <v>2020</v>
      </c>
      <c r="F5" s="5"/>
      <c r="G5" s="70">
        <v>2019</v>
      </c>
      <c r="H5" s="6"/>
      <c r="I5" s="70">
        <v>2018</v>
      </c>
      <c r="J5" s="5"/>
      <c r="K5" s="70">
        <v>2017</v>
      </c>
      <c r="L5" s="5"/>
      <c r="M5" s="7">
        <v>2016</v>
      </c>
    </row>
    <row r="6" spans="1:13" ht="13.9" thickTop="1">
      <c r="E6" s="18"/>
      <c r="G6" s="18"/>
      <c r="H6" s="18"/>
      <c r="I6" s="18"/>
    </row>
    <row r="7" spans="1:13">
      <c r="A7" s="9" t="s">
        <v>26</v>
      </c>
      <c r="E7" s="19"/>
      <c r="G7" s="19"/>
    </row>
    <row r="8" spans="1:13">
      <c r="A8" s="20" t="s">
        <v>27</v>
      </c>
      <c r="J8" s="21"/>
      <c r="L8" s="21"/>
    </row>
    <row r="9" spans="1:13">
      <c r="A9" s="15" t="s">
        <v>28</v>
      </c>
      <c r="E9" s="27">
        <v>0</v>
      </c>
      <c r="F9" s="27">
        <v>0</v>
      </c>
      <c r="G9" s="27">
        <v>239</v>
      </c>
      <c r="H9" s="27">
        <v>0</v>
      </c>
      <c r="I9" s="27">
        <v>622</v>
      </c>
      <c r="J9" s="27">
        <v>0</v>
      </c>
      <c r="K9" s="27">
        <v>862</v>
      </c>
      <c r="L9" s="27">
        <v>0</v>
      </c>
      <c r="M9" s="27">
        <v>987</v>
      </c>
    </row>
    <row r="10" spans="1:13">
      <c r="A10" s="15" t="s">
        <v>29</v>
      </c>
      <c r="E10" s="22">
        <f>23%*BDL_Résultats!E11</f>
        <v>1153.22</v>
      </c>
      <c r="F10" s="22">
        <f>15%*BDL_Résultats!F11</f>
        <v>0</v>
      </c>
      <c r="G10" s="22">
        <f>20%*BDL_Résultats!G11</f>
        <v>995.1</v>
      </c>
      <c r="H10" s="22">
        <f>15%*BDL_Résultats!H11</f>
        <v>0</v>
      </c>
      <c r="I10" s="22">
        <f>18%*BDL_Résultats!I11</f>
        <v>897.75</v>
      </c>
      <c r="J10" s="22">
        <f>15%*BDL_Résultats!J11</f>
        <v>0</v>
      </c>
      <c r="K10" s="22">
        <f>16%*BDL_Résultats!K11</f>
        <v>768</v>
      </c>
      <c r="L10" s="22"/>
      <c r="M10" s="22">
        <f>15%*BDL_Résultats!M11</f>
        <v>648</v>
      </c>
    </row>
    <row r="11" spans="1:13">
      <c r="A11" s="109" t="s">
        <v>30</v>
      </c>
      <c r="B11" s="110"/>
      <c r="E11" s="22"/>
      <c r="F11" s="22"/>
      <c r="G11" s="22"/>
      <c r="H11" s="22"/>
      <c r="I11" s="22"/>
      <c r="J11" s="22"/>
      <c r="K11" s="22"/>
      <c r="L11" s="22"/>
      <c r="M11" s="22"/>
    </row>
    <row r="12" spans="1:13">
      <c r="A12" s="15" t="s">
        <v>31</v>
      </c>
      <c r="E12" s="22">
        <f>35%*BDL_Résultats!E13</f>
        <v>1182.6499999999999</v>
      </c>
      <c r="F12" s="22">
        <f>25%*BDL_Résultats!F13</f>
        <v>0.155</v>
      </c>
      <c r="G12" s="22">
        <f>30%*BDL_Résultats!G13</f>
        <v>979.05</v>
      </c>
      <c r="H12" s="22">
        <f>25%*BDL_Résultats!H13</f>
        <v>0.1525</v>
      </c>
      <c r="I12" s="22">
        <f>28%*BDL_Résultats!I13</f>
        <v>882.00000000000011</v>
      </c>
      <c r="J12" s="22">
        <f>25%*BDL_Résultats!J13</f>
        <v>0.15</v>
      </c>
      <c r="K12" s="22">
        <f>26%*BDL_Résultats!K13</f>
        <v>767</v>
      </c>
      <c r="L12" s="22"/>
      <c r="M12" s="22">
        <f>25%*BDL_Résultats!M13</f>
        <v>652.5</v>
      </c>
    </row>
    <row r="13" spans="1:13">
      <c r="A13" s="15" t="s">
        <v>32</v>
      </c>
      <c r="E13" s="22">
        <v>110</v>
      </c>
      <c r="F13" s="23"/>
      <c r="G13" s="22">
        <v>120</v>
      </c>
      <c r="H13" s="23">
        <v>110</v>
      </c>
      <c r="I13" s="22">
        <v>100</v>
      </c>
      <c r="J13" s="22"/>
      <c r="K13" s="22">
        <v>120</v>
      </c>
      <c r="L13" s="22"/>
      <c r="M13" s="22">
        <v>116</v>
      </c>
    </row>
    <row r="14" spans="1:13">
      <c r="A14" s="15"/>
      <c r="E14" s="24">
        <f t="shared" ref="E14:M14" si="0">SUM(E9:E13)</f>
        <v>2445.87</v>
      </c>
      <c r="F14" s="22">
        <f t="shared" si="0"/>
        <v>0.155</v>
      </c>
      <c r="G14" s="24">
        <f t="shared" si="0"/>
        <v>2333.1499999999996</v>
      </c>
      <c r="H14" s="22">
        <f t="shared" si="0"/>
        <v>110.1525</v>
      </c>
      <c r="I14" s="24">
        <f t="shared" si="0"/>
        <v>2501.75</v>
      </c>
      <c r="J14" s="22">
        <f t="shared" si="0"/>
        <v>0.15</v>
      </c>
      <c r="K14" s="24">
        <f t="shared" si="0"/>
        <v>2517</v>
      </c>
      <c r="L14" s="22">
        <f t="shared" si="0"/>
        <v>0</v>
      </c>
      <c r="M14" s="24">
        <f t="shared" si="0"/>
        <v>2403.5</v>
      </c>
    </row>
    <row r="15" spans="1:13">
      <c r="A15" s="20" t="s">
        <v>33</v>
      </c>
      <c r="E15" s="23"/>
      <c r="F15" s="23"/>
      <c r="G15" s="23"/>
      <c r="H15" s="23"/>
      <c r="I15" s="23"/>
      <c r="J15" s="23"/>
      <c r="K15" s="23"/>
      <c r="L15" s="23"/>
      <c r="M15" s="23"/>
    </row>
    <row r="16" spans="1:13">
      <c r="A16" s="25" t="s">
        <v>34</v>
      </c>
      <c r="E16" s="22">
        <v>6900</v>
      </c>
      <c r="F16" s="22">
        <f>BDL_Résultats!F9*12</f>
        <v>12</v>
      </c>
      <c r="G16" s="22">
        <v>6700</v>
      </c>
      <c r="H16" s="22">
        <f>BDL_Résultats!H9*12</f>
        <v>12</v>
      </c>
      <c r="I16" s="22">
        <v>6500</v>
      </c>
      <c r="J16" s="22">
        <f>BDL_Résultats!J9*12</f>
        <v>12</v>
      </c>
      <c r="K16" s="22">
        <v>6000</v>
      </c>
      <c r="L16" s="22"/>
      <c r="M16" s="22">
        <v>5500</v>
      </c>
    </row>
    <row r="17" spans="1:13" ht="13.9" thickBot="1">
      <c r="E17" s="26">
        <f t="shared" ref="E17:M17" si="1">SUM(E14:E16)</f>
        <v>9345.869999999999</v>
      </c>
      <c r="F17" s="27">
        <f t="shared" si="1"/>
        <v>12.154999999999999</v>
      </c>
      <c r="G17" s="26">
        <f t="shared" si="1"/>
        <v>9033.15</v>
      </c>
      <c r="H17" s="27">
        <f t="shared" si="1"/>
        <v>122.1525</v>
      </c>
      <c r="I17" s="26">
        <f t="shared" si="1"/>
        <v>9001.75</v>
      </c>
      <c r="J17" s="27">
        <f t="shared" si="1"/>
        <v>12.15</v>
      </c>
      <c r="K17" s="26">
        <f t="shared" si="1"/>
        <v>8517</v>
      </c>
      <c r="L17" s="27">
        <f t="shared" si="1"/>
        <v>0</v>
      </c>
      <c r="M17" s="26">
        <f>SUM(M14:M16)</f>
        <v>7903.5</v>
      </c>
    </row>
    <row r="18" spans="1:13" ht="13.9" thickTop="1">
      <c r="E18" s="23"/>
      <c r="F18" s="23"/>
      <c r="G18" s="23"/>
      <c r="H18" s="23"/>
      <c r="I18" s="23"/>
      <c r="J18" s="23"/>
      <c r="K18" s="23"/>
      <c r="L18" s="23"/>
      <c r="M18" s="23"/>
    </row>
    <row r="19" spans="1:13">
      <c r="A19" s="9" t="s">
        <v>35</v>
      </c>
      <c r="E19" s="23"/>
      <c r="F19" s="23"/>
      <c r="G19" s="23"/>
      <c r="H19" s="23"/>
      <c r="I19" s="23"/>
      <c r="J19" s="23"/>
      <c r="K19" s="23"/>
      <c r="L19" s="23"/>
      <c r="M19" s="23"/>
    </row>
    <row r="20" spans="1:13">
      <c r="A20" s="28" t="s">
        <v>36</v>
      </c>
      <c r="E20" s="23"/>
      <c r="F20" s="23"/>
      <c r="G20" s="23"/>
      <c r="H20" s="23"/>
      <c r="I20" s="23"/>
      <c r="J20" s="23"/>
      <c r="K20" s="23"/>
      <c r="L20" s="23"/>
      <c r="M20" s="23"/>
    </row>
    <row r="21" spans="1:13">
      <c r="A21" s="2" t="s">
        <v>37</v>
      </c>
      <c r="E21" s="29">
        <v>293</v>
      </c>
      <c r="F21" s="23"/>
      <c r="G21" s="29"/>
      <c r="H21" s="23"/>
      <c r="I21" s="23"/>
      <c r="J21" s="23"/>
      <c r="K21" s="29"/>
      <c r="L21" s="23"/>
      <c r="M21" s="23"/>
    </row>
    <row r="22" spans="1:13" ht="22.5" customHeight="1">
      <c r="A22" s="107" t="s">
        <v>38</v>
      </c>
      <c r="B22" s="111"/>
      <c r="E22" s="29">
        <f>12%*BDL_Résultats!E13</f>
        <v>405.47999999999996</v>
      </c>
      <c r="F22" s="29">
        <f>8%*BDL_Résultats!F9</f>
        <v>0.08</v>
      </c>
      <c r="G22" s="29">
        <f>10%*BDL_Résultats!G13</f>
        <v>326.35000000000002</v>
      </c>
      <c r="H22" s="29">
        <f>8%*BDL_Résultats!H9</f>
        <v>0.08</v>
      </c>
      <c r="I22" s="29">
        <f>9%*BDL_Résultats!I13</f>
        <v>283.5</v>
      </c>
      <c r="J22" s="29">
        <f>8%*BDL_Résultats!J9</f>
        <v>0.08</v>
      </c>
      <c r="K22" s="29">
        <f>8.5%*BDL_Résultats!K13</f>
        <v>250.75000000000003</v>
      </c>
      <c r="L22" s="30"/>
      <c r="M22" s="29">
        <f>8%*BDL_Résultats!M13</f>
        <v>208.8</v>
      </c>
    </row>
    <row r="23" spans="1:13">
      <c r="A23" s="2" t="s">
        <v>39</v>
      </c>
      <c r="E23" s="29">
        <v>57</v>
      </c>
      <c r="F23" s="29">
        <f>BDL_Résultats!H26</f>
        <v>-1.0676635514018692E-2</v>
      </c>
      <c r="G23" s="29">
        <f>BDL_Résultats!I26</f>
        <v>31.68</v>
      </c>
      <c r="H23" s="29">
        <f>BDL_Résultats!J26</f>
        <v>6.0342857142857143E-3</v>
      </c>
      <c r="I23" s="29">
        <f>BDL_Résultats!K26</f>
        <v>79.680000000000007</v>
      </c>
      <c r="J23" s="30"/>
      <c r="K23" s="29">
        <f>BDL_Résultats!M26</f>
        <v>88.16</v>
      </c>
      <c r="L23" s="30"/>
      <c r="M23" s="29">
        <f>32%*250</f>
        <v>80</v>
      </c>
    </row>
    <row r="24" spans="1:13" ht="22.5" customHeight="1">
      <c r="A24" s="107" t="s">
        <v>40</v>
      </c>
      <c r="B24" s="107"/>
      <c r="C24" s="107"/>
      <c r="E24" s="31">
        <v>259</v>
      </c>
      <c r="F24" s="23"/>
      <c r="G24" s="31">
        <v>251</v>
      </c>
      <c r="H24" s="31">
        <f t="shared" ref="H24:L24" si="2">5%*H27</f>
        <v>0.45</v>
      </c>
      <c r="I24" s="31">
        <v>244</v>
      </c>
      <c r="J24" s="31">
        <f t="shared" si="2"/>
        <v>0.45</v>
      </c>
      <c r="K24" s="31">
        <v>225</v>
      </c>
      <c r="L24" s="31">
        <f t="shared" si="2"/>
        <v>0</v>
      </c>
      <c r="M24" s="31">
        <v>206</v>
      </c>
    </row>
    <row r="25" spans="1:13">
      <c r="E25" s="22">
        <f>SUM(E21:E24)</f>
        <v>1014.48</v>
      </c>
      <c r="F25" s="22">
        <f t="shared" ref="F25:M25" si="3">SUM(F21:F24)</f>
        <v>6.9323364485981309E-2</v>
      </c>
      <c r="G25" s="22">
        <f>SUM(G21:G24)</f>
        <v>609.03</v>
      </c>
      <c r="H25" s="22">
        <f t="shared" si="3"/>
        <v>0.53603428571428569</v>
      </c>
      <c r="I25" s="22">
        <f t="shared" si="3"/>
        <v>607.18000000000006</v>
      </c>
      <c r="J25" s="22">
        <f t="shared" si="3"/>
        <v>0.53</v>
      </c>
      <c r="K25" s="22">
        <f t="shared" si="3"/>
        <v>563.91000000000008</v>
      </c>
      <c r="L25" s="22">
        <f t="shared" si="3"/>
        <v>0</v>
      </c>
      <c r="M25" s="22">
        <f t="shared" si="3"/>
        <v>494.8</v>
      </c>
    </row>
    <row r="26" spans="1:13">
      <c r="A26" s="28" t="s">
        <v>41</v>
      </c>
      <c r="E26" s="23"/>
      <c r="F26" s="23"/>
      <c r="G26" s="23"/>
      <c r="H26" s="23"/>
      <c r="I26" s="23"/>
      <c r="J26" s="23"/>
      <c r="K26" s="23"/>
      <c r="L26" s="23"/>
      <c r="M26" s="23"/>
    </row>
    <row r="27" spans="1:13">
      <c r="A27" s="25" t="s">
        <v>42</v>
      </c>
      <c r="E27" s="22">
        <v>4175</v>
      </c>
      <c r="F27" s="22">
        <f>75%*F16</f>
        <v>9</v>
      </c>
      <c r="G27" s="22">
        <v>4025</v>
      </c>
      <c r="H27" s="22">
        <f>75%*H16</f>
        <v>9</v>
      </c>
      <c r="I27" s="22">
        <v>3875</v>
      </c>
      <c r="J27" s="22">
        <f>75%*J16</f>
        <v>9</v>
      </c>
      <c r="K27" s="22">
        <v>3500</v>
      </c>
      <c r="L27" s="22"/>
      <c r="M27" s="22">
        <v>3125</v>
      </c>
    </row>
    <row r="28" spans="1:13">
      <c r="E28" s="32">
        <f t="shared" ref="E28:M28" si="4">SUM(E25:E27)</f>
        <v>5189.4799999999996</v>
      </c>
      <c r="F28" s="33">
        <f t="shared" si="4"/>
        <v>9.0693233644859816</v>
      </c>
      <c r="G28" s="32">
        <f t="shared" si="4"/>
        <v>4634.03</v>
      </c>
      <c r="H28" s="33">
        <f t="shared" si="4"/>
        <v>9.536034285714285</v>
      </c>
      <c r="I28" s="32">
        <f t="shared" si="4"/>
        <v>4482.18</v>
      </c>
      <c r="J28" s="33">
        <f t="shared" si="4"/>
        <v>9.5299999999999994</v>
      </c>
      <c r="K28" s="32">
        <f t="shared" si="4"/>
        <v>4063.91</v>
      </c>
      <c r="L28" s="33">
        <f t="shared" si="4"/>
        <v>0</v>
      </c>
      <c r="M28" s="32">
        <f t="shared" si="4"/>
        <v>3619.8</v>
      </c>
    </row>
    <row r="29" spans="1:13">
      <c r="A29" s="9" t="s">
        <v>43</v>
      </c>
      <c r="E29" s="23"/>
      <c r="F29" s="23"/>
      <c r="G29" s="23"/>
      <c r="H29" s="23"/>
      <c r="I29" s="23"/>
      <c r="J29" s="23"/>
      <c r="K29" s="23"/>
      <c r="L29" s="23"/>
      <c r="M29" s="23"/>
    </row>
    <row r="30" spans="1:13">
      <c r="A30" s="25" t="s">
        <v>44</v>
      </c>
      <c r="E30" s="22">
        <v>250</v>
      </c>
      <c r="F30" s="22">
        <v>250</v>
      </c>
      <c r="G30" s="22">
        <v>250</v>
      </c>
      <c r="H30" s="22">
        <v>250</v>
      </c>
      <c r="I30" s="22">
        <v>250</v>
      </c>
      <c r="J30" s="22">
        <v>250</v>
      </c>
      <c r="K30" s="22">
        <v>250</v>
      </c>
      <c r="L30" s="22"/>
      <c r="M30" s="22">
        <v>250</v>
      </c>
    </row>
    <row r="31" spans="1:13">
      <c r="A31" s="25" t="s">
        <v>45</v>
      </c>
      <c r="E31" s="22">
        <f>G31+BDL_Résultats!E28</f>
        <v>3906.1999999999989</v>
      </c>
      <c r="F31" s="22">
        <f>H31+BDL_Résultats!F28</f>
        <v>-6.7230969733344775E-2</v>
      </c>
      <c r="G31" s="22">
        <f>I31+BDL_Résultats!G28</f>
        <v>4148.9599999999991</v>
      </c>
      <c r="H31" s="22">
        <f>J31+BDL_Résultats!H28</f>
        <v>-2.268785046728972E-2</v>
      </c>
      <c r="I31" s="22">
        <f>K31+BDL_Résultats!I28</f>
        <v>4270.3399999999992</v>
      </c>
      <c r="J31" s="22"/>
      <c r="K31" s="22">
        <f>M31+BDL_Résultats!K28</f>
        <v>4203.0199999999995</v>
      </c>
      <c r="L31" s="22"/>
      <c r="M31" s="22">
        <f>M17-M28-M30</f>
        <v>4033.7</v>
      </c>
    </row>
    <row r="32" spans="1:13">
      <c r="E32" s="34">
        <f>SUM(E30:E31)</f>
        <v>4156.1999999999989</v>
      </c>
      <c r="F32" s="22">
        <f t="shared" ref="F32:M32" si="5">SUM(F30:F31)</f>
        <v>249.93276903026666</v>
      </c>
      <c r="G32" s="34">
        <f t="shared" si="5"/>
        <v>4398.9599999999991</v>
      </c>
      <c r="H32" s="22">
        <f t="shared" si="5"/>
        <v>249.97731214953271</v>
      </c>
      <c r="I32" s="34">
        <f t="shared" si="5"/>
        <v>4520.3399999999992</v>
      </c>
      <c r="J32" s="22">
        <f t="shared" si="5"/>
        <v>250</v>
      </c>
      <c r="K32" s="34">
        <f t="shared" si="5"/>
        <v>4453.0199999999995</v>
      </c>
      <c r="L32" s="22">
        <f t="shared" si="5"/>
        <v>0</v>
      </c>
      <c r="M32" s="34">
        <f t="shared" si="5"/>
        <v>4283.7</v>
      </c>
    </row>
    <row r="33" spans="5:13" ht="13.9" thickBot="1">
      <c r="E33" s="35">
        <f>SUM(E32+E28)</f>
        <v>9345.6799999999985</v>
      </c>
      <c r="F33" s="36">
        <f t="shared" ref="F33:M33" si="6">SUM(F32+F28)</f>
        <v>259.00209239475265</v>
      </c>
      <c r="G33" s="35">
        <f t="shared" si="6"/>
        <v>9032.989999999998</v>
      </c>
      <c r="H33" s="36">
        <f t="shared" si="6"/>
        <v>259.513346435247</v>
      </c>
      <c r="I33" s="35">
        <f t="shared" si="6"/>
        <v>9002.52</v>
      </c>
      <c r="J33" s="36">
        <f t="shared" si="6"/>
        <v>259.52999999999997</v>
      </c>
      <c r="K33" s="35">
        <f t="shared" si="6"/>
        <v>8516.93</v>
      </c>
      <c r="L33" s="36">
        <f t="shared" si="6"/>
        <v>0</v>
      </c>
      <c r="M33" s="35">
        <f t="shared" si="6"/>
        <v>7903.5</v>
      </c>
    </row>
    <row r="34" spans="5:13" ht="13.9" thickTop="1"/>
    <row r="36" spans="5:13">
      <c r="M36" s="21"/>
    </row>
  </sheetData>
  <mergeCells count="4">
    <mergeCell ref="A24:C24"/>
    <mergeCell ref="A11:B11"/>
    <mergeCell ref="A1:M3"/>
    <mergeCell ref="A22:B22"/>
  </mergeCells>
  <phoneticPr fontId="12" type="noConversion"/>
  <pageMargins left="0.78740157499999996" right="0.78740157499999996" top="0.984251969" bottom="0.984251969" header="0.4921259845" footer="0.492125984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tabSelected="1" workbookViewId="0">
      <selection activeCell="J73" sqref="J73"/>
    </sheetView>
  </sheetViews>
  <sheetFormatPr defaultColWidth="11.42578125" defaultRowHeight="13.15"/>
  <cols>
    <col min="1" max="1" width="34" style="43" customWidth="1"/>
    <col min="3" max="3" width="10.28515625" customWidth="1"/>
    <col min="4" max="4" width="11.28515625" customWidth="1"/>
    <col min="5" max="5" width="9.28515625" hidden="1" customWidth="1"/>
    <col min="6" max="6" width="11" customWidth="1"/>
    <col min="7" max="7" width="3" customWidth="1"/>
  </cols>
  <sheetData>
    <row r="1" spans="1:12" ht="15.6">
      <c r="A1" s="44" t="s">
        <v>46</v>
      </c>
    </row>
    <row r="2" spans="1:12" ht="39.6">
      <c r="A2" s="40"/>
      <c r="B2" s="39" t="s">
        <v>47</v>
      </c>
      <c r="C2" s="39" t="s">
        <v>48</v>
      </c>
      <c r="D2" s="39" t="s">
        <v>49</v>
      </c>
      <c r="E2" s="39" t="s">
        <v>50</v>
      </c>
      <c r="F2" s="39" t="s">
        <v>51</v>
      </c>
      <c r="G2" s="39"/>
      <c r="H2" s="39"/>
      <c r="I2" s="39"/>
      <c r="J2" s="39"/>
      <c r="K2" s="39"/>
      <c r="L2" s="39"/>
    </row>
    <row r="3" spans="1:12">
      <c r="A3" s="40" t="s">
        <v>52</v>
      </c>
      <c r="B3" s="39"/>
      <c r="C3" s="39"/>
      <c r="D3" s="39"/>
      <c r="E3" s="39"/>
      <c r="F3" s="39"/>
      <c r="G3" s="39"/>
    </row>
    <row r="4" spans="1:12">
      <c r="A4" s="40" t="s">
        <v>53</v>
      </c>
      <c r="B4" s="41">
        <v>1907.4999999999998</v>
      </c>
      <c r="C4" s="41">
        <v>2452.5</v>
      </c>
      <c r="D4" s="41">
        <v>1090</v>
      </c>
      <c r="E4" s="41"/>
      <c r="F4" s="41">
        <v>5450</v>
      </c>
      <c r="G4" s="41"/>
      <c r="H4" s="90" t="s">
        <v>54</v>
      </c>
    </row>
    <row r="5" spans="1:12">
      <c r="A5" s="40" t="s">
        <v>55</v>
      </c>
      <c r="B5" s="49">
        <v>2200</v>
      </c>
      <c r="C5" s="49">
        <v>1400</v>
      </c>
      <c r="D5" s="49">
        <v>400</v>
      </c>
      <c r="E5" s="49"/>
      <c r="F5" s="49">
        <v>4000</v>
      </c>
      <c r="G5" s="42"/>
    </row>
    <row r="6" spans="1:12" ht="23.25">
      <c r="A6" s="40" t="s">
        <v>56</v>
      </c>
      <c r="B6" s="42">
        <v>867.04545454545405</v>
      </c>
      <c r="C6" s="42">
        <v>1751.7857142857142</v>
      </c>
      <c r="D6" s="42">
        <v>2725</v>
      </c>
      <c r="E6" s="42">
        <v>1362.5</v>
      </c>
      <c r="F6" s="42">
        <v>1362.5</v>
      </c>
      <c r="G6" s="41"/>
    </row>
    <row r="7" spans="1:12">
      <c r="A7" s="64" t="s">
        <v>57</v>
      </c>
      <c r="B7" s="39"/>
      <c r="C7" s="39"/>
      <c r="D7" s="39"/>
      <c r="E7" s="39"/>
      <c r="F7" s="39"/>
      <c r="G7" s="39"/>
    </row>
    <row r="8" spans="1:12">
      <c r="A8" s="46" t="s">
        <v>58</v>
      </c>
      <c r="B8" s="42">
        <v>161.27045454545453</v>
      </c>
      <c r="C8" s="42">
        <v>380.13749999999999</v>
      </c>
      <c r="D8" s="42">
        <v>709.59000000000015</v>
      </c>
      <c r="E8" s="42">
        <v>292.70587499999999</v>
      </c>
      <c r="F8" s="42">
        <v>1170.8235</v>
      </c>
      <c r="G8" s="42"/>
      <c r="H8" s="69"/>
      <c r="I8" s="48"/>
      <c r="J8" s="48"/>
      <c r="K8" s="48"/>
      <c r="L8" s="48"/>
    </row>
    <row r="9" spans="1:12">
      <c r="A9" s="46" t="s">
        <v>59</v>
      </c>
      <c r="B9" s="49">
        <v>172.02181818181816</v>
      </c>
      <c r="C9" s="49">
        <v>432.48786428571429</v>
      </c>
      <c r="D9" s="49">
        <v>760.27500000000009</v>
      </c>
      <c r="E9" s="42">
        <v>322.01025249999998</v>
      </c>
      <c r="F9" s="49">
        <v>1288.0410099999999</v>
      </c>
      <c r="G9" s="42"/>
      <c r="H9" s="69"/>
      <c r="I9" s="48"/>
      <c r="J9" s="48"/>
      <c r="K9" s="48"/>
      <c r="L9" s="48"/>
    </row>
    <row r="10" spans="1:12">
      <c r="A10" s="40" t="s">
        <v>60</v>
      </c>
      <c r="B10" s="50">
        <v>333.29227272727269</v>
      </c>
      <c r="C10" s="50">
        <v>812.62536428571434</v>
      </c>
      <c r="D10" s="50">
        <v>1469.8650000000002</v>
      </c>
      <c r="E10" s="50">
        <v>614.71612749999997</v>
      </c>
      <c r="F10" s="50">
        <v>2458.8645099999999</v>
      </c>
      <c r="G10" s="42"/>
    </row>
    <row r="11" spans="1:12" ht="26.45">
      <c r="A11" s="64" t="s">
        <v>61</v>
      </c>
      <c r="B11" s="42"/>
      <c r="C11" s="42"/>
      <c r="D11" s="42"/>
      <c r="E11" s="42"/>
      <c r="F11" s="42"/>
      <c r="G11" s="42"/>
    </row>
    <row r="12" spans="1:12">
      <c r="A12" s="40" t="s">
        <v>62</v>
      </c>
      <c r="B12" s="42">
        <v>19.659636363636363</v>
      </c>
      <c r="C12" s="42">
        <v>49.42718448979592</v>
      </c>
      <c r="D12" s="42">
        <v>86.888571428571453</v>
      </c>
      <c r="E12" s="42">
        <v>36.801171714285715</v>
      </c>
      <c r="F12" s="42">
        <v>147.20468685714286</v>
      </c>
      <c r="G12" s="42"/>
      <c r="J12" s="48"/>
    </row>
    <row r="13" spans="1:12">
      <c r="A13" s="40" t="s">
        <v>63</v>
      </c>
      <c r="B13" s="42">
        <v>44.234181818181824</v>
      </c>
      <c r="C13" s="42">
        <v>111.21116510204085</v>
      </c>
      <c r="D13" s="42">
        <v>195.49928571428578</v>
      </c>
      <c r="E13" s="42">
        <v>82.802636357142887</v>
      </c>
      <c r="F13" s="42">
        <v>331.21054542857155</v>
      </c>
      <c r="G13" s="42"/>
      <c r="J13" s="48"/>
    </row>
    <row r="14" spans="1:12">
      <c r="A14" s="40" t="s">
        <v>64</v>
      </c>
      <c r="B14" s="42">
        <v>19.659636363636363</v>
      </c>
      <c r="C14" s="42">
        <v>49.42718448979592</v>
      </c>
      <c r="D14" s="42">
        <v>86.888571428571453</v>
      </c>
      <c r="E14" s="42">
        <v>36.801171714285715</v>
      </c>
      <c r="F14" s="42">
        <v>147.20468685714286</v>
      </c>
      <c r="G14" s="42"/>
      <c r="J14" s="48"/>
    </row>
    <row r="15" spans="1:12">
      <c r="A15" s="40" t="s">
        <v>65</v>
      </c>
      <c r="B15" s="42">
        <v>7.3723636363636356</v>
      </c>
      <c r="C15" s="42">
        <v>18.535194183673472</v>
      </c>
      <c r="D15" s="42">
        <v>32.583214285714291</v>
      </c>
      <c r="E15" s="42">
        <v>13.800439392857145</v>
      </c>
      <c r="F15" s="42">
        <v>55.20175757142858</v>
      </c>
      <c r="G15" s="42"/>
      <c r="J15" s="48"/>
    </row>
    <row r="16" spans="1:12">
      <c r="A16" s="40" t="s">
        <v>66</v>
      </c>
      <c r="B16" s="42">
        <v>14.744727272727271</v>
      </c>
      <c r="C16" s="42">
        <v>37.070388367346943</v>
      </c>
      <c r="D16" s="42">
        <v>65.166428571428582</v>
      </c>
      <c r="E16" s="42">
        <v>27.60087878571429</v>
      </c>
      <c r="F16" s="42">
        <v>110.40351514285716</v>
      </c>
      <c r="G16" s="42"/>
      <c r="J16" s="48"/>
    </row>
    <row r="17" spans="1:10">
      <c r="A17" s="40" t="s">
        <v>67</v>
      </c>
      <c r="B17" s="42">
        <v>9.8298181818181813</v>
      </c>
      <c r="C17" s="42">
        <v>24.71359224489796</v>
      </c>
      <c r="D17" s="42">
        <v>43.444285714285726</v>
      </c>
      <c r="E17" s="42">
        <v>18.400585857142858</v>
      </c>
      <c r="F17" s="42">
        <v>73.60234342857143</v>
      </c>
      <c r="G17" s="42"/>
      <c r="J17" s="48"/>
    </row>
    <row r="18" spans="1:10">
      <c r="A18" s="40" t="s">
        <v>68</v>
      </c>
      <c r="B18" s="42">
        <v>7.3723636363636356</v>
      </c>
      <c r="C18" s="42">
        <v>18.535194183673472</v>
      </c>
      <c r="D18" s="42">
        <v>32.583214285714291</v>
      </c>
      <c r="E18" s="42">
        <v>13.800439392857145</v>
      </c>
      <c r="F18" s="42">
        <v>55.20175757142858</v>
      </c>
      <c r="G18" s="42"/>
      <c r="J18" s="48"/>
    </row>
    <row r="19" spans="1:10" ht="12.75">
      <c r="A19" s="40" t="s">
        <v>69</v>
      </c>
      <c r="B19" s="50">
        <v>122.872727272727</v>
      </c>
      <c r="C19" s="50">
        <v>308.91990306122449</v>
      </c>
      <c r="D19" s="50">
        <v>543.05357142857156</v>
      </c>
      <c r="E19" s="50">
        <v>230.00732321428578</v>
      </c>
      <c r="F19" s="50">
        <v>920.0292928571431</v>
      </c>
      <c r="G19" s="42"/>
      <c r="J19" s="48"/>
    </row>
    <row r="20" spans="1:10" ht="23.25">
      <c r="A20" s="64" t="s">
        <v>70</v>
      </c>
      <c r="B20" s="42">
        <v>456.16500000000002</v>
      </c>
      <c r="C20" s="42">
        <v>1121.5452673469388</v>
      </c>
      <c r="D20" s="42">
        <v>2012.9185714285718</v>
      </c>
      <c r="E20" s="42">
        <v>844.72345071428572</v>
      </c>
      <c r="F20" s="42">
        <v>3378.8938028571429</v>
      </c>
      <c r="G20" s="42"/>
    </row>
    <row r="21" spans="1:10" ht="12.75">
      <c r="A21" s="64" t="s">
        <v>71</v>
      </c>
      <c r="B21" s="51">
        <v>410.88045454545397</v>
      </c>
      <c r="C21" s="51">
        <v>630.24044693877545</v>
      </c>
      <c r="D21" s="51">
        <v>712.08142857142821</v>
      </c>
      <c r="E21" s="51">
        <v>517.77654928571428</v>
      </c>
      <c r="F21" s="51">
        <v>2071.1061971428571</v>
      </c>
      <c r="G21" s="41"/>
      <c r="H21" s="90" t="s">
        <v>72</v>
      </c>
    </row>
    <row r="22" spans="1:10" ht="30.75" customHeight="1">
      <c r="A22" s="40"/>
      <c r="B22" s="93">
        <f>+B21/B6</f>
        <v>0.47388571428571391</v>
      </c>
      <c r="C22" s="93">
        <f>+C21/C6</f>
        <v>0.35977028571428571</v>
      </c>
      <c r="D22" s="93">
        <f>+D21/D6</f>
        <v>0.26131428571428555</v>
      </c>
      <c r="E22" s="41"/>
      <c r="F22" s="41"/>
      <c r="G22" s="41"/>
      <c r="H22" s="90" t="s">
        <v>73</v>
      </c>
    </row>
    <row r="23" spans="1:10" ht="39.6">
      <c r="A23" s="40"/>
      <c r="B23" s="41" t="str">
        <f>B2</f>
        <v>Meubles usinés</v>
      </c>
      <c r="C23" s="41" t="str">
        <f t="shared" ref="C23:F23" si="0">C2</f>
        <v>Meubles usinés finis main</v>
      </c>
      <c r="D23" s="41" t="str">
        <f t="shared" si="0"/>
        <v>Meubles sur mesure</v>
      </c>
      <c r="E23" s="41" t="str">
        <f t="shared" si="0"/>
        <v>Moyenne par unité pondérée</v>
      </c>
      <c r="F23" s="41" t="str">
        <f t="shared" si="0"/>
        <v>Total en milliers de dollars</v>
      </c>
      <c r="G23" s="41"/>
    </row>
    <row r="24" spans="1:10">
      <c r="A24" s="40" t="str">
        <f>A4</f>
        <v>Chiffre d'affaires (en milliers de $)</v>
      </c>
      <c r="B24" s="41">
        <f>B4</f>
        <v>1907.4999999999998</v>
      </c>
      <c r="C24" s="41">
        <f>C4</f>
        <v>2452.5</v>
      </c>
      <c r="D24" s="41">
        <f>D4</f>
        <v>1090</v>
      </c>
      <c r="E24" s="41"/>
      <c r="F24" s="41">
        <f>SUM(B24:D24)</f>
        <v>5450</v>
      </c>
      <c r="G24" s="38"/>
    </row>
    <row r="25" spans="1:10" ht="12.75">
      <c r="A25" s="40" t="s">
        <v>74</v>
      </c>
      <c r="B25" s="41">
        <f>B62</f>
        <v>1003.563</v>
      </c>
      <c r="C25" s="41">
        <f>C62</f>
        <v>1570.1633742857143</v>
      </c>
      <c r="D25" s="41">
        <f>D62</f>
        <v>805.16742857142879</v>
      </c>
      <c r="E25" s="41"/>
      <c r="F25" s="41">
        <f>SUM(B25:D25)</f>
        <v>3378.8938028571433</v>
      </c>
      <c r="G25" s="45"/>
    </row>
    <row r="26" spans="1:10" ht="12.75">
      <c r="A26" s="40" t="s">
        <v>15</v>
      </c>
      <c r="B26" s="51">
        <f>B24-B25</f>
        <v>903.93699999999978</v>
      </c>
      <c r="C26" s="51">
        <f>C24-C25</f>
        <v>882.33662571428567</v>
      </c>
      <c r="D26" s="51">
        <f>D24-D25</f>
        <v>284.83257142857121</v>
      </c>
      <c r="E26" s="51"/>
      <c r="F26" s="51">
        <f>SUM(B26:D26)</f>
        <v>2071.1061971428567</v>
      </c>
      <c r="G26" s="65"/>
    </row>
    <row r="27" spans="1:10" ht="13.9" thickTop="1">
      <c r="A27" s="40"/>
      <c r="B27" s="41"/>
      <c r="C27" s="41"/>
      <c r="D27" s="41"/>
      <c r="E27" s="41"/>
      <c r="F27" s="41"/>
      <c r="G27" s="41"/>
    </row>
    <row r="28" spans="1:10" ht="12.75">
      <c r="A28" s="40" t="s">
        <v>75</v>
      </c>
      <c r="B28" s="61">
        <v>0.35</v>
      </c>
      <c r="C28" s="61">
        <v>0.45</v>
      </c>
      <c r="D28" s="61">
        <v>0.2</v>
      </c>
      <c r="E28" s="61"/>
      <c r="F28" s="61">
        <f>SUM(B28:D28)</f>
        <v>1</v>
      </c>
      <c r="G28" s="41"/>
    </row>
    <row r="29" spans="1:10" ht="26.45">
      <c r="A29" s="40" t="s">
        <v>76</v>
      </c>
      <c r="B29" s="61">
        <f>B26/$F26</f>
        <v>0.43645130377525004</v>
      </c>
      <c r="C29" s="61">
        <f>C26/$F26</f>
        <v>0.42602191376351989</v>
      </c>
      <c r="D29" s="61">
        <f>D26/$F26</f>
        <v>0.13752678246123012</v>
      </c>
      <c r="E29" s="61"/>
      <c r="F29" s="61">
        <f>SUM(B29:D29)</f>
        <v>1</v>
      </c>
      <c r="G29" s="41"/>
    </row>
    <row r="30" spans="1:10">
      <c r="A30" s="40"/>
      <c r="B30" s="41"/>
      <c r="C30" s="41"/>
      <c r="D30" s="41"/>
      <c r="E30" s="41"/>
      <c r="F30" s="41"/>
      <c r="G30" s="41"/>
    </row>
    <row r="31" spans="1:10">
      <c r="A31" s="40" t="s">
        <v>77</v>
      </c>
      <c r="B31" s="52">
        <f>B21/B6</f>
        <v>0.47388571428571391</v>
      </c>
      <c r="C31" s="52">
        <f>C21/C6</f>
        <v>0.35977028571428571</v>
      </c>
      <c r="D31" s="52">
        <f>D21/D6</f>
        <v>0.26131428571428555</v>
      </c>
      <c r="E31" s="52"/>
      <c r="F31" s="52">
        <f>F21/F4</f>
        <v>0.38001948571428573</v>
      </c>
      <c r="G31" s="52"/>
    </row>
    <row r="32" spans="1:10" ht="12.75">
      <c r="A32" s="40" t="s">
        <v>78</v>
      </c>
      <c r="B32" s="41">
        <f>B6-B10</f>
        <v>533.75318181818136</v>
      </c>
      <c r="C32" s="41">
        <f>C6-C10</f>
        <v>939.16034999999988</v>
      </c>
      <c r="D32" s="41">
        <f>D6-D10</f>
        <v>1255.1349999999998</v>
      </c>
      <c r="E32" s="41"/>
      <c r="F32" s="41">
        <f>F4-F10</f>
        <v>2991.1354900000001</v>
      </c>
      <c r="G32" s="41"/>
    </row>
    <row r="33" spans="1:7">
      <c r="A33" s="40" t="s">
        <v>79</v>
      </c>
      <c r="B33" s="52">
        <f>B32/B6</f>
        <v>0.61559999999999981</v>
      </c>
      <c r="C33" s="52">
        <f>C32/C6</f>
        <v>0.53611599999999993</v>
      </c>
      <c r="D33" s="52">
        <f>D32/D6</f>
        <v>0.4605999999999999</v>
      </c>
      <c r="E33" s="52"/>
      <c r="F33" s="52">
        <f>F32/F4</f>
        <v>0.54883219999999999</v>
      </c>
      <c r="G33" s="45"/>
    </row>
    <row r="34" spans="1:7">
      <c r="A34" s="43" t="s">
        <v>80</v>
      </c>
      <c r="B34" s="42">
        <f>(B19*B5)/B32</f>
        <v>506.45131346885665</v>
      </c>
      <c r="C34" s="42">
        <f>(C19*C5)/C32</f>
        <v>460.50481612188412</v>
      </c>
      <c r="D34" s="42">
        <f>(D19*D5)/D32</f>
        <v>173.06618696110672</v>
      </c>
      <c r="E34" s="42"/>
      <c r="F34" s="42">
        <f>(F19*F5)/F32</f>
        <v>1230.3411810437822</v>
      </c>
    </row>
    <row r="35" spans="1:7">
      <c r="A35" s="43" t="s">
        <v>81</v>
      </c>
      <c r="B35" s="52">
        <f>(B5-B34)/B5</f>
        <v>0.76979485751415611</v>
      </c>
      <c r="C35" s="52">
        <f>(C5-C34)/C5</f>
        <v>0.67106798848436844</v>
      </c>
      <c r="D35" s="52">
        <f>(D5-D34)/D5</f>
        <v>0.56733453259723321</v>
      </c>
      <c r="E35" s="42"/>
      <c r="F35" s="52">
        <f>(F5-F34)/F5</f>
        <v>0.69241470473905453</v>
      </c>
    </row>
    <row r="36" spans="1:7">
      <c r="A36" s="40"/>
      <c r="B36" s="38"/>
      <c r="C36" s="38"/>
      <c r="D36" s="38"/>
      <c r="E36" s="38"/>
      <c r="F36" s="38"/>
      <c r="G36" s="38"/>
    </row>
    <row r="40" spans="1:7">
      <c r="A40" s="40"/>
      <c r="B40" s="41"/>
      <c r="C40" s="41"/>
      <c r="D40" s="41"/>
      <c r="E40" s="41"/>
      <c r="F40" s="41"/>
      <c r="G40" s="45"/>
    </row>
    <row r="41" spans="1:7">
      <c r="A41" s="40"/>
      <c r="B41" s="38"/>
      <c r="C41" s="38"/>
      <c r="D41" s="38"/>
      <c r="E41" s="38"/>
      <c r="G41" s="38"/>
    </row>
    <row r="42" spans="1:7" ht="39.6">
      <c r="A42" s="40"/>
      <c r="B42" s="39" t="str">
        <f>B2</f>
        <v>Meubles usinés</v>
      </c>
      <c r="C42" s="39" t="str">
        <f>C2</f>
        <v>Meubles usinés finis main</v>
      </c>
      <c r="D42" s="39" t="str">
        <f>D2</f>
        <v>Meubles sur mesure</v>
      </c>
      <c r="E42" s="39" t="s">
        <v>82</v>
      </c>
      <c r="F42" s="56" t="s">
        <v>83</v>
      </c>
      <c r="G42" s="38"/>
    </row>
    <row r="43" spans="1:7">
      <c r="A43" s="40" t="s">
        <v>84</v>
      </c>
      <c r="B43" s="54">
        <v>0.2</v>
      </c>
      <c r="C43" s="54">
        <v>0.35</v>
      </c>
      <c r="D43" s="54">
        <v>0.45</v>
      </c>
      <c r="E43" s="47">
        <f>SUM(B43:D43)</f>
        <v>1</v>
      </c>
      <c r="F43" s="56">
        <f>BDL_Résultats!E10</f>
        <v>436</v>
      </c>
      <c r="G43" s="38"/>
    </row>
    <row r="44" spans="1:7">
      <c r="G44" s="38"/>
    </row>
    <row r="45" spans="1:7">
      <c r="A45" s="40" t="s">
        <v>85</v>
      </c>
      <c r="B45" s="67">
        <v>2.5000000000000001E-2</v>
      </c>
      <c r="C45" s="67">
        <v>0.05</v>
      </c>
      <c r="D45" s="67">
        <v>0.1</v>
      </c>
      <c r="E45" s="38"/>
      <c r="F45" s="53">
        <f>(B45*B4)+(C45*C4)+(D45*D4)</f>
        <v>279.3125</v>
      </c>
      <c r="G45" s="38"/>
    </row>
    <row r="46" spans="1:7">
      <c r="A46" s="40" t="s">
        <v>86</v>
      </c>
      <c r="B46" s="54">
        <v>0.4</v>
      </c>
      <c r="C46" s="54">
        <v>0.4</v>
      </c>
      <c r="D46" s="54">
        <v>0.2</v>
      </c>
      <c r="E46" s="47">
        <f>SUM(B46:D46)</f>
        <v>1</v>
      </c>
      <c r="F46" s="53">
        <v>185</v>
      </c>
      <c r="G46" s="38"/>
    </row>
    <row r="47" spans="1:7">
      <c r="A47" s="40" t="s">
        <v>87</v>
      </c>
      <c r="B47" s="54">
        <v>0.4</v>
      </c>
      <c r="C47" s="54">
        <v>0.35</v>
      </c>
      <c r="D47" s="54">
        <v>0.25</v>
      </c>
      <c r="E47" s="47">
        <f>SUM(B47:D47)</f>
        <v>1</v>
      </c>
      <c r="F47" s="53">
        <v>45</v>
      </c>
      <c r="G47" s="38"/>
    </row>
    <row r="48" spans="1:7">
      <c r="A48" s="40" t="s">
        <v>88</v>
      </c>
      <c r="B48" s="39"/>
      <c r="C48" s="54">
        <v>0.15</v>
      </c>
      <c r="D48" s="54">
        <v>0.85</v>
      </c>
      <c r="E48" s="47">
        <f>SUM(B48:D48)</f>
        <v>1</v>
      </c>
      <c r="F48" s="53">
        <v>80</v>
      </c>
      <c r="G48" s="38"/>
    </row>
    <row r="49" spans="1:11">
      <c r="A49" s="40" t="s">
        <v>89</v>
      </c>
      <c r="B49" s="39" t="s">
        <v>90</v>
      </c>
      <c r="C49" s="39" t="s">
        <v>90</v>
      </c>
      <c r="D49" s="39" t="s">
        <v>90</v>
      </c>
      <c r="E49" s="38"/>
      <c r="F49" s="53">
        <v>232</v>
      </c>
      <c r="G49" s="38"/>
    </row>
    <row r="50" spans="1:11">
      <c r="A50" s="40" t="s">
        <v>91</v>
      </c>
      <c r="B50" s="39" t="s">
        <v>90</v>
      </c>
      <c r="C50" s="39" t="s">
        <v>90</v>
      </c>
      <c r="D50" s="39" t="s">
        <v>90</v>
      </c>
      <c r="E50" s="38"/>
      <c r="F50" s="53">
        <v>15</v>
      </c>
      <c r="G50" s="38"/>
    </row>
    <row r="51" spans="1:11">
      <c r="A51" s="40" t="s">
        <v>92</v>
      </c>
      <c r="B51" s="39" t="s">
        <v>90</v>
      </c>
      <c r="C51" s="39" t="s">
        <v>90</v>
      </c>
      <c r="D51" s="39" t="s">
        <v>90</v>
      </c>
      <c r="E51" s="38"/>
      <c r="F51" s="53">
        <v>90</v>
      </c>
      <c r="G51" s="38"/>
    </row>
    <row r="52" spans="1:11" ht="13.9" thickBot="1">
      <c r="E52" s="57">
        <f>BDL_Résultats!E17</f>
        <v>926.50000000000011</v>
      </c>
      <c r="F52" s="55">
        <f>SUM(F45:F51)</f>
        <v>926.3125</v>
      </c>
      <c r="G52" s="38"/>
    </row>
    <row r="53" spans="1:11" ht="13.9" thickTop="1">
      <c r="F53" s="60"/>
      <c r="G53" s="38"/>
    </row>
    <row r="54" spans="1:11">
      <c r="A54" s="43" t="s">
        <v>9</v>
      </c>
      <c r="B54" s="39" t="s">
        <v>90</v>
      </c>
      <c r="C54" s="39" t="s">
        <v>90</v>
      </c>
      <c r="D54" s="39" t="s">
        <v>90</v>
      </c>
      <c r="F54" s="60">
        <v>794</v>
      </c>
      <c r="G54" s="38"/>
    </row>
    <row r="57" spans="1:11" ht="39.6">
      <c r="B57" s="39" t="str">
        <f>B2</f>
        <v>Meubles usinés</v>
      </c>
      <c r="C57" s="39" t="str">
        <f>C2</f>
        <v>Meubles usinés finis main</v>
      </c>
      <c r="D57" s="39" t="str">
        <f>D2</f>
        <v>Meubles sur mesure</v>
      </c>
      <c r="E57" s="39" t="str">
        <f>E42</f>
        <v>Total</v>
      </c>
    </row>
    <row r="58" spans="1:11" ht="15" customHeight="1">
      <c r="A58" s="53"/>
      <c r="B58" s="63" t="s">
        <v>83</v>
      </c>
      <c r="C58" s="63" t="s">
        <v>83</v>
      </c>
      <c r="D58" s="63" t="s">
        <v>83</v>
      </c>
      <c r="E58" s="63" t="s">
        <v>83</v>
      </c>
    </row>
    <row r="59" spans="1:11" ht="12.75">
      <c r="A59" s="78" t="s">
        <v>93</v>
      </c>
      <c r="B59" s="100">
        <f>B4</f>
        <v>1907.4999999999998</v>
      </c>
      <c r="C59" s="100">
        <f>C4</f>
        <v>2452.5</v>
      </c>
      <c r="D59" s="100">
        <f>D4</f>
        <v>1090</v>
      </c>
      <c r="E59" s="41">
        <f>SUM(B59:D59)</f>
        <v>5450</v>
      </c>
      <c r="G59" s="43"/>
      <c r="K59" s="21"/>
    </row>
    <row r="60" spans="1:11" ht="12.75">
      <c r="A60" s="79" t="s">
        <v>94</v>
      </c>
      <c r="B60" s="99">
        <f>B43*$F43</f>
        <v>87.2</v>
      </c>
      <c r="C60" s="99">
        <f>C43*$F43</f>
        <v>152.6</v>
      </c>
      <c r="D60" s="99">
        <f>D43*$F43</f>
        <v>196.20000000000002</v>
      </c>
      <c r="E60" s="49">
        <f>SUM(B60:D60)</f>
        <v>436</v>
      </c>
      <c r="F60" s="88" t="s">
        <v>95</v>
      </c>
      <c r="G60" s="43"/>
      <c r="K60" s="21"/>
    </row>
    <row r="61" spans="1:11" ht="12.75">
      <c r="A61" s="80" t="s">
        <v>96</v>
      </c>
      <c r="B61" s="100">
        <f>B59-B60</f>
        <v>1820.2999999999997</v>
      </c>
      <c r="C61" s="100">
        <f>C59-C60</f>
        <v>2299.9</v>
      </c>
      <c r="D61" s="100">
        <f>D59-D60</f>
        <v>893.8</v>
      </c>
      <c r="E61" s="42">
        <f>E59-E60</f>
        <v>5014</v>
      </c>
      <c r="G61" s="43"/>
    </row>
    <row r="62" spans="1:11" ht="12.75">
      <c r="A62" s="81" t="s">
        <v>97</v>
      </c>
      <c r="B62" s="99">
        <f>B20*B5/1000</f>
        <v>1003.563</v>
      </c>
      <c r="C62" s="99">
        <f>C20*C5/1000</f>
        <v>1570.1633742857143</v>
      </c>
      <c r="D62" s="99">
        <f>D20*D5/1000</f>
        <v>805.16742857142879</v>
      </c>
      <c r="E62" s="49">
        <f>F20</f>
        <v>3378.8938028571429</v>
      </c>
      <c r="G62" s="43"/>
      <c r="K62" s="91"/>
    </row>
    <row r="63" spans="1:11" ht="12.75">
      <c r="A63" s="78" t="s">
        <v>15</v>
      </c>
      <c r="B63" s="100">
        <f>B61-B62</f>
        <v>816.73699999999974</v>
      </c>
      <c r="C63" s="100">
        <f>C61-C62</f>
        <v>729.73662571428576</v>
      </c>
      <c r="D63" s="100">
        <f>D61-D62</f>
        <v>88.632571428571168</v>
      </c>
      <c r="E63" s="41">
        <f>E61-E62</f>
        <v>1635.1061971428571</v>
      </c>
      <c r="F63" s="88" t="s">
        <v>98</v>
      </c>
      <c r="G63" s="43"/>
      <c r="J63" s="21"/>
      <c r="K63" s="21"/>
    </row>
    <row r="64" spans="1:11" ht="12.75">
      <c r="A64" s="82" t="s">
        <v>99</v>
      </c>
      <c r="B64" s="101">
        <f>B63/B61</f>
        <v>0.44868263473053882</v>
      </c>
      <c r="C64" s="101">
        <f t="shared" ref="C64:D64" si="1">C63/C61</f>
        <v>0.31729058903182128</v>
      </c>
      <c r="D64" s="101">
        <f t="shared" si="1"/>
        <v>9.916376306620181E-2</v>
      </c>
      <c r="E64" s="41"/>
      <c r="G64" s="43"/>
    </row>
    <row r="65" spans="1:15" ht="12.75">
      <c r="A65" s="83" t="s">
        <v>100</v>
      </c>
      <c r="B65" s="100"/>
      <c r="C65" s="100"/>
      <c r="D65" s="100"/>
      <c r="E65" s="41"/>
      <c r="G65" s="43"/>
    </row>
    <row r="66" spans="1:15" ht="12.75">
      <c r="A66" s="84" t="s">
        <v>85</v>
      </c>
      <c r="B66" s="100">
        <f>B45*B4</f>
        <v>47.6875</v>
      </c>
      <c r="C66" s="100">
        <f>C45*C4</f>
        <v>122.625</v>
      </c>
      <c r="D66" s="100">
        <f>D45*D4</f>
        <v>109</v>
      </c>
      <c r="E66" s="42">
        <f>SUM(B66:D66)</f>
        <v>279.3125</v>
      </c>
      <c r="F66" s="88" t="s">
        <v>101</v>
      </c>
    </row>
    <row r="67" spans="1:15" ht="12.75">
      <c r="A67" s="84" t="s">
        <v>86</v>
      </c>
      <c r="B67" s="98">
        <f>$F46*B46</f>
        <v>74</v>
      </c>
      <c r="C67" s="98">
        <f t="shared" ref="B67:D69" si="2">$F46*C46</f>
        <v>74</v>
      </c>
      <c r="D67" s="98">
        <f t="shared" si="2"/>
        <v>37</v>
      </c>
      <c r="E67" s="42">
        <f>SUM(B67:D67)</f>
        <v>185</v>
      </c>
      <c r="F67" s="88"/>
    </row>
    <row r="68" spans="1:15" ht="12.75">
      <c r="A68" s="84" t="s">
        <v>87</v>
      </c>
      <c r="B68" s="98">
        <f t="shared" si="2"/>
        <v>18</v>
      </c>
      <c r="C68" s="98">
        <f t="shared" si="2"/>
        <v>15.749999999999998</v>
      </c>
      <c r="D68" s="98">
        <f t="shared" si="2"/>
        <v>11.25</v>
      </c>
      <c r="E68" s="42">
        <f>SUM(B68:D68)</f>
        <v>45</v>
      </c>
      <c r="F68" s="88"/>
    </row>
    <row r="69" spans="1:15" ht="12.75">
      <c r="A69" s="84" t="s">
        <v>88</v>
      </c>
      <c r="B69" s="98">
        <f t="shared" si="2"/>
        <v>0</v>
      </c>
      <c r="C69" s="98">
        <f t="shared" si="2"/>
        <v>12</v>
      </c>
      <c r="D69" s="98">
        <f t="shared" si="2"/>
        <v>68</v>
      </c>
      <c r="E69" s="42">
        <f>SUM(B69:D69)</f>
        <v>80</v>
      </c>
      <c r="F69" s="88" t="s">
        <v>101</v>
      </c>
    </row>
    <row r="70" spans="1:15" ht="12.75">
      <c r="A70" s="83"/>
      <c r="B70" s="97">
        <f>SUM(B66:B69)</f>
        <v>139.6875</v>
      </c>
      <c r="C70" s="97">
        <f>SUM(C66:C69)</f>
        <v>224.375</v>
      </c>
      <c r="D70" s="97">
        <f>SUM(D66:D69)</f>
        <v>225.25</v>
      </c>
      <c r="E70" s="50">
        <f>SUM(E66:E69)</f>
        <v>589.3125</v>
      </c>
      <c r="K70" s="21"/>
      <c r="L70" s="112"/>
      <c r="O70" s="21"/>
    </row>
    <row r="71" spans="1:15" ht="12.75">
      <c r="A71" s="102" t="s">
        <v>102</v>
      </c>
      <c r="B71" s="103">
        <f>B63-B70</f>
        <v>677.04949999999974</v>
      </c>
      <c r="C71" s="103">
        <f>C63-C70</f>
        <v>505.36162571428576</v>
      </c>
      <c r="D71" s="103">
        <f>D63-D70</f>
        <v>-136.61742857142883</v>
      </c>
      <c r="E71" s="50">
        <f>E63-E70</f>
        <v>1045.7936971428571</v>
      </c>
      <c r="L71" s="112"/>
    </row>
    <row r="72" spans="1:15">
      <c r="A72" s="83" t="s">
        <v>103</v>
      </c>
      <c r="B72" s="85"/>
      <c r="C72" s="85"/>
      <c r="D72" s="85"/>
      <c r="L72" s="112"/>
    </row>
    <row r="73" spans="1:15" ht="12.75">
      <c r="A73" s="84" t="s">
        <v>104</v>
      </c>
      <c r="B73" s="98">
        <f>$F49*B$4/$F$4</f>
        <v>81.199999999999989</v>
      </c>
      <c r="C73" s="98">
        <f t="shared" ref="B73:D75" si="3">$F49*C$4/$F$4</f>
        <v>104.4</v>
      </c>
      <c r="D73" s="98">
        <f>$F49*D$4/$F$4</f>
        <v>46.4</v>
      </c>
      <c r="E73" s="42">
        <f>SUM(B73:D73)</f>
        <v>232</v>
      </c>
      <c r="K73" s="21"/>
      <c r="L73" s="112"/>
    </row>
    <row r="74" spans="1:15" ht="12.75">
      <c r="A74" s="84" t="s">
        <v>91</v>
      </c>
      <c r="B74" s="98">
        <f t="shared" si="3"/>
        <v>5.2499999999999991</v>
      </c>
      <c r="C74" s="98">
        <f t="shared" si="3"/>
        <v>6.75</v>
      </c>
      <c r="D74" s="98">
        <f t="shared" si="3"/>
        <v>3</v>
      </c>
      <c r="E74" s="42">
        <f>SUM(B74:D74)</f>
        <v>15</v>
      </c>
      <c r="K74" s="21"/>
      <c r="L74" s="112"/>
    </row>
    <row r="75" spans="1:15" ht="12.75">
      <c r="A75" s="84" t="s">
        <v>92</v>
      </c>
      <c r="B75" s="98">
        <f>$F51*B$4/$F$4</f>
        <v>31.499999999999993</v>
      </c>
      <c r="C75" s="98">
        <f t="shared" si="3"/>
        <v>40.5</v>
      </c>
      <c r="D75" s="98">
        <f t="shared" si="3"/>
        <v>18</v>
      </c>
      <c r="E75" s="42">
        <f>SUM(B75:D75)</f>
        <v>90</v>
      </c>
      <c r="K75" s="21"/>
      <c r="L75" s="112"/>
      <c r="N75" s="21"/>
    </row>
    <row r="76" spans="1:15" ht="12.75">
      <c r="A76" s="84"/>
      <c r="B76" s="98"/>
      <c r="C76" s="98"/>
      <c r="D76" s="98"/>
      <c r="E76" s="42"/>
      <c r="K76" s="21"/>
    </row>
    <row r="77" spans="1:15" ht="12.75">
      <c r="A77" s="86" t="s">
        <v>9</v>
      </c>
      <c r="B77" s="96">
        <f>$F54*B$4/$F$4</f>
        <v>277.89999999999998</v>
      </c>
      <c r="C77" s="96">
        <f>$F54*C$4/$F$4</f>
        <v>357.3</v>
      </c>
      <c r="D77" s="96">
        <f>$F54*D$4/$F$4</f>
        <v>158.80000000000001</v>
      </c>
      <c r="E77" s="49">
        <f>SUM(B77:D77)</f>
        <v>794</v>
      </c>
      <c r="K77" s="91"/>
    </row>
    <row r="78" spans="1:15" ht="12.75">
      <c r="A78" s="84"/>
      <c r="B78" s="98">
        <f>SUM(B73:B77)</f>
        <v>395.84999999999997</v>
      </c>
      <c r="C78" s="98">
        <f>SUM(C73:C77)</f>
        <v>508.95000000000005</v>
      </c>
      <c r="D78" s="98">
        <f>SUM(D73:D77)</f>
        <v>226.20000000000002</v>
      </c>
      <c r="E78" s="42">
        <f>SUM(E73:E77)</f>
        <v>1131</v>
      </c>
    </row>
    <row r="79" spans="1:15" ht="12.75">
      <c r="A79" s="78" t="s">
        <v>105</v>
      </c>
      <c r="B79" s="95">
        <f>B71-B78</f>
        <v>281.19949999999977</v>
      </c>
      <c r="C79" s="95">
        <f>C71-C78</f>
        <v>-3.5883742857142806</v>
      </c>
      <c r="D79" s="95">
        <f>D71-D78</f>
        <v>-362.81742857142888</v>
      </c>
      <c r="E79" s="51">
        <f>E71-E78</f>
        <v>-85.206302857142873</v>
      </c>
      <c r="H79" s="21"/>
      <c r="K79" s="92"/>
    </row>
    <row r="80" spans="1:15" ht="12.75">
      <c r="A80" s="94" t="s">
        <v>55</v>
      </c>
      <c r="B80" s="98">
        <v>2200</v>
      </c>
      <c r="C80" s="98">
        <v>1400</v>
      </c>
      <c r="D80" s="98">
        <v>400</v>
      </c>
      <c r="E80" s="49"/>
      <c r="F80" s="49"/>
    </row>
    <row r="81" spans="1:6">
      <c r="A81" s="78" t="s">
        <v>106</v>
      </c>
      <c r="B81" s="89">
        <f>B79/B80*1000</f>
        <v>127.81795454545444</v>
      </c>
      <c r="C81" s="87">
        <f>C79/C80*1000</f>
        <v>-2.5631244897959147</v>
      </c>
      <c r="D81" s="87">
        <f>D79/D80*1000</f>
        <v>-907.04357142857214</v>
      </c>
      <c r="E81" s="58">
        <f>E79/F5*1000</f>
        <v>-21.301575714285718</v>
      </c>
    </row>
    <row r="85" spans="1:6">
      <c r="A85" s="62"/>
    </row>
    <row r="86" spans="1:6">
      <c r="A86" s="68"/>
      <c r="B86" s="39"/>
      <c r="C86" s="39"/>
      <c r="D86" s="39"/>
    </row>
    <row r="87" spans="1:6">
      <c r="A87" s="40"/>
      <c r="B87" s="41"/>
      <c r="C87" s="41"/>
      <c r="D87" s="41"/>
      <c r="E87" s="41"/>
      <c r="F87" s="41"/>
    </row>
    <row r="88" spans="1:6">
      <c r="A88" s="40"/>
      <c r="B88" s="42"/>
      <c r="C88" s="42"/>
      <c r="D88" s="42"/>
      <c r="E88" s="42"/>
      <c r="F88" s="42"/>
    </row>
    <row r="89" spans="1:6">
      <c r="A89" s="40"/>
      <c r="B89" s="41"/>
      <c r="C89" s="41"/>
      <c r="D89" s="41"/>
      <c r="E89" s="41"/>
      <c r="F89" s="41"/>
    </row>
    <row r="90" spans="1:6">
      <c r="A90" s="40"/>
      <c r="B90" s="41"/>
      <c r="C90" s="41"/>
      <c r="D90" s="41"/>
      <c r="E90" s="41"/>
      <c r="F90" s="41"/>
    </row>
    <row r="91" spans="1:6">
      <c r="A91" s="40"/>
      <c r="B91" s="61"/>
      <c r="C91" s="61"/>
      <c r="D91" s="61"/>
      <c r="E91" s="61"/>
      <c r="F91" s="61"/>
    </row>
    <row r="94" spans="1:6">
      <c r="A94" s="68"/>
      <c r="B94" s="39"/>
      <c r="C94" s="39"/>
      <c r="D94" s="39"/>
    </row>
    <row r="95" spans="1:6">
      <c r="A95" s="40"/>
      <c r="B95" s="41"/>
      <c r="C95" s="41"/>
      <c r="D95" s="41"/>
    </row>
    <row r="96" spans="1:6">
      <c r="A96" s="40"/>
      <c r="B96" s="41"/>
      <c r="C96" s="41"/>
      <c r="D96" s="41"/>
    </row>
    <row r="97" spans="1:4">
      <c r="A97" s="40"/>
      <c r="B97" s="42"/>
      <c r="C97" s="42"/>
      <c r="D97" s="42"/>
    </row>
    <row r="98" spans="1:4">
      <c r="A98" s="40"/>
      <c r="B98" s="41"/>
      <c r="C98" s="41"/>
      <c r="D98" s="41"/>
    </row>
    <row r="99" spans="1:4">
      <c r="A99" s="40"/>
      <c r="B99" s="41"/>
      <c r="C99" s="41"/>
      <c r="D99" s="41"/>
    </row>
    <row r="100" spans="1:4">
      <c r="A100" s="40"/>
      <c r="B100" s="61"/>
      <c r="C100" s="61"/>
      <c r="D100" s="61"/>
    </row>
  </sheetData>
  <mergeCells count="1">
    <mergeCell ref="L70:L75"/>
  </mergeCells>
  <phoneticPr fontId="12" type="noConversion"/>
  <pageMargins left="0.3" right="0.21" top="0.984251969" bottom="0.44" header="0.4921259845" footer="0.27"/>
  <pageSetup scale="95" orientation="landscape" r:id="rId1"/>
  <headerFooter alignWithMargins="0"/>
  <rowBreaks count="1" manualBreakCount="1">
    <brk id="4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B283919F7A04E9CDC443BFD166F77" ma:contentTypeVersion="4" ma:contentTypeDescription="Create a new document." ma:contentTypeScope="" ma:versionID="12ec5126627feb4d615406ac977e398d">
  <xsd:schema xmlns:xsd="http://www.w3.org/2001/XMLSchema" xmlns:xs="http://www.w3.org/2001/XMLSchema" xmlns:p="http://schemas.microsoft.com/office/2006/metadata/properties" xmlns:ns2="5674f0a4-3645-4119-81c3-d28b34f876e3" targetNamespace="http://schemas.microsoft.com/office/2006/metadata/properties" ma:root="true" ma:fieldsID="2766d383dfafd6154fd78088492871af" ns2:_="">
    <xsd:import namespace="5674f0a4-3645-4119-81c3-d28b34f87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4f0a4-3645-4119-81c3-d28b34f87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DCC3A2-CA2A-4FC2-B6A9-D8E9BEB2050F}"/>
</file>

<file path=customXml/itemProps2.xml><?xml version="1.0" encoding="utf-8"?>
<ds:datastoreItem xmlns:ds="http://schemas.openxmlformats.org/officeDocument/2006/customXml" ds:itemID="{AD8275D4-FBD9-4EDE-ADF2-76D19A8EBE56}"/>
</file>

<file path=customXml/itemProps3.xml><?xml version="1.0" encoding="utf-8"?>
<ds:datastoreItem xmlns:ds="http://schemas.openxmlformats.org/officeDocument/2006/customXml" ds:itemID="{DF106056-A240-4219-8591-282775F402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Vézina</dc:creator>
  <cp:keywords/>
  <dc:description/>
  <cp:lastModifiedBy>Zachary Mac Donald</cp:lastModifiedBy>
  <cp:revision/>
  <dcterms:created xsi:type="dcterms:W3CDTF">2005-06-07T21:29:00Z</dcterms:created>
  <dcterms:modified xsi:type="dcterms:W3CDTF">2025-02-19T13:07:37Z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0x010100DF4B283919F7A04E9CDC443BFD166F77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