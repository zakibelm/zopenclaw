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user\Desktop\Controle S marzouk\Contrôle de gestion stratégique\Séance 2 Planification stratégique et analyse stratégique\"/>
    </mc:Choice>
  </mc:AlternateContent>
  <xr:revisionPtr revIDLastSave="0" documentId="13_ncr:1_{0B3623F2-AF81-4E31-90EA-7B6A75DBC28D}" xr6:coauthVersionLast="47" xr6:coauthVersionMax="47" xr10:uidLastSave="{00000000-0000-0000-0000-000000000000}"/>
  <bookViews>
    <workbookView xWindow="-108" yWindow="-108" windowWidth="23256" windowHeight="12456" firstSheet="2" activeTab="2" xr2:uid="{949B9879-0331-4E9C-953E-098AEAFA208C}"/>
  </bookViews>
  <sheets>
    <sheet name="Données" sheetId="1" r:id="rId1"/>
    <sheet name="Demande 1" sheetId="2" r:id="rId2"/>
    <sheet name="Grille" sheetId="3" r:id="rId3"/>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 i="2" l="1"/>
  <c r="C7" i="2"/>
  <c r="C6" i="2"/>
  <c r="D14" i="2"/>
  <c r="C11" i="2" l="1"/>
  <c r="D11" i="2" s="1"/>
  <c r="C10" i="2"/>
  <c r="D10" i="2" s="1"/>
  <c r="C9" i="2"/>
  <c r="D9" i="2" s="1"/>
  <c r="C8" i="2"/>
  <c r="D8" i="2" s="1"/>
  <c r="D6" i="2"/>
  <c r="D12" i="2" l="1"/>
  <c r="D16" i="2" s="1"/>
  <c r="D13" i="2" l="1"/>
  <c r="D15" i="2" s="1"/>
  <c r="D17" i="2"/>
</calcChain>
</file>

<file path=xl/sharedStrings.xml><?xml version="1.0" encoding="utf-8"?>
<sst xmlns="http://schemas.openxmlformats.org/spreadsheetml/2006/main" count="141" uniqueCount="114">
  <si>
    <t>Annexe 1 - Rentabilité par produit</t>
  </si>
  <si>
    <t>Sacs de randonnée</t>
  </si>
  <si>
    <t>Tentes et sacs de couchage</t>
  </si>
  <si>
    <t>Vêtements</t>
  </si>
  <si>
    <t>Total</t>
  </si>
  <si>
    <t xml:space="preserve">Annnexe 2 </t>
  </si>
  <si>
    <t>Chiffre d'affaires</t>
  </si>
  <si>
    <t>$</t>
  </si>
  <si>
    <t>Coût de fabrication unitaire - sac de randonnée</t>
  </si>
  <si>
    <t>Coûts d'exploitation (1)</t>
  </si>
  <si>
    <t>Fournitures</t>
  </si>
  <si>
    <t>Assurances</t>
  </si>
  <si>
    <t>Charges sociales</t>
  </si>
  <si>
    <t>Réparations et entretien</t>
  </si>
  <si>
    <t>Services publics</t>
  </si>
  <si>
    <t>Loyer</t>
  </si>
  <si>
    <t>Amortissement</t>
  </si>
  <si>
    <t>Matières</t>
  </si>
  <si>
    <t>Main-d'œuvre</t>
  </si>
  <si>
    <t>Divers</t>
  </si>
  <si>
    <t>Total des coûts d'exploitation</t>
  </si>
  <si>
    <t>Bénéfice d'exploitation</t>
  </si>
  <si>
    <t>Note 1 : Comportement des coûts</t>
  </si>
  <si>
    <t>Fournitures :</t>
  </si>
  <si>
    <t>varient en fonction de la production</t>
  </si>
  <si>
    <t>Assurances :</t>
  </si>
  <si>
    <t>essentiellement un coût fixe</t>
  </si>
  <si>
    <t>Charges sociales :</t>
  </si>
  <si>
    <t>varient selon la main-d'œuvre ; environ 2,8 % de la main-d'œuvre</t>
  </si>
  <si>
    <t>Réparations et entretien :</t>
  </si>
  <si>
    <t>à la fois fixes et variables; environ 50 % fixes</t>
  </si>
  <si>
    <t>Services publics :</t>
  </si>
  <si>
    <t>en grande partie fixes</t>
  </si>
  <si>
    <t>Loyer :</t>
  </si>
  <si>
    <t>fixe ; cinq ans restant à courir sur le bail</t>
  </si>
  <si>
    <t>Matières :</t>
  </si>
  <si>
    <t>varient selon la production</t>
  </si>
  <si>
    <t>Main-d'œuvre :</t>
  </si>
  <si>
    <t>varie surtout en fonction de la production : environ 23 % fixe</t>
  </si>
  <si>
    <t>Divers :</t>
  </si>
  <si>
    <t>en grande partie variables</t>
  </si>
  <si>
    <t>Demande 1:</t>
  </si>
  <si>
    <t>Prop. Variable</t>
  </si>
  <si>
    <t>Coûts unitaires</t>
  </si>
  <si>
    <t>Coûts pertinents</t>
  </si>
  <si>
    <t>Prix de vente</t>
  </si>
  <si>
    <t>Total des CV</t>
  </si>
  <si>
    <t>MCV</t>
  </si>
  <si>
    <t>Commande (unités)</t>
  </si>
  <si>
    <t>Contribution de la commande de 4000 unités</t>
  </si>
  <si>
    <t>Contribution de la commande au prix régulier (25$)</t>
  </si>
  <si>
    <t>Impact différentiel</t>
  </si>
  <si>
    <t>Conclusion quantitative</t>
  </si>
  <si>
    <t>Un prix à 23$ générant une MCV positive de 5,57$ par unité. Bien que la baisse de prix diminue le bénéfice de 8000$ par rapport au prix habituel, d'un point de vue quantitatif l'offre devrait être acceptée à défaut d'une meilleure alternative puisque la MCV demeure positive et que ASD dispose de capacité excédentaire</t>
  </si>
  <si>
    <t>Hypothèses et coûts manquant</t>
  </si>
  <si>
    <t>ASD a la capacité pour accepter la commandes, cette commande n'entraîne pas de coût de renonciation. Si la commande venait à se répéter lors d'exercice subséquent où la demande est plus élevée, ASD devra s'assurer que cela n'entraîne pas de coût de renonciation.</t>
  </si>
  <si>
    <t>Arguments qualitatifs</t>
  </si>
  <si>
    <t xml:space="preserve">Avantages </t>
  </si>
  <si>
    <t>En acceptant la demande, ASD fidélise cette cliente. En refusant la demande ASD pourrait perdre son client</t>
  </si>
  <si>
    <t>En contexte économique difficile (inflation, concurrence, ...) accepter cette baisse de prix permet de conserver un client précieux tout en maintenant une marge sur coût variable positive.</t>
  </si>
  <si>
    <t>Inconvénients</t>
  </si>
  <si>
    <t xml:space="preserve"> - Risque de contagion -La réaction des autres clients d'ASD suite à une baisse de prix pour Sports de montagne pourrait être négative et ils pourraient exiger le même prix, ce qui aura un impact négatif sur le bénéfice d'ASD</t>
  </si>
  <si>
    <t>Recommandation</t>
  </si>
  <si>
    <t xml:space="preserve">Considérant l'impact positif de la commande sur le bénéfice et le risque de perdre la cliente s'il refuse la commande, ASD devrait accepter la commande. </t>
  </si>
  <si>
    <t>Mise en œuvre</t>
  </si>
  <si>
    <t xml:space="preserve"> - Pour demeurer concurrentiel dans la situation économique actuelle ASD devrait entreprendre un exercice de gestion des coûts pour évaluer la possibilité de diminuer les coûts de productions du sac de randonnée</t>
  </si>
  <si>
    <t xml:space="preserve"> - Présentation de l'Info: ASD devrait elle-même mieux gérer ses coûts et adopter des modes de présentations de l'info</t>
  </si>
  <si>
    <t>facilitant la gestion des coûts et la prise de décision</t>
  </si>
  <si>
    <t>Accessoires de sport Dubois</t>
  </si>
  <si>
    <t>Nom</t>
  </si>
  <si>
    <t>Matr</t>
  </si>
  <si>
    <t xml:space="preserve">Comptabilité de gestion </t>
  </si>
  <si>
    <t>Cote</t>
  </si>
  <si>
    <t>Commentaires</t>
  </si>
  <si>
    <t>OCCASION D'ÉVALUATION  1 – Le candidat analyse la commande de Sports de Montagne</t>
  </si>
  <si>
    <t>Analyse quantitative</t>
  </si>
  <si>
    <t>1.1</t>
  </si>
  <si>
    <t>Identifie correctement les coûts variables unitaires</t>
  </si>
  <si>
    <t>Si une erreur = partiel</t>
  </si>
  <si>
    <t>1.2</t>
  </si>
  <si>
    <t>Ne tient pas compte des coûts non pertinents</t>
  </si>
  <si>
    <t>N'inclut pas: assurances, service publics et Loyer. Si un des éléments est inclut = partiel</t>
  </si>
  <si>
    <t>1.3</t>
  </si>
  <si>
    <t>Calcule la contribution de la commande au bénéfice (PV- CV)</t>
  </si>
  <si>
    <t>Suivi des erreurs à 1.1 et 1.2</t>
  </si>
  <si>
    <t>1.4</t>
  </si>
  <si>
    <t>Différentielle - compare la contribution de la commande au prix régulier avec la contribution au prix de 23$/unité</t>
  </si>
  <si>
    <t>1.5</t>
  </si>
  <si>
    <t>indique si la commande doit être acceptée d'un point de vue quantitatif</t>
  </si>
  <si>
    <t>1.6</t>
  </si>
  <si>
    <t>Argument qualitatif valable</t>
  </si>
  <si>
    <t>Aumoins un argument qualitatif valide pour C</t>
  </si>
  <si>
    <t>1.7</t>
  </si>
  <si>
    <t>1.8</t>
  </si>
  <si>
    <t>1.9</t>
  </si>
  <si>
    <t xml:space="preserve">Recommandation </t>
  </si>
  <si>
    <t>Recommande clairement d'accepter ou de refuser la commande et justifie sa recommandation par un retour sur le quantitatif ET le qualitatif. Si un seul élément = partiel</t>
  </si>
  <si>
    <t>1.10</t>
  </si>
  <si>
    <t>Mise en œuvre: mitige un inconvénient soulevé lors de l'analyse ou donne un élement concret de mise en œuvre de la recommandation</t>
  </si>
  <si>
    <t>Nécessaire pour CD</t>
  </si>
  <si>
    <t>Résultat compétence 1</t>
  </si>
  <si>
    <t>NT</t>
  </si>
  <si>
    <t>Ne traite pas de cette compétence. </t>
  </si>
  <si>
    <t>CM</t>
  </si>
  <si>
    <t>Ne Satisfait pas à la norme En voie vers la compétence.</t>
  </si>
  <si>
    <t>EVC</t>
  </si>
  <si>
    <t>3 oui ou 5 partiel</t>
  </si>
  <si>
    <t>C</t>
  </si>
  <si>
    <t>5 oui dont 1.3 et 1.5. Un  oui à 1.6 à 1.8 ET 1.9</t>
  </si>
  <si>
    <t>CD</t>
  </si>
  <si>
    <t>6 oui dont 1.3 et 1.5. Un  oui à 1.6 à 1.8 ET 1.10</t>
  </si>
  <si>
    <t>oui</t>
  </si>
  <si>
    <t xml:space="preserve">non </t>
  </si>
  <si>
    <t>partiel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</si>
</sst>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 #,##0.00_)\ &quot;$&quot;_ ;_ * \(#,##0.00\)\ &quot;$&quot;_ ;_ * &quot;-&quot;??_)\ &quot;$&quot;_ ;_ @_ "/>
    <numFmt numFmtId="43" formatCode="_ * #,##0.00_)_ ;_ * \(#,##0.00\)_ ;_ * &quot;-&quot;??_)_ ;_ @_ "/>
    <numFmt numFmtId="164" formatCode="_ * #,##0_)\ &quot;$&quot;_ ;_ * \(#,##0\)\ &quot;$&quot;_ ;_ * &quot;-&quot;??_)\ &quot;$&quot;_ ;_ @_ "/>
    <numFmt numFmtId="165" formatCode="_ * #,##0_)_ ;_ * \(#,##0\)_ ;_ * &quot;-&quot;??_)_ ;_ @_ "/>
  </numFmts>
  <fonts count="18" x14ac:knownFonts="1">
    <font>
      <sz val="11"/>
      <color theme="1"/>
      <name val="Calibri"/>
      <family val="2"/>
      <scheme val="minor"/>
    </font>
    <font>
      <b/>
      <sz val="11"/>
      <color theme="1"/>
      <name val="Calibri"/>
      <family val="2"/>
      <scheme val="minor"/>
    </font>
    <font>
      <i/>
      <sz val="11"/>
      <color theme="1"/>
      <name val="Calibri"/>
      <family val="2"/>
      <scheme val="minor"/>
    </font>
    <font>
      <sz val="11"/>
      <color rgb="FFFF0000"/>
      <name val="Calibri"/>
      <family val="2"/>
      <scheme val="minor"/>
    </font>
    <font>
      <sz val="11"/>
      <color theme="1"/>
      <name val="Calibri"/>
      <family val="2"/>
      <scheme val="minor"/>
    </font>
    <font>
      <b/>
      <sz val="14"/>
      <color rgb="FFFFFFFF"/>
      <name val="Arial"/>
      <family val="2"/>
    </font>
    <font>
      <b/>
      <sz val="14"/>
      <name val="Arial"/>
      <family val="2"/>
    </font>
    <font>
      <sz val="14"/>
      <color theme="1"/>
      <name val="Calibri"/>
      <family val="2"/>
      <scheme val="minor"/>
    </font>
    <font>
      <sz val="14"/>
      <name val="Calibri"/>
      <family val="2"/>
      <scheme val="minor"/>
    </font>
    <font>
      <b/>
      <sz val="9"/>
      <color rgb="FFFFFFFF"/>
      <name val="Arial"/>
      <family val="2"/>
    </font>
    <font>
      <b/>
      <sz val="12"/>
      <color rgb="FFFFFFFF"/>
      <name val="Arial"/>
      <family val="2"/>
    </font>
    <font>
      <b/>
      <sz val="11"/>
      <color theme="1"/>
      <name val="Arial"/>
      <family val="2"/>
    </font>
    <font>
      <b/>
      <sz val="11"/>
      <name val="Arial"/>
      <family val="2"/>
    </font>
    <font>
      <sz val="11"/>
      <name val="Calibri"/>
      <family val="2"/>
      <scheme val="minor"/>
    </font>
    <font>
      <sz val="11"/>
      <name val="Arial"/>
      <family val="2"/>
    </font>
    <font>
      <b/>
      <sz val="9"/>
      <name val="Arial"/>
      <family val="2"/>
    </font>
    <font>
      <sz val="8"/>
      <name val="Calibri"/>
      <family val="2"/>
      <scheme val="minor"/>
    </font>
    <font>
      <b/>
      <sz val="9"/>
      <color rgb="FF0070C0"/>
      <name val="Calibri"/>
      <family val="2"/>
      <scheme val="minor"/>
    </font>
  </fonts>
  <fills count="4">
    <fill>
      <patternFill patternType="none"/>
    </fill>
    <fill>
      <patternFill patternType="gray125"/>
    </fill>
    <fill>
      <patternFill patternType="solid">
        <fgColor rgb="FF43B02A"/>
        <bgColor indexed="64"/>
      </patternFill>
    </fill>
    <fill>
      <patternFill patternType="solid">
        <fgColor theme="0" tint="-4.9989318521683403E-2"/>
        <bgColor indexed="64"/>
      </patternFill>
    </fill>
  </fills>
  <borders count="21">
    <border>
      <left/>
      <right/>
      <top/>
      <bottom/>
      <diagonal/>
    </border>
    <border>
      <left/>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style="thin">
        <color indexed="64"/>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style="medium">
        <color indexed="64"/>
      </left>
      <right/>
      <top style="thin">
        <color indexed="64"/>
      </top>
      <bottom style="medium">
        <color indexed="64"/>
      </bottom>
      <diagonal/>
    </border>
  </borders>
  <cellStyleXfs count="3">
    <xf numFmtId="0" fontId="0" fillId="0" borderId="0"/>
    <xf numFmtId="43" fontId="4" fillId="0" borderId="0" applyFont="0" applyFill="0" applyBorder="0" applyAlignment="0" applyProtection="0"/>
    <xf numFmtId="44" fontId="4" fillId="0" borderId="0" applyFont="0" applyFill="0" applyBorder="0" applyAlignment="0" applyProtection="0"/>
  </cellStyleXfs>
  <cellXfs count="69">
    <xf numFmtId="0" fontId="0" fillId="0" borderId="0" xfId="0"/>
    <xf numFmtId="0" fontId="0" fillId="0" borderId="0" xfId="0" applyAlignment="1">
      <alignment horizontal="center"/>
    </xf>
    <xf numFmtId="3" fontId="0" fillId="0" borderId="0" xfId="0" applyNumberFormat="1" applyAlignment="1">
      <alignment horizontal="center"/>
    </xf>
    <xf numFmtId="3" fontId="0" fillId="0" borderId="1" xfId="0" applyNumberFormat="1" applyBorder="1" applyAlignment="1">
      <alignment horizontal="center"/>
    </xf>
    <xf numFmtId="3" fontId="0" fillId="0" borderId="2" xfId="0" applyNumberFormat="1" applyBorder="1" applyAlignment="1">
      <alignment horizontal="center"/>
    </xf>
    <xf numFmtId="0" fontId="1" fillId="0" borderId="0" xfId="0" applyFont="1" applyAlignment="1">
      <alignment horizontal="center" wrapText="1"/>
    </xf>
    <xf numFmtId="0" fontId="1" fillId="0" borderId="0" xfId="0" applyFont="1" applyAlignment="1">
      <alignment horizontal="center"/>
    </xf>
    <xf numFmtId="0" fontId="1" fillId="0" borderId="0" xfId="0" applyFont="1"/>
    <xf numFmtId="0" fontId="0" fillId="0" borderId="1" xfId="0" applyBorder="1"/>
    <xf numFmtId="0" fontId="2" fillId="0" borderId="0" xfId="0" applyFont="1"/>
    <xf numFmtId="10" fontId="0" fillId="0" borderId="0" xfId="0" applyNumberFormat="1" applyAlignment="1">
      <alignment horizontal="center"/>
    </xf>
    <xf numFmtId="0" fontId="0" fillId="0" borderId="0" xfId="0" applyAlignment="1">
      <alignment horizontal="left" wrapText="1"/>
    </xf>
    <xf numFmtId="0" fontId="3" fillId="0" borderId="0" xfId="0" applyFont="1"/>
    <xf numFmtId="0" fontId="0" fillId="0" borderId="0" xfId="0" applyAlignment="1">
      <alignment horizontal="centerContinuous"/>
    </xf>
    <xf numFmtId="0" fontId="1" fillId="0" borderId="0" xfId="0" applyFont="1" applyAlignment="1">
      <alignment horizontal="centerContinuous"/>
    </xf>
    <xf numFmtId="0" fontId="8" fillId="3" borderId="3" xfId="0" applyFont="1" applyFill="1" applyBorder="1" applyAlignment="1">
      <alignment horizontal="left" wrapText="1"/>
    </xf>
    <xf numFmtId="0" fontId="7" fillId="0" borderId="3" xfId="0" applyFont="1" applyBorder="1" applyAlignment="1">
      <alignment horizontal="left" wrapText="1"/>
    </xf>
    <xf numFmtId="0" fontId="10" fillId="2" borderId="4" xfId="0" applyFont="1" applyFill="1" applyBorder="1" applyAlignment="1">
      <alignment horizontal="center" vertical="center" wrapText="1"/>
    </xf>
    <xf numFmtId="0" fontId="0" fillId="0" borderId="4" xfId="0" applyBorder="1" applyAlignment="1">
      <alignment wrapText="1"/>
    </xf>
    <xf numFmtId="0" fontId="13" fillId="0" borderId="4" xfId="0" applyFont="1" applyBorder="1" applyAlignment="1">
      <alignment wrapText="1"/>
    </xf>
    <xf numFmtId="2" fontId="0" fillId="0" borderId="4" xfId="0" applyNumberFormat="1" applyBorder="1" applyAlignment="1">
      <alignment wrapText="1"/>
    </xf>
    <xf numFmtId="0" fontId="12" fillId="0" borderId="4" xfId="0" applyFont="1" applyBorder="1" applyAlignment="1">
      <alignment horizontal="left" vertical="center" wrapText="1" indent="1"/>
    </xf>
    <xf numFmtId="0" fontId="14" fillId="0" borderId="4" xfId="0" applyFont="1" applyBorder="1" applyAlignment="1">
      <alignment horizontal="left" vertical="center" wrapText="1" indent="1"/>
    </xf>
    <xf numFmtId="2" fontId="0" fillId="3" borderId="4" xfId="0" applyNumberFormat="1" applyFill="1" applyBorder="1" applyAlignment="1">
      <alignment wrapText="1"/>
    </xf>
    <xf numFmtId="0" fontId="15" fillId="0" borderId="5" xfId="0" applyFont="1" applyBorder="1" applyAlignment="1">
      <alignment vertical="center" wrapText="1"/>
    </xf>
    <xf numFmtId="164" fontId="0" fillId="0" borderId="1" xfId="2" applyNumberFormat="1" applyFont="1" applyBorder="1"/>
    <xf numFmtId="164" fontId="1" fillId="0" borderId="0" xfId="2" applyNumberFormat="1" applyFont="1"/>
    <xf numFmtId="165" fontId="0" fillId="0" borderId="1" xfId="1" applyNumberFormat="1" applyFont="1" applyBorder="1"/>
    <xf numFmtId="44" fontId="1" fillId="0" borderId="0" xfId="2" applyFont="1"/>
    <xf numFmtId="0" fontId="5" fillId="2" borderId="11" xfId="0" applyFont="1" applyFill="1" applyBorder="1" applyAlignment="1">
      <alignment vertical="center"/>
    </xf>
    <xf numFmtId="0" fontId="6" fillId="2" borderId="8" xfId="0" applyFont="1" applyFill="1" applyBorder="1" applyAlignment="1">
      <alignment vertical="center" wrapText="1"/>
    </xf>
    <xf numFmtId="0" fontId="5" fillId="2" borderId="8" xfId="0" applyFont="1" applyFill="1" applyBorder="1" applyAlignment="1">
      <alignment vertical="center" wrapText="1"/>
    </xf>
    <xf numFmtId="0" fontId="5" fillId="2" borderId="9" xfId="0" applyFont="1" applyFill="1" applyBorder="1" applyAlignment="1">
      <alignment vertical="center" wrapText="1"/>
    </xf>
    <xf numFmtId="0" fontId="7" fillId="0" borderId="12" xfId="0" applyFont="1" applyBorder="1" applyAlignment="1">
      <alignment wrapText="1"/>
    </xf>
    <xf numFmtId="0" fontId="9" fillId="2" borderId="5" xfId="0" applyFont="1" applyFill="1" applyBorder="1" applyAlignment="1">
      <alignment vertical="center" wrapText="1"/>
    </xf>
    <xf numFmtId="0" fontId="10" fillId="2" borderId="6" xfId="0" applyFont="1" applyFill="1" applyBorder="1" applyAlignment="1">
      <alignment horizontal="center" vertical="center" wrapText="1"/>
    </xf>
    <xf numFmtId="0" fontId="12" fillId="0" borderId="6" xfId="0" applyFont="1" applyBorder="1" applyAlignment="1">
      <alignment horizontal="left" vertical="center" wrapText="1"/>
    </xf>
    <xf numFmtId="0" fontId="12" fillId="0" borderId="5" xfId="0" applyFont="1" applyBorder="1" applyAlignment="1">
      <alignment vertical="center"/>
    </xf>
    <xf numFmtId="0" fontId="14" fillId="0" borderId="6" xfId="0" applyFont="1" applyBorder="1" applyAlignment="1">
      <alignment horizontal="left" vertical="center" wrapText="1"/>
    </xf>
    <xf numFmtId="0" fontId="14" fillId="0" borderId="5" xfId="0" applyFont="1" applyBorder="1" applyAlignment="1">
      <alignment vertical="center" wrapText="1"/>
    </xf>
    <xf numFmtId="0" fontId="14" fillId="0" borderId="6" xfId="0" applyFont="1" applyBorder="1" applyAlignment="1">
      <alignment vertical="center" wrapText="1"/>
    </xf>
    <xf numFmtId="0" fontId="12" fillId="0" borderId="15" xfId="0" applyFont="1" applyBorder="1" applyAlignment="1">
      <alignment vertical="center"/>
    </xf>
    <xf numFmtId="0" fontId="14" fillId="0" borderId="16" xfId="0" applyFont="1" applyBorder="1" applyAlignment="1">
      <alignment horizontal="left" vertical="center" wrapText="1" indent="1"/>
    </xf>
    <xf numFmtId="0" fontId="15" fillId="0" borderId="12" xfId="0" applyFont="1" applyBorder="1" applyAlignment="1">
      <alignment vertical="center" wrapText="1"/>
    </xf>
    <xf numFmtId="0" fontId="12" fillId="0" borderId="19" xfId="0" applyFont="1" applyBorder="1" applyAlignment="1">
      <alignment vertical="center"/>
    </xf>
    <xf numFmtId="0" fontId="14" fillId="0" borderId="13" xfId="0" applyFont="1" applyBorder="1" applyAlignment="1">
      <alignment horizontal="left" vertical="center" wrapText="1" indent="1"/>
    </xf>
    <xf numFmtId="2" fontId="0" fillId="0" borderId="13" xfId="0" applyNumberFormat="1" applyBorder="1" applyAlignment="1">
      <alignment wrapText="1"/>
    </xf>
    <xf numFmtId="0" fontId="14" fillId="0" borderId="14" xfId="0" applyFont="1" applyBorder="1" applyAlignment="1">
      <alignment horizontal="left" vertical="center" wrapText="1"/>
    </xf>
    <xf numFmtId="0" fontId="17" fillId="0" borderId="3" xfId="0" applyFont="1" applyBorder="1" applyAlignment="1">
      <alignment horizontal="left" wrapText="1"/>
    </xf>
    <xf numFmtId="0" fontId="14" fillId="0" borderId="9" xfId="0" applyFont="1" applyBorder="1" applyAlignment="1">
      <alignment horizontal="left" vertical="center" wrapText="1"/>
    </xf>
    <xf numFmtId="0" fontId="8" fillId="3" borderId="10" xfId="0" applyFont="1" applyFill="1" applyBorder="1" applyAlignment="1">
      <alignment horizontal="left" wrapText="1"/>
    </xf>
    <xf numFmtId="0" fontId="5" fillId="2" borderId="4" xfId="0" applyFont="1" applyFill="1" applyBorder="1" applyAlignment="1">
      <alignment horizontal="center" vertical="center" wrapText="1"/>
    </xf>
    <xf numFmtId="44" fontId="0" fillId="0" borderId="0" xfId="2" applyFont="1" applyAlignment="1">
      <alignment horizontal="center"/>
    </xf>
    <xf numFmtId="44" fontId="0" fillId="0" borderId="1" xfId="2" applyFont="1" applyBorder="1" applyAlignment="1">
      <alignment horizontal="center"/>
    </xf>
    <xf numFmtId="44" fontId="1" fillId="0" borderId="0" xfId="2" applyFont="1" applyBorder="1" applyAlignment="1">
      <alignment horizontal="center"/>
    </xf>
    <xf numFmtId="0" fontId="15" fillId="0" borderId="20" xfId="0" applyFont="1" applyBorder="1" applyAlignment="1">
      <alignment vertical="center" wrapText="1"/>
    </xf>
    <xf numFmtId="0" fontId="0" fillId="0" borderId="0" xfId="0" applyAlignment="1">
      <alignment horizontal="left" wrapText="1"/>
    </xf>
    <xf numFmtId="0" fontId="0" fillId="0" borderId="0" xfId="0" applyAlignment="1">
      <alignment vertical="top" wrapText="1"/>
    </xf>
    <xf numFmtId="0" fontId="15" fillId="0" borderId="19" xfId="0" applyFont="1" applyBorder="1" applyAlignment="1">
      <alignment horizontal="left" vertical="center" wrapText="1"/>
    </xf>
    <xf numFmtId="0" fontId="15" fillId="0" borderId="13" xfId="0" applyFont="1" applyBorder="1" applyAlignment="1">
      <alignment horizontal="left" vertical="center" wrapText="1"/>
    </xf>
    <xf numFmtId="0" fontId="15" fillId="0" borderId="14" xfId="0" applyFont="1" applyBorder="1" applyAlignment="1">
      <alignment horizontal="left" vertical="center" wrapText="1"/>
    </xf>
    <xf numFmtId="0" fontId="11" fillId="0" borderId="5" xfId="0" applyFont="1" applyBorder="1" applyAlignment="1">
      <alignment horizontal="center" wrapText="1"/>
    </xf>
    <xf numFmtId="0" fontId="11" fillId="0" borderId="4" xfId="0" applyFont="1" applyBorder="1" applyAlignment="1">
      <alignment horizontal="center" wrapText="1"/>
    </xf>
    <xf numFmtId="0" fontId="15" fillId="0" borderId="17" xfId="0" applyFont="1" applyBorder="1" applyAlignment="1">
      <alignment horizontal="left" vertical="center" wrapText="1"/>
    </xf>
    <xf numFmtId="0" fontId="15" fillId="0" borderId="0" xfId="0" applyFont="1" applyAlignment="1">
      <alignment horizontal="left" vertical="center" wrapText="1"/>
    </xf>
    <xf numFmtId="0" fontId="15" fillId="0" borderId="18" xfId="0" applyFont="1" applyBorder="1" applyAlignment="1">
      <alignment horizontal="left" vertical="center" wrapText="1"/>
    </xf>
    <xf numFmtId="0" fontId="15" fillId="0" borderId="7" xfId="0" applyFont="1" applyBorder="1" applyAlignment="1">
      <alignment horizontal="left" vertical="center" wrapText="1"/>
    </xf>
    <xf numFmtId="0" fontId="15" fillId="0" borderId="8" xfId="0" applyFont="1" applyBorder="1" applyAlignment="1">
      <alignment horizontal="left" vertical="center" wrapText="1"/>
    </xf>
    <xf numFmtId="0" fontId="15" fillId="0" borderId="9" xfId="0" applyFont="1" applyBorder="1" applyAlignment="1">
      <alignment horizontal="left" vertical="center" wrapText="1"/>
    </xf>
  </cellXfs>
  <cellStyles count="3">
    <cellStyle name="Comma" xfId="1" builtinId="3"/>
    <cellStyle name="Currency" xfId="2" builtinId="4"/>
    <cellStyle name="Normal" xfId="0" builtinId="0"/>
  </cellStyles>
  <dxfs count="6">
    <dxf>
      <fill>
        <patternFill>
          <bgColor rgb="FFFFC000"/>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B6FDC-A071-44C5-B6D9-ABB92C198F37}">
  <dimension ref="A1:N30"/>
  <sheetViews>
    <sheetView workbookViewId="0">
      <selection activeCell="L27" sqref="L27"/>
    </sheetView>
  </sheetViews>
  <sheetFormatPr defaultColWidth="11.44140625" defaultRowHeight="14.4" x14ac:dyDescent="0.3"/>
  <cols>
    <col min="1" max="1" width="29.109375" customWidth="1"/>
    <col min="3" max="3" width="3.88671875" customWidth="1"/>
    <col min="4" max="4" width="12.5546875" customWidth="1"/>
    <col min="5" max="5" width="3" customWidth="1"/>
    <col min="7" max="7" width="2.88671875" customWidth="1"/>
    <col min="9" max="9" width="3.109375" customWidth="1"/>
    <col min="11" max="11" width="22.88671875" customWidth="1"/>
    <col min="13" max="13" width="2.109375" customWidth="1"/>
    <col min="14" max="14" width="4.44140625" customWidth="1"/>
    <col min="15" max="15" width="23.88671875" customWidth="1"/>
  </cols>
  <sheetData>
    <row r="1" spans="1:14" x14ac:dyDescent="0.3">
      <c r="A1" s="14" t="s">
        <v>0</v>
      </c>
      <c r="B1" s="14"/>
      <c r="C1" s="14"/>
      <c r="D1" s="14"/>
      <c r="E1" s="14"/>
      <c r="F1" s="14"/>
      <c r="G1" s="14"/>
      <c r="H1" s="14"/>
      <c r="I1" s="13"/>
    </row>
    <row r="2" spans="1:14" ht="28.8" x14ac:dyDescent="0.3">
      <c r="B2" s="5" t="s">
        <v>1</v>
      </c>
      <c r="C2" s="6"/>
      <c r="D2" s="5" t="s">
        <v>2</v>
      </c>
      <c r="E2" s="6"/>
      <c r="F2" s="5" t="s">
        <v>3</v>
      </c>
      <c r="G2" s="6"/>
      <c r="H2" s="6" t="s">
        <v>4</v>
      </c>
    </row>
    <row r="3" spans="1:14" x14ac:dyDescent="0.3">
      <c r="B3" s="1"/>
      <c r="C3" s="1"/>
      <c r="D3" s="1"/>
      <c r="E3" s="1"/>
      <c r="F3" s="1"/>
      <c r="G3" s="1"/>
      <c r="H3" s="1"/>
      <c r="K3" s="14" t="s">
        <v>5</v>
      </c>
      <c r="L3" s="14"/>
      <c r="M3" s="14"/>
      <c r="N3" s="14"/>
    </row>
    <row r="4" spans="1:14" x14ac:dyDescent="0.3">
      <c r="A4" s="7" t="s">
        <v>6</v>
      </c>
      <c r="B4" s="2">
        <v>488439</v>
      </c>
      <c r="C4" s="1" t="s">
        <v>7</v>
      </c>
      <c r="D4" s="2">
        <v>663250</v>
      </c>
      <c r="E4" s="1" t="s">
        <v>7</v>
      </c>
      <c r="F4" s="2">
        <v>1057561</v>
      </c>
      <c r="G4" s="1" t="s">
        <v>7</v>
      </c>
      <c r="H4" s="2">
        <v>2209250</v>
      </c>
      <c r="I4" t="s">
        <v>7</v>
      </c>
      <c r="K4" s="7" t="s">
        <v>8</v>
      </c>
    </row>
    <row r="5" spans="1:14" x14ac:dyDescent="0.3">
      <c r="B5" s="2"/>
      <c r="C5" s="1"/>
      <c r="D5" s="2"/>
      <c r="E5" s="1"/>
      <c r="F5" s="2"/>
      <c r="G5" s="1"/>
      <c r="H5" s="2"/>
    </row>
    <row r="6" spans="1:14" x14ac:dyDescent="0.3">
      <c r="A6" s="7" t="s">
        <v>9</v>
      </c>
      <c r="B6" s="1"/>
      <c r="C6" s="1"/>
      <c r="D6" s="1"/>
      <c r="E6" s="1"/>
      <c r="F6" s="1"/>
      <c r="G6" s="1"/>
      <c r="H6" s="1"/>
    </row>
    <row r="7" spans="1:14" x14ac:dyDescent="0.3">
      <c r="A7" s="7" t="s">
        <v>10</v>
      </c>
      <c r="B7" s="2">
        <v>15406</v>
      </c>
      <c r="C7" s="1"/>
      <c r="D7" s="2">
        <v>31931</v>
      </c>
      <c r="E7" s="1"/>
      <c r="F7" s="2">
        <v>23075</v>
      </c>
      <c r="G7" s="1"/>
      <c r="H7" s="2">
        <v>70412</v>
      </c>
      <c r="K7" t="s">
        <v>10</v>
      </c>
      <c r="L7">
        <v>0.79</v>
      </c>
    </row>
    <row r="8" spans="1:14" x14ac:dyDescent="0.3">
      <c r="A8" t="s">
        <v>11</v>
      </c>
      <c r="B8" s="2">
        <v>8803</v>
      </c>
      <c r="C8" s="1"/>
      <c r="D8" s="2">
        <v>18422</v>
      </c>
      <c r="E8" s="1"/>
      <c r="F8" s="2">
        <v>10321</v>
      </c>
      <c r="G8" s="1"/>
      <c r="H8" s="2">
        <v>37546</v>
      </c>
      <c r="K8" t="s">
        <v>11</v>
      </c>
      <c r="L8">
        <v>0.45</v>
      </c>
    </row>
    <row r="9" spans="1:14" x14ac:dyDescent="0.3">
      <c r="A9" s="7" t="s">
        <v>12</v>
      </c>
      <c r="B9" s="2">
        <v>3081</v>
      </c>
      <c r="C9" s="1"/>
      <c r="D9" s="2">
        <v>2415</v>
      </c>
      <c r="E9" s="1"/>
      <c r="F9" s="2">
        <v>8394</v>
      </c>
      <c r="G9" s="1"/>
      <c r="H9" s="2">
        <v>13890</v>
      </c>
      <c r="K9" t="s">
        <v>12</v>
      </c>
      <c r="L9">
        <v>0.16</v>
      </c>
    </row>
    <row r="10" spans="1:14" x14ac:dyDescent="0.3">
      <c r="A10" s="7" t="s">
        <v>13</v>
      </c>
      <c r="B10" s="2">
        <v>18487</v>
      </c>
      <c r="C10" s="1"/>
      <c r="D10" s="2">
        <v>34387</v>
      </c>
      <c r="E10" s="1"/>
      <c r="F10" s="2">
        <v>22875</v>
      </c>
      <c r="G10" s="1"/>
      <c r="H10" s="2">
        <v>75749</v>
      </c>
      <c r="K10" t="s">
        <v>13</v>
      </c>
      <c r="L10">
        <v>0.95</v>
      </c>
    </row>
    <row r="11" spans="1:14" x14ac:dyDescent="0.3">
      <c r="A11" t="s">
        <v>14</v>
      </c>
      <c r="B11" s="2">
        <v>1320</v>
      </c>
      <c r="C11" s="1"/>
      <c r="D11" s="2">
        <v>7369</v>
      </c>
      <c r="E11" s="1"/>
      <c r="F11" s="2">
        <v>4396</v>
      </c>
      <c r="G11" s="1"/>
      <c r="H11" s="2">
        <v>13085</v>
      </c>
      <c r="K11" t="s">
        <v>14</v>
      </c>
      <c r="L11">
        <v>7.0000000000000007E-2</v>
      </c>
    </row>
    <row r="12" spans="1:14" x14ac:dyDescent="0.3">
      <c r="A12" t="s">
        <v>15</v>
      </c>
      <c r="B12" s="2">
        <v>18047</v>
      </c>
      <c r="C12" s="1"/>
      <c r="D12" s="2">
        <v>38685</v>
      </c>
      <c r="E12" s="1"/>
      <c r="F12" s="2">
        <v>25942</v>
      </c>
      <c r="G12" s="1"/>
      <c r="H12" s="2">
        <v>82674</v>
      </c>
      <c r="K12" t="s">
        <v>15</v>
      </c>
      <c r="L12">
        <v>0.92</v>
      </c>
    </row>
    <row r="13" spans="1:14" x14ac:dyDescent="0.3">
      <c r="A13" t="s">
        <v>16</v>
      </c>
      <c r="B13" s="2">
        <v>28611</v>
      </c>
      <c r="C13" s="1"/>
      <c r="D13" s="2">
        <v>45440</v>
      </c>
      <c r="E13" s="1"/>
      <c r="F13" s="2">
        <v>21756</v>
      </c>
      <c r="G13" s="1"/>
      <c r="H13" s="2">
        <v>95807</v>
      </c>
      <c r="K13" t="s">
        <v>16</v>
      </c>
      <c r="L13">
        <v>1.46</v>
      </c>
    </row>
    <row r="14" spans="1:14" x14ac:dyDescent="0.3">
      <c r="A14" s="7" t="s">
        <v>17</v>
      </c>
      <c r="B14" s="2">
        <v>211279</v>
      </c>
      <c r="C14" s="1"/>
      <c r="D14" s="2">
        <v>313168</v>
      </c>
      <c r="E14" s="1"/>
      <c r="F14" s="2">
        <v>567675</v>
      </c>
      <c r="G14" s="1"/>
      <c r="H14" s="2">
        <v>1092122</v>
      </c>
      <c r="K14" t="s">
        <v>17</v>
      </c>
      <c r="L14">
        <v>10.81</v>
      </c>
    </row>
    <row r="15" spans="1:14" x14ac:dyDescent="0.3">
      <c r="A15" s="7" t="s">
        <v>18</v>
      </c>
      <c r="B15" s="2">
        <v>110041</v>
      </c>
      <c r="C15" s="1"/>
      <c r="D15" s="2">
        <v>86211</v>
      </c>
      <c r="E15" s="1"/>
      <c r="F15" s="2">
        <v>299818</v>
      </c>
      <c r="G15" s="1"/>
      <c r="H15" s="2">
        <v>496070</v>
      </c>
      <c r="K15" t="s">
        <v>18</v>
      </c>
      <c r="L15">
        <v>5.63</v>
      </c>
    </row>
    <row r="16" spans="1:14" x14ac:dyDescent="0.3">
      <c r="A16" s="7" t="s">
        <v>19</v>
      </c>
      <c r="B16" s="3">
        <v>17607</v>
      </c>
      <c r="C16" s="1"/>
      <c r="D16" s="3">
        <v>18422</v>
      </c>
      <c r="E16" s="1"/>
      <c r="F16" s="3">
        <v>16211</v>
      </c>
      <c r="G16" s="1"/>
      <c r="H16" s="3">
        <v>52240</v>
      </c>
      <c r="K16" t="s">
        <v>19</v>
      </c>
      <c r="L16" s="8">
        <v>0.9</v>
      </c>
    </row>
    <row r="17" spans="1:13" x14ac:dyDescent="0.3">
      <c r="A17" t="s">
        <v>20</v>
      </c>
      <c r="B17" s="2">
        <v>432682</v>
      </c>
      <c r="C17" s="1"/>
      <c r="D17" s="2">
        <v>596450</v>
      </c>
      <c r="E17" s="1"/>
      <c r="F17" s="2">
        <v>1000463</v>
      </c>
      <c r="G17" s="1"/>
      <c r="H17" s="2">
        <v>2029595</v>
      </c>
      <c r="L17">
        <v>22.14</v>
      </c>
      <c r="M17" t="s">
        <v>7</v>
      </c>
    </row>
    <row r="18" spans="1:13" ht="9" customHeight="1" x14ac:dyDescent="0.3">
      <c r="B18" s="2"/>
      <c r="C18" s="1"/>
      <c r="D18" s="2"/>
      <c r="E18" s="1"/>
      <c r="F18" s="2"/>
      <c r="G18" s="1"/>
      <c r="H18" s="2"/>
    </row>
    <row r="19" spans="1:13" ht="15" thickBot="1" x14ac:dyDescent="0.35">
      <c r="A19" s="7" t="s">
        <v>21</v>
      </c>
      <c r="B19" s="4">
        <v>55757</v>
      </c>
      <c r="C19" s="1" t="s">
        <v>7</v>
      </c>
      <c r="D19" s="4">
        <v>66800</v>
      </c>
      <c r="E19" s="1" t="s">
        <v>7</v>
      </c>
      <c r="F19" s="4">
        <v>57098</v>
      </c>
      <c r="G19" s="1" t="s">
        <v>7</v>
      </c>
      <c r="H19" s="4">
        <v>179655</v>
      </c>
      <c r="I19" t="s">
        <v>7</v>
      </c>
    </row>
    <row r="20" spans="1:13" ht="15" thickTop="1" x14ac:dyDescent="0.3"/>
    <row r="21" spans="1:13" x14ac:dyDescent="0.3">
      <c r="A21" s="7" t="s">
        <v>22</v>
      </c>
    </row>
    <row r="22" spans="1:13" x14ac:dyDescent="0.3">
      <c r="A22" s="9" t="s">
        <v>23</v>
      </c>
      <c r="B22" t="s">
        <v>24</v>
      </c>
    </row>
    <row r="23" spans="1:13" x14ac:dyDescent="0.3">
      <c r="A23" s="9" t="s">
        <v>25</v>
      </c>
      <c r="B23" t="s">
        <v>26</v>
      </c>
    </row>
    <row r="24" spans="1:13" x14ac:dyDescent="0.3">
      <c r="A24" s="9" t="s">
        <v>27</v>
      </c>
      <c r="B24" t="s">
        <v>28</v>
      </c>
    </row>
    <row r="25" spans="1:13" x14ac:dyDescent="0.3">
      <c r="A25" s="9" t="s">
        <v>29</v>
      </c>
      <c r="B25" t="s">
        <v>30</v>
      </c>
    </row>
    <row r="26" spans="1:13" x14ac:dyDescent="0.3">
      <c r="A26" s="9" t="s">
        <v>31</v>
      </c>
      <c r="B26" t="s">
        <v>32</v>
      </c>
    </row>
    <row r="27" spans="1:13" x14ac:dyDescent="0.3">
      <c r="A27" s="9" t="s">
        <v>33</v>
      </c>
      <c r="B27" t="s">
        <v>34</v>
      </c>
    </row>
    <row r="28" spans="1:13" x14ac:dyDescent="0.3">
      <c r="A28" s="9" t="s">
        <v>35</v>
      </c>
      <c r="B28" t="s">
        <v>36</v>
      </c>
    </row>
    <row r="29" spans="1:13" x14ac:dyDescent="0.3">
      <c r="A29" s="9" t="s">
        <v>37</v>
      </c>
      <c r="B29" t="s">
        <v>38</v>
      </c>
    </row>
    <row r="30" spans="1:13" x14ac:dyDescent="0.3">
      <c r="A30" s="9" t="s">
        <v>39</v>
      </c>
      <c r="B30" t="s">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5FF9D-0CFF-41E5-B500-F6A91F052F5B}">
  <dimension ref="A1:H46"/>
  <sheetViews>
    <sheetView topLeftCell="A39" workbookViewId="0">
      <selection activeCell="D13" sqref="D13"/>
    </sheetView>
  </sheetViews>
  <sheetFormatPr defaultColWidth="11.44140625" defaultRowHeight="14.4" x14ac:dyDescent="0.3"/>
  <cols>
    <col min="1" max="1" width="26" customWidth="1"/>
    <col min="4" max="4" width="11.6640625" bestFit="1" customWidth="1"/>
  </cols>
  <sheetData>
    <row r="1" spans="1:4" x14ac:dyDescent="0.3">
      <c r="A1" s="7" t="s">
        <v>41</v>
      </c>
    </row>
    <row r="3" spans="1:4" ht="28.8" x14ac:dyDescent="0.3">
      <c r="A3" s="7"/>
      <c r="B3" s="5" t="s">
        <v>42</v>
      </c>
      <c r="C3" s="5" t="s">
        <v>43</v>
      </c>
      <c r="D3" s="5" t="s">
        <v>44</v>
      </c>
    </row>
    <row r="4" spans="1:4" x14ac:dyDescent="0.3">
      <c r="B4" s="1"/>
      <c r="C4" s="1"/>
      <c r="D4" s="1"/>
    </row>
    <row r="5" spans="1:4" x14ac:dyDescent="0.3">
      <c r="A5" t="s">
        <v>45</v>
      </c>
      <c r="B5" s="1"/>
      <c r="C5" s="1"/>
      <c r="D5" s="52">
        <v>23</v>
      </c>
    </row>
    <row r="6" spans="1:4" x14ac:dyDescent="0.3">
      <c r="A6" t="s">
        <v>10</v>
      </c>
      <c r="B6" s="10">
        <v>1</v>
      </c>
      <c r="C6" s="1">
        <f>+Données!L7</f>
        <v>0.79</v>
      </c>
      <c r="D6" s="52">
        <f>+B6*C6</f>
        <v>0.79</v>
      </c>
    </row>
    <row r="7" spans="1:4" x14ac:dyDescent="0.3">
      <c r="A7" t="s">
        <v>12</v>
      </c>
      <c r="B7" s="10">
        <v>0.77</v>
      </c>
      <c r="C7" s="1">
        <f>+Données!L9</f>
        <v>0.16</v>
      </c>
      <c r="D7" s="52">
        <f>+B7*C7</f>
        <v>0.1232</v>
      </c>
    </row>
    <row r="8" spans="1:4" x14ac:dyDescent="0.3">
      <c r="A8" t="s">
        <v>13</v>
      </c>
      <c r="B8" s="10">
        <v>0.5</v>
      </c>
      <c r="C8" s="1">
        <f>+Données!L10</f>
        <v>0.95</v>
      </c>
      <c r="D8" s="52">
        <f t="shared" ref="D7:D11" si="0">+B8*C8</f>
        <v>0.47499999999999998</v>
      </c>
    </row>
    <row r="9" spans="1:4" x14ac:dyDescent="0.3">
      <c r="A9" t="s">
        <v>17</v>
      </c>
      <c r="B9" s="10">
        <v>1</v>
      </c>
      <c r="C9" s="1">
        <f>+Données!L14</f>
        <v>10.81</v>
      </c>
      <c r="D9" s="52">
        <f t="shared" si="0"/>
        <v>10.81</v>
      </c>
    </row>
    <row r="10" spans="1:4" x14ac:dyDescent="0.3">
      <c r="A10" t="s">
        <v>18</v>
      </c>
      <c r="B10" s="10">
        <v>0.77</v>
      </c>
      <c r="C10" s="1">
        <f>+Données!L15</f>
        <v>5.63</v>
      </c>
      <c r="D10" s="52">
        <f t="shared" si="0"/>
        <v>4.3350999999999997</v>
      </c>
    </row>
    <row r="11" spans="1:4" x14ac:dyDescent="0.3">
      <c r="A11" t="s">
        <v>19</v>
      </c>
      <c r="B11" s="10">
        <v>1</v>
      </c>
      <c r="C11" s="1">
        <f>+Données!L16</f>
        <v>0.9</v>
      </c>
      <c r="D11" s="53">
        <f t="shared" si="0"/>
        <v>0.9</v>
      </c>
    </row>
    <row r="12" spans="1:4" x14ac:dyDescent="0.3">
      <c r="A12" s="7" t="s">
        <v>46</v>
      </c>
      <c r="B12" s="1"/>
      <c r="C12" s="1"/>
      <c r="D12" s="54">
        <f>SUM(D6:D11)</f>
        <v>17.433299999999999</v>
      </c>
    </row>
    <row r="13" spans="1:4" x14ac:dyDescent="0.3">
      <c r="A13" s="7" t="s">
        <v>47</v>
      </c>
      <c r="B13" s="1"/>
      <c r="C13" s="1"/>
      <c r="D13" s="28">
        <f>D5-D12</f>
        <v>5.5667000000000009</v>
      </c>
    </row>
    <row r="14" spans="1:4" x14ac:dyDescent="0.3">
      <c r="A14" t="s">
        <v>48</v>
      </c>
      <c r="B14" s="1"/>
      <c r="C14" s="1"/>
      <c r="D14" s="27">
        <f>4000</f>
        <v>4000</v>
      </c>
    </row>
    <row r="15" spans="1:4" x14ac:dyDescent="0.3">
      <c r="A15" t="s">
        <v>49</v>
      </c>
      <c r="B15" s="1"/>
      <c r="C15" s="1"/>
      <c r="D15" s="26">
        <f>D14*D13</f>
        <v>22266.800000000003</v>
      </c>
    </row>
    <row r="16" spans="1:4" x14ac:dyDescent="0.3">
      <c r="A16" t="s">
        <v>50</v>
      </c>
      <c r="B16" s="1"/>
      <c r="C16" s="1"/>
      <c r="D16" s="25">
        <f>(25-D12)*D14</f>
        <v>30266.800000000003</v>
      </c>
    </row>
    <row r="17" spans="1:7" x14ac:dyDescent="0.3">
      <c r="A17" s="7" t="s">
        <v>51</v>
      </c>
      <c r="B17" s="6"/>
      <c r="C17" s="6"/>
      <c r="D17" s="26">
        <f>D16-D15</f>
        <v>8000</v>
      </c>
    </row>
    <row r="18" spans="1:7" x14ac:dyDescent="0.3">
      <c r="A18" s="7"/>
      <c r="B18" s="6"/>
      <c r="C18" s="6"/>
      <c r="D18" s="26"/>
    </row>
    <row r="19" spans="1:7" x14ac:dyDescent="0.3">
      <c r="A19" s="7" t="s">
        <v>52</v>
      </c>
      <c r="B19" s="1"/>
      <c r="C19" s="1"/>
    </row>
    <row r="20" spans="1:7" ht="54.9" customHeight="1" x14ac:dyDescent="0.3">
      <c r="A20" s="56" t="s">
        <v>53</v>
      </c>
      <c r="B20" s="56"/>
      <c r="C20" s="56"/>
      <c r="D20" s="56"/>
      <c r="E20" s="56"/>
      <c r="F20" s="56"/>
      <c r="G20" s="56"/>
    </row>
    <row r="21" spans="1:7" hidden="1" x14ac:dyDescent="0.3">
      <c r="A21" s="56"/>
      <c r="B21" s="56"/>
      <c r="C21" s="56"/>
      <c r="D21" s="56"/>
      <c r="E21" s="56"/>
      <c r="F21" s="56"/>
      <c r="G21" s="56"/>
    </row>
    <row r="23" spans="1:7" x14ac:dyDescent="0.3">
      <c r="A23" s="7" t="s">
        <v>54</v>
      </c>
    </row>
    <row r="24" spans="1:7" x14ac:dyDescent="0.3">
      <c r="A24" s="56" t="s">
        <v>55</v>
      </c>
      <c r="B24" s="56"/>
      <c r="C24" s="56"/>
      <c r="D24" s="56"/>
      <c r="E24" s="56"/>
      <c r="F24" s="56"/>
      <c r="G24" s="56"/>
    </row>
    <row r="25" spans="1:7" x14ac:dyDescent="0.3">
      <c r="A25" s="56"/>
      <c r="B25" s="56"/>
      <c r="C25" s="56"/>
      <c r="D25" s="56"/>
      <c r="E25" s="56"/>
      <c r="F25" s="56"/>
      <c r="G25" s="56"/>
    </row>
    <row r="26" spans="1:7" x14ac:dyDescent="0.3">
      <c r="A26" s="56"/>
      <c r="B26" s="56"/>
      <c r="C26" s="56"/>
      <c r="D26" s="56"/>
      <c r="E26" s="56"/>
      <c r="F26" s="56"/>
      <c r="G26" s="56"/>
    </row>
    <row r="30" spans="1:7" x14ac:dyDescent="0.3">
      <c r="A30" s="7" t="s">
        <v>56</v>
      </c>
    </row>
    <row r="31" spans="1:7" x14ac:dyDescent="0.3">
      <c r="A31" s="7" t="s">
        <v>57</v>
      </c>
    </row>
    <row r="32" spans="1:7" x14ac:dyDescent="0.3">
      <c r="A32" t="s">
        <v>58</v>
      </c>
    </row>
    <row r="33" spans="1:8" ht="14.4" customHeight="1" x14ac:dyDescent="0.3">
      <c r="A33" s="57" t="s">
        <v>59</v>
      </c>
      <c r="B33" s="57"/>
      <c r="C33" s="57"/>
      <c r="D33" s="57"/>
      <c r="E33" s="57"/>
      <c r="F33" s="57"/>
      <c r="G33" s="57"/>
      <c r="H33" s="12"/>
    </row>
    <row r="34" spans="1:8" ht="30.9" customHeight="1" x14ac:dyDescent="0.3">
      <c r="A34" s="57"/>
      <c r="B34" s="57"/>
      <c r="C34" s="57"/>
      <c r="D34" s="57"/>
      <c r="E34" s="57"/>
      <c r="F34" s="57"/>
      <c r="G34" s="57"/>
    </row>
    <row r="35" spans="1:8" x14ac:dyDescent="0.3">
      <c r="A35" s="7" t="s">
        <v>60</v>
      </c>
    </row>
    <row r="36" spans="1:8" ht="39.9" customHeight="1" x14ac:dyDescent="0.3">
      <c r="A36" s="56" t="s">
        <v>61</v>
      </c>
      <c r="B36" s="56"/>
      <c r="C36" s="56"/>
      <c r="D36" s="56"/>
      <c r="E36" s="56"/>
      <c r="F36" s="56"/>
      <c r="G36" s="56"/>
    </row>
    <row r="37" spans="1:8" ht="39.9" customHeight="1" x14ac:dyDescent="0.3">
      <c r="A37" s="11"/>
      <c r="B37" s="11"/>
      <c r="C37" s="11"/>
      <c r="D37" s="11"/>
      <c r="E37" s="11"/>
      <c r="F37" s="11"/>
      <c r="G37" s="11"/>
    </row>
    <row r="38" spans="1:8" x14ac:dyDescent="0.3">
      <c r="A38" s="7" t="s">
        <v>62</v>
      </c>
    </row>
    <row r="40" spans="1:8" ht="32.1" customHeight="1" x14ac:dyDescent="0.3">
      <c r="A40" s="56" t="s">
        <v>63</v>
      </c>
      <c r="B40" s="56"/>
      <c r="C40" s="56"/>
      <c r="D40" s="56"/>
      <c r="E40" s="56"/>
      <c r="F40" s="56"/>
      <c r="G40" s="56"/>
      <c r="H40" s="56"/>
    </row>
    <row r="42" spans="1:8" x14ac:dyDescent="0.3">
      <c r="A42" s="7" t="s">
        <v>64</v>
      </c>
    </row>
    <row r="43" spans="1:8" x14ac:dyDescent="0.3">
      <c r="A43" s="56" t="s">
        <v>65</v>
      </c>
      <c r="B43" s="56"/>
      <c r="C43" s="56"/>
      <c r="D43" s="56"/>
      <c r="E43" s="56"/>
      <c r="F43" s="56"/>
      <c r="G43" s="56"/>
      <c r="H43" s="56"/>
    </row>
    <row r="44" spans="1:8" x14ac:dyDescent="0.3">
      <c r="A44" s="56"/>
      <c r="B44" s="56"/>
      <c r="C44" s="56"/>
      <c r="D44" s="56"/>
      <c r="E44" s="56"/>
      <c r="F44" s="56"/>
      <c r="G44" s="56"/>
      <c r="H44" s="56"/>
    </row>
    <row r="45" spans="1:8" x14ac:dyDescent="0.3">
      <c r="A45" t="s">
        <v>66</v>
      </c>
    </row>
    <row r="46" spans="1:8" x14ac:dyDescent="0.3">
      <c r="A46" t="s">
        <v>67</v>
      </c>
    </row>
  </sheetData>
  <mergeCells count="6">
    <mergeCell ref="A20:G21"/>
    <mergeCell ref="A43:H44"/>
    <mergeCell ref="A24:G26"/>
    <mergeCell ref="A36:G36"/>
    <mergeCell ref="A40:H40"/>
    <mergeCell ref="A33:G3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71727-670F-4C2A-B229-B5B051DE72FD}">
  <dimension ref="A1:D28"/>
  <sheetViews>
    <sheetView tabSelected="1" workbookViewId="0">
      <selection activeCell="B8" sqref="B8"/>
    </sheetView>
  </sheetViews>
  <sheetFormatPr defaultColWidth="11.44140625" defaultRowHeight="14.4" x14ac:dyDescent="0.3"/>
  <cols>
    <col min="1" max="1" width="7.33203125" customWidth="1"/>
    <col min="2" max="2" width="67.6640625" customWidth="1"/>
    <col min="3" max="3" width="8" customWidth="1"/>
    <col min="4" max="4" width="43.5546875" customWidth="1"/>
  </cols>
  <sheetData>
    <row r="1" spans="1:4" ht="17.399999999999999" x14ac:dyDescent="0.3">
      <c r="A1" s="29" t="s">
        <v>68</v>
      </c>
      <c r="B1" s="30"/>
      <c r="C1" s="31"/>
      <c r="D1" s="32"/>
    </row>
    <row r="2" spans="1:4" ht="18" x14ac:dyDescent="0.35">
      <c r="A2" s="33" t="s">
        <v>69</v>
      </c>
      <c r="B2" s="15"/>
      <c r="C2" s="16" t="s">
        <v>70</v>
      </c>
      <c r="D2" s="15"/>
    </row>
    <row r="3" spans="1:4" ht="17.399999999999999" x14ac:dyDescent="0.3">
      <c r="A3" s="34"/>
      <c r="B3" s="51" t="s">
        <v>71</v>
      </c>
      <c r="C3" s="17" t="s">
        <v>72</v>
      </c>
      <c r="D3" s="35" t="s">
        <v>73</v>
      </c>
    </row>
    <row r="4" spans="1:4" x14ac:dyDescent="0.3">
      <c r="A4" s="61" t="s">
        <v>74</v>
      </c>
      <c r="B4" s="62"/>
      <c r="C4" s="18"/>
      <c r="D4" s="36"/>
    </row>
    <row r="5" spans="1:4" x14ac:dyDescent="0.3">
      <c r="A5" s="37"/>
      <c r="B5" s="19"/>
      <c r="C5" s="20"/>
      <c r="D5" s="38"/>
    </row>
    <row r="6" spans="1:4" x14ac:dyDescent="0.3">
      <c r="A6" s="39"/>
      <c r="B6" s="21" t="s">
        <v>75</v>
      </c>
      <c r="C6" s="20"/>
      <c r="D6" s="40"/>
    </row>
    <row r="7" spans="1:4" x14ac:dyDescent="0.3">
      <c r="A7" s="39" t="s">
        <v>76</v>
      </c>
      <c r="B7" s="22" t="s">
        <v>77</v>
      </c>
      <c r="C7" s="23"/>
      <c r="D7" s="48" t="s">
        <v>78</v>
      </c>
    </row>
    <row r="8" spans="1:4" ht="24.6" x14ac:dyDescent="0.3">
      <c r="A8" s="39" t="s">
        <v>79</v>
      </c>
      <c r="B8" s="22" t="s">
        <v>80</v>
      </c>
      <c r="C8" s="23"/>
      <c r="D8" s="48" t="s">
        <v>81</v>
      </c>
    </row>
    <row r="9" spans="1:4" x14ac:dyDescent="0.3">
      <c r="A9" s="39" t="s">
        <v>82</v>
      </c>
      <c r="B9" s="22" t="s">
        <v>83</v>
      </c>
      <c r="C9" s="23"/>
      <c r="D9" s="48" t="s">
        <v>84</v>
      </c>
    </row>
    <row r="10" spans="1:4" ht="27.6" x14ac:dyDescent="0.3">
      <c r="A10" s="39" t="s">
        <v>85</v>
      </c>
      <c r="B10" s="22" t="s">
        <v>86</v>
      </c>
      <c r="C10" s="23"/>
      <c r="D10" s="48"/>
    </row>
    <row r="11" spans="1:4" ht="24.6" x14ac:dyDescent="0.3">
      <c r="A11" s="39" t="s">
        <v>87</v>
      </c>
      <c r="B11" s="22" t="s">
        <v>52</v>
      </c>
      <c r="C11" s="23"/>
      <c r="D11" s="48" t="s">
        <v>88</v>
      </c>
    </row>
    <row r="12" spans="1:4" x14ac:dyDescent="0.3">
      <c r="A12" s="39" t="s">
        <v>89</v>
      </c>
      <c r="B12" s="22" t="s">
        <v>90</v>
      </c>
      <c r="C12" s="23"/>
      <c r="D12" s="48" t="s">
        <v>91</v>
      </c>
    </row>
    <row r="13" spans="1:4" x14ac:dyDescent="0.3">
      <c r="A13" s="39" t="s">
        <v>92</v>
      </c>
      <c r="B13" s="22" t="s">
        <v>90</v>
      </c>
      <c r="C13" s="23"/>
      <c r="D13" s="48"/>
    </row>
    <row r="14" spans="1:4" x14ac:dyDescent="0.3">
      <c r="A14" s="39" t="s">
        <v>93</v>
      </c>
      <c r="B14" s="22" t="s">
        <v>90</v>
      </c>
      <c r="C14" s="23"/>
      <c r="D14" s="48"/>
    </row>
    <row r="15" spans="1:4" ht="36.6" x14ac:dyDescent="0.3">
      <c r="A15" s="39" t="s">
        <v>94</v>
      </c>
      <c r="B15" s="22" t="s">
        <v>95</v>
      </c>
      <c r="C15" s="23"/>
      <c r="D15" s="48" t="s">
        <v>96</v>
      </c>
    </row>
    <row r="16" spans="1:4" ht="28.2" thickBot="1" x14ac:dyDescent="0.35">
      <c r="A16" s="39" t="s">
        <v>97</v>
      </c>
      <c r="B16" s="22" t="s">
        <v>98</v>
      </c>
      <c r="C16" s="23"/>
      <c r="D16" s="48" t="s">
        <v>99</v>
      </c>
    </row>
    <row r="17" spans="1:4" ht="18.600000000000001" thickBot="1" x14ac:dyDescent="0.4">
      <c r="A17" s="41" t="s">
        <v>100</v>
      </c>
      <c r="B17" s="42"/>
      <c r="C17" s="50"/>
      <c r="D17" s="49"/>
    </row>
    <row r="18" spans="1:4" ht="8.1" customHeight="1" thickBot="1" x14ac:dyDescent="0.35">
      <c r="A18" s="44"/>
      <c r="B18" s="45"/>
      <c r="C18" s="46"/>
      <c r="D18" s="47"/>
    </row>
    <row r="19" spans="1:4" ht="15" thickBot="1" x14ac:dyDescent="0.35">
      <c r="A19" s="43" t="s">
        <v>101</v>
      </c>
      <c r="B19" s="63" t="s">
        <v>102</v>
      </c>
      <c r="C19" s="64"/>
      <c r="D19" s="65"/>
    </row>
    <row r="20" spans="1:4" ht="15" thickBot="1" x14ac:dyDescent="0.35">
      <c r="A20" s="24" t="s">
        <v>103</v>
      </c>
      <c r="B20" s="66" t="s">
        <v>104</v>
      </c>
      <c r="C20" s="67">
        <v>1</v>
      </c>
      <c r="D20" s="68"/>
    </row>
    <row r="21" spans="1:4" ht="15" thickBot="1" x14ac:dyDescent="0.35">
      <c r="A21" s="24" t="s">
        <v>105</v>
      </c>
      <c r="B21" s="66" t="s">
        <v>106</v>
      </c>
      <c r="C21" s="67">
        <v>3</v>
      </c>
      <c r="D21" s="68"/>
    </row>
    <row r="22" spans="1:4" ht="15" thickBot="1" x14ac:dyDescent="0.35">
      <c r="A22" s="24" t="s">
        <v>107</v>
      </c>
      <c r="B22" s="66" t="s">
        <v>108</v>
      </c>
      <c r="C22" s="67">
        <v>5</v>
      </c>
      <c r="D22" s="68"/>
    </row>
    <row r="23" spans="1:4" ht="15" thickBot="1" x14ac:dyDescent="0.35">
      <c r="A23" s="55" t="s">
        <v>109</v>
      </c>
      <c r="B23" s="58" t="s">
        <v>110</v>
      </c>
      <c r="C23" s="59">
        <v>5</v>
      </c>
      <c r="D23" s="60"/>
    </row>
    <row r="26" spans="1:4" hidden="1" x14ac:dyDescent="0.3">
      <c r="C26" t="s">
        <v>111</v>
      </c>
    </row>
    <row r="27" spans="1:4" hidden="1" x14ac:dyDescent="0.3">
      <c r="C27" t="s">
        <v>112</v>
      </c>
    </row>
    <row r="28" spans="1:4" hidden="1" x14ac:dyDescent="0.3">
      <c r="C28" t="s">
        <v>113</v>
      </c>
    </row>
  </sheetData>
  <mergeCells count="6">
    <mergeCell ref="B23:D23"/>
    <mergeCell ref="A4:B4"/>
    <mergeCell ref="B19:D19"/>
    <mergeCell ref="B20:D20"/>
    <mergeCell ref="B21:D21"/>
    <mergeCell ref="B22:D22"/>
  </mergeCells>
  <phoneticPr fontId="16" type="noConversion"/>
  <conditionalFormatting sqref="B2">
    <cfRule type="colorScale" priority="12">
      <colorScale>
        <cfvo type="min"/>
        <cfvo type="max"/>
        <color rgb="FFFF7128"/>
        <color rgb="FFFFEF9C"/>
      </colorScale>
    </cfRule>
    <cfRule type="containsText" dxfId="5" priority="13" operator="containsText" text=" ">
      <formula>NOT(ISERROR(SEARCH(" ",B2)))</formula>
    </cfRule>
    <cfRule type="containsBlanks" dxfId="4" priority="14">
      <formula>LEN(TRIM(B2))=0</formula>
    </cfRule>
  </conditionalFormatting>
  <conditionalFormatting sqref="C17">
    <cfRule type="colorScale" priority="1">
      <colorScale>
        <cfvo type="min"/>
        <cfvo type="max"/>
        <color rgb="FFFF7128"/>
        <color rgb="FFFFEF9C"/>
      </colorScale>
    </cfRule>
    <cfRule type="containsText" dxfId="3" priority="2" operator="containsText" text=" ">
      <formula>NOT(ISERROR(SEARCH(" ",C17)))</formula>
    </cfRule>
    <cfRule type="containsBlanks" dxfId="2" priority="3">
      <formula>LEN(TRIM(C17))=0</formula>
    </cfRule>
  </conditionalFormatting>
  <conditionalFormatting sqref="D2">
    <cfRule type="colorScale" priority="4">
      <colorScale>
        <cfvo type="min"/>
        <cfvo type="max"/>
        <color rgb="FFFF7128"/>
        <color rgb="FFFFEF9C"/>
      </colorScale>
    </cfRule>
    <cfRule type="containsText" dxfId="1" priority="5" operator="containsText" text=" ">
      <formula>NOT(ISERROR(SEARCH(" ",D2)))</formula>
    </cfRule>
    <cfRule type="containsBlanks" dxfId="0" priority="6">
      <formula>LEN(TRIM(D2))=0</formula>
    </cfRule>
  </conditionalFormatting>
  <dataValidations count="2">
    <dataValidation type="list" allowBlank="1" showInputMessage="1" showErrorMessage="1" sqref="C17" xr:uid="{6EC7AF20-D1A1-48A5-8997-840CE6984613}">
      <formula1>$A$19:$A$23</formula1>
    </dataValidation>
    <dataValidation type="list" allowBlank="1" showInputMessage="1" showErrorMessage="1" sqref="C7:C16" xr:uid="{46EAC166-C891-4198-9CDD-19AF77B6D285}">
      <formula1>$C$26:$C$28</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F4B283919F7A04E9CDC443BFD166F77" ma:contentTypeVersion="4" ma:contentTypeDescription="Create a new document." ma:contentTypeScope="" ma:versionID="12ec5126627feb4d615406ac977e398d">
  <xsd:schema xmlns:xsd="http://www.w3.org/2001/XMLSchema" xmlns:xs="http://www.w3.org/2001/XMLSchema" xmlns:p="http://schemas.microsoft.com/office/2006/metadata/properties" xmlns:ns2="5674f0a4-3645-4119-81c3-d28b34f876e3" targetNamespace="http://schemas.microsoft.com/office/2006/metadata/properties" ma:root="true" ma:fieldsID="2766d383dfafd6154fd78088492871af" ns2:_="">
    <xsd:import namespace="5674f0a4-3645-4119-81c3-d28b34f876e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74f0a4-3645-4119-81c3-d28b34f876e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818F3D7-A1F9-49AC-A06A-A92DFE8D93F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74f0a4-3645-4119-81c3-d28b34f876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7EF41F4-C063-4D35-9972-616384AE0A5F}">
  <ds:schemaRefs>
    <ds:schemaRef ds:uri="http://schemas.microsoft.com/sharepoint/v3/contenttype/forms"/>
  </ds:schemaRefs>
</ds:datastoreItem>
</file>

<file path=customXml/itemProps3.xml><?xml version="1.0" encoding="utf-8"?>
<ds:datastoreItem xmlns:ds="http://schemas.openxmlformats.org/officeDocument/2006/customXml" ds:itemID="{3621B68A-F8AC-4425-A30F-079F70E55C6D}">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Données</vt:lpstr>
      <vt:lpstr>Demande 1</vt:lpstr>
      <vt:lpstr>Grille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claude laurin</dc:creator>
  <cp:keywords/>
  <dc:description/>
  <cp:lastModifiedBy>Hicham El Absi</cp:lastModifiedBy>
  <cp:revision/>
  <dcterms:created xsi:type="dcterms:W3CDTF">2024-08-31T13:32:22Z</dcterms:created>
  <dcterms:modified xsi:type="dcterms:W3CDTF">2026-01-14T18:09:36Z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0x010100DF4B283919F7A04E9CDC443BFD166F77</vt:lpwstr>
  </property>
  <property fmtid="{D5CDD505-2E9C-101B-9397-08002B2CF9AE}" pid="3" name="TitusGUID">
    <vt:lpwstr>cc6478ee-695a-4379-8b42-f6736cb8e1f9</vt:lpwstr>
  </property>
  <property fmtid="{D5CDD505-2E9C-101B-9397-08002B2CF9AE}" pid="4" name="RCGTRp">
    <vt:lpwstr>RCGTRp_0</vt:lpwstr>
  </property>
  <property fmtid="{D5CDD505-2E9C-101B-9397-08002B2CF9AE}" pid="5" name="RCGTClass">
    <vt:lpwstr>RCGTClass_I</vt:lpwstr>
  </property>
  <property fmtid="{D5CDD505-2E9C-101B-9397-08002B2CF9AE}" pid="6" name="ApplyVisMark">
    <vt:lpwstr>No</vt:lpwstr>
  </property>
</Properties>
</file>