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marie-eve_quenneville_hec_ca/Documents/40937/Séance 02/Accessoires sport pour CL/"/>
    </mc:Choice>
  </mc:AlternateContent>
  <xr:revisionPtr revIDLastSave="2" documentId="8_{D1F09835-141F-43B8-B6BB-D11E228528CA}" xr6:coauthVersionLast="47" xr6:coauthVersionMax="47" xr10:uidLastSave="{851EB8CF-7B68-45FA-BB71-64AAF329E0E7}"/>
  <bookViews>
    <workbookView xWindow="57480" yWindow="-120" windowWidth="29040" windowHeight="15840" firstSheet="2" activeTab="2" xr2:uid="{949B9879-0331-4E9C-953E-098AEAFA208C}"/>
  </bookViews>
  <sheets>
    <sheet name="réponse" sheetId="1" r:id="rId1"/>
    <sheet name="réponse commentée" sheetId="4" r:id="rId2"/>
    <sheet name="Gril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4" l="1"/>
  <c r="H38" i="4"/>
  <c r="H29" i="4"/>
  <c r="H30" i="4"/>
  <c r="H31" i="4"/>
  <c r="H32" i="4"/>
  <c r="H33" i="4"/>
  <c r="H34" i="4"/>
  <c r="H35" i="4"/>
  <c r="H36" i="4"/>
  <c r="H37" i="4"/>
  <c r="H28" i="4"/>
  <c r="G36" i="4"/>
  <c r="B42" i="4" l="1"/>
  <c r="H22" i="4"/>
  <c r="F22" i="4"/>
  <c r="D22" i="4"/>
  <c r="B22" i="4"/>
  <c r="B41" i="1"/>
  <c r="D22" i="1" l="1"/>
  <c r="F22" i="1"/>
  <c r="H22" i="1"/>
  <c r="B22" i="1"/>
  <c r="B42" i="1"/>
</calcChain>
</file>

<file path=xl/sharedStrings.xml><?xml version="1.0" encoding="utf-8"?>
<sst xmlns="http://schemas.openxmlformats.org/spreadsheetml/2006/main" count="190" uniqueCount="89">
  <si>
    <t>voir réponse ligne 39</t>
  </si>
  <si>
    <t>Annexe 1</t>
  </si>
  <si>
    <t>Rentabilité par gamme de produit</t>
  </si>
  <si>
    <t>Sacs de randonnée</t>
  </si>
  <si>
    <t>Tentes et sacs de couchage</t>
  </si>
  <si>
    <t>Vêtements</t>
  </si>
  <si>
    <t>Total</t>
  </si>
  <si>
    <t>Chiffre d'affaires</t>
  </si>
  <si>
    <t>$</t>
  </si>
  <si>
    <t>Coûts d'exploitation (1)</t>
  </si>
  <si>
    <t>Fournitures</t>
  </si>
  <si>
    <t>Assurances</t>
  </si>
  <si>
    <t>Charges sociales</t>
  </si>
  <si>
    <t>Réparations et entretien</t>
  </si>
  <si>
    <t>Services publics</t>
  </si>
  <si>
    <t>Loyer</t>
  </si>
  <si>
    <t>Amortissement</t>
  </si>
  <si>
    <t>Matières</t>
  </si>
  <si>
    <t>Main-d'œuvre</t>
  </si>
  <si>
    <t>Divers</t>
  </si>
  <si>
    <t>Total des coûts d'exploitation</t>
  </si>
  <si>
    <t>Bénéfice d'exploitation</t>
  </si>
  <si>
    <t xml:space="preserve">MCV </t>
  </si>
  <si>
    <t>Annexe 2</t>
  </si>
  <si>
    <t>Coûts unitaires de production – Sac de couchage</t>
  </si>
  <si>
    <t>CF spécifique</t>
  </si>
  <si>
    <t>CF</t>
  </si>
  <si>
    <t>CV</t>
  </si>
  <si>
    <t>50% CF</t>
  </si>
  <si>
    <t>23% fixe</t>
  </si>
  <si>
    <t>Nouvelle rentabilité du produit</t>
  </si>
  <si>
    <t>PV</t>
  </si>
  <si>
    <t>MCV</t>
  </si>
  <si>
    <t>Avec le nouveau prix à 23$, la MCV unitaire demeure positive à 5.53$, donc contribue à absorber les frais fixes. Conséquemment, il faudrait accepter l'offre.</t>
  </si>
  <si>
    <t>Puisqu'il existe une capacité excédentaire, il n'est pas pertinent de comparer la MCV par unité de facteur contraignant, mais si ASD opère à pleine capacité, il faudrait revoir l'analyse, car il se pourrait qu'il serait plus avantageux de vendre d'autres produits et refuser cette offre.</t>
  </si>
  <si>
    <t>De plus, Sport de montagne achète 20.5% des sacs de montagne de ASD, donc si on refuse la proposition on pourrait craindre de perdre le client. (avantages)</t>
  </si>
  <si>
    <t>Il faudrait s'assurer également qu'en offrant un prix de faveur à ce client, cela n'incite pas les clients à faire de même, car cela affecterait la rentabilité de ASD. (inconvénients)</t>
  </si>
  <si>
    <t>Je recommande d'aller de l'avant avec la proposition, car malgré un baisse du profit, la proposition demeure rentable. Il faudra s'assurer de bien mitiger le risque de contagion.</t>
  </si>
  <si>
    <t>Note: C</t>
  </si>
  <si>
    <t>voir grille onglet suivant</t>
  </si>
  <si>
    <t>Coût variable en %</t>
  </si>
  <si>
    <t xml:space="preserve">il manque uniquement un retour clair sur la conclusion qualitative. </t>
  </si>
  <si>
    <t>Comme la recommadation est incomplète, le résultat est EVC</t>
  </si>
  <si>
    <t>Accessoires de sport Dubois</t>
  </si>
  <si>
    <t>Nom</t>
  </si>
  <si>
    <t xml:space="preserve">Comptabilité de gestion </t>
  </si>
  <si>
    <t>Cote</t>
  </si>
  <si>
    <t>Commentaires</t>
  </si>
  <si>
    <t>Compétence 1 – Le candidat analyse la commande de Sports de Montagne</t>
  </si>
  <si>
    <t>Analyse quantitative</t>
  </si>
  <si>
    <t>1.1</t>
  </si>
  <si>
    <t>Identifie correctement les coûts variables unitaires</t>
  </si>
  <si>
    <t>partiel</t>
  </si>
  <si>
    <t>Si une erreur = partiel</t>
  </si>
  <si>
    <t>1.2</t>
  </si>
  <si>
    <t>Ne tient pas compte des coûts non pertinents</t>
  </si>
  <si>
    <t>oui</t>
  </si>
  <si>
    <t>N'inclut pas: assurances, service publics et Loyer. Si un des éléments est inclut = partiel</t>
  </si>
  <si>
    <t>1.3</t>
  </si>
  <si>
    <t>Calcule la contribution de la commande au bénéfice (PV- CV)</t>
  </si>
  <si>
    <t>Suivi des erreurs à 1.1 et 1.2</t>
  </si>
  <si>
    <t>1.4</t>
  </si>
  <si>
    <t>Différentielle - compare la contribution de la commande au prix régulier avec la contribution au prix de 23$/unité</t>
  </si>
  <si>
    <t xml:space="preserve">non </t>
  </si>
  <si>
    <t>1.5</t>
  </si>
  <si>
    <t>Conclusion quantitative</t>
  </si>
  <si>
    <t>indique si la commande doit être acceptée d'un point de vue quantitatif</t>
  </si>
  <si>
    <t>1.6</t>
  </si>
  <si>
    <t>Argument qualitatif valable</t>
  </si>
  <si>
    <t>Aumoins un argument qualitatif valide pour C</t>
  </si>
  <si>
    <t>1.7</t>
  </si>
  <si>
    <t>1.8</t>
  </si>
  <si>
    <t>1.9</t>
  </si>
  <si>
    <t xml:space="preserve">Recommandation </t>
  </si>
  <si>
    <t>Recommande clairement d'accepter ou de refuser la commande et justifie sa recommandation par un retour sur le quantitatif ET le qualitatif. Si un seul élément = partiel</t>
  </si>
  <si>
    <t>1.10</t>
  </si>
  <si>
    <t>Mise en œuvre: mitige un inconvénient soulevé lors de l'analyse ou donne un élement concret de mise en œuvre de la recommandation</t>
  </si>
  <si>
    <t>Nécessaire pour CD</t>
  </si>
  <si>
    <t>Résultat compétence 1</t>
  </si>
  <si>
    <t>C</t>
  </si>
  <si>
    <t>NT</t>
  </si>
  <si>
    <t>Ne traite pas de cette compétence. </t>
  </si>
  <si>
    <t>CM</t>
  </si>
  <si>
    <t>Ne Satisfait pas à la norme En voie vers la compétence.</t>
  </si>
  <si>
    <t>EVC</t>
  </si>
  <si>
    <t>3 oui ou 5 partiel</t>
  </si>
  <si>
    <t>5 oui dont 1.3 et 1.5. Un  oui à 1.6 à 1.8 ET 1.9</t>
  </si>
  <si>
    <t>CD</t>
  </si>
  <si>
    <t>6 oui dont 1.3 et 1.5. Un  oui à 1.6 à 1.8 ET 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</si>
</sst>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3B02A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Continuous" vertical="distributed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0" fillId="2" borderId="0" xfId="0" applyFill="1"/>
    <xf numFmtId="2" fontId="1" fillId="0" borderId="0" xfId="0" applyNumberFormat="1" applyFont="1" applyAlignment="1">
      <alignment horizontal="left" indent="6"/>
    </xf>
    <xf numFmtId="0" fontId="1" fillId="0" borderId="0" xfId="0" applyFont="1" applyAlignment="1">
      <alignment horizontal="left" indent="7"/>
    </xf>
    <xf numFmtId="0" fontId="0" fillId="2" borderId="1" xfId="0" applyFill="1" applyBorder="1"/>
    <xf numFmtId="0" fontId="1" fillId="3" borderId="0" xfId="0" applyFont="1" applyFill="1"/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2" fontId="0" fillId="0" borderId="4" xfId="0" applyNumberFormat="1" applyBorder="1" applyAlignment="1">
      <alignment wrapText="1"/>
    </xf>
    <xf numFmtId="0" fontId="4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wrapText="1"/>
    </xf>
    <xf numFmtId="0" fontId="4" fillId="0" borderId="15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vertical="center"/>
    </xf>
    <xf numFmtId="0" fontId="7" fillId="0" borderId="17" xfId="0" applyFont="1" applyBorder="1" applyAlignment="1">
      <alignment horizontal="left" wrapText="1"/>
    </xf>
    <xf numFmtId="2" fontId="0" fillId="4" borderId="18" xfId="0" applyNumberFormat="1" applyFill="1" applyBorder="1" applyAlignment="1">
      <alignment wrapText="1"/>
    </xf>
    <xf numFmtId="0" fontId="4" fillId="0" borderId="18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2" fontId="0" fillId="0" borderId="18" xfId="0" applyNumberFormat="1" applyBorder="1" applyAlignment="1">
      <alignment wrapText="1"/>
    </xf>
    <xf numFmtId="0" fontId="5" fillId="0" borderId="18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wrapText="1"/>
    </xf>
    <xf numFmtId="0" fontId="5" fillId="0" borderId="10" xfId="0" applyFont="1" applyBorder="1" applyAlignment="1">
      <alignment vertical="center"/>
    </xf>
    <xf numFmtId="0" fontId="5" fillId="0" borderId="19" xfId="0" applyFont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vertical="center" wrapText="1"/>
    </xf>
    <xf numFmtId="0" fontId="6" fillId="4" borderId="17" xfId="0" applyFont="1" applyFill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3" xfId="0" applyFont="1" applyBorder="1" applyAlignment="1">
      <alignment wrapText="1"/>
    </xf>
    <xf numFmtId="0" fontId="11" fillId="5" borderId="7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4" fillId="5" borderId="8" xfId="0" applyFont="1" applyFill="1" applyBorder="1" applyAlignment="1">
      <alignment vertical="center" wrapText="1"/>
    </xf>
    <xf numFmtId="0" fontId="11" fillId="5" borderId="20" xfId="0" applyFont="1" applyFill="1" applyBorder="1" applyAlignment="1">
      <alignment vertical="center"/>
    </xf>
    <xf numFmtId="0" fontId="0" fillId="3" borderId="0" xfId="0" applyFill="1"/>
    <xf numFmtId="0" fontId="15" fillId="0" borderId="0" xfId="0" applyFont="1"/>
    <xf numFmtId="9" fontId="15" fillId="0" borderId="0" xfId="0" applyNumberFormat="1" applyFont="1"/>
    <xf numFmtId="10" fontId="15" fillId="0" borderId="0" xfId="0" applyNumberFormat="1" applyFont="1"/>
    <xf numFmtId="0" fontId="15" fillId="0" borderId="1" xfId="0" applyFont="1" applyBorder="1"/>
    <xf numFmtId="0" fontId="16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6FDC-A071-44C5-B6D9-ABB92C198F37}">
  <dimension ref="A1:I51"/>
  <sheetViews>
    <sheetView topLeftCell="A9" workbookViewId="0">
      <selection activeCell="A24" sqref="A24"/>
    </sheetView>
  </sheetViews>
  <sheetFormatPr defaultColWidth="10.85546875" defaultRowHeight="14.45"/>
  <cols>
    <col min="1" max="1" width="29.140625" customWidth="1"/>
    <col min="2" max="2" width="21.85546875" bestFit="1" customWidth="1"/>
    <col min="3" max="3" width="3.85546875" customWidth="1"/>
    <col min="4" max="4" width="12.5703125" customWidth="1"/>
    <col min="5" max="5" width="3" customWidth="1"/>
    <col min="7" max="7" width="2.85546875" customWidth="1"/>
    <col min="9" max="9" width="3.140625" customWidth="1"/>
    <col min="10" max="22" width="10.85546875" customWidth="1"/>
  </cols>
  <sheetData>
    <row r="1" spans="1:9">
      <c r="A1" s="17" t="s">
        <v>0</v>
      </c>
    </row>
    <row r="2" spans="1:9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>
      <c r="A3" s="11" t="s">
        <v>2</v>
      </c>
      <c r="B3" s="10"/>
      <c r="C3" s="10"/>
      <c r="D3" s="10"/>
      <c r="E3" s="10"/>
      <c r="F3" s="10"/>
      <c r="G3" s="10"/>
      <c r="H3" s="10"/>
      <c r="I3" s="10"/>
    </row>
    <row r="4" spans="1:9" ht="29.1">
      <c r="B4" s="5" t="s">
        <v>3</v>
      </c>
      <c r="C4" s="6"/>
      <c r="D4" s="5" t="s">
        <v>4</v>
      </c>
      <c r="E4" s="6"/>
      <c r="F4" s="5" t="s">
        <v>5</v>
      </c>
      <c r="G4" s="6"/>
      <c r="H4" s="6" t="s">
        <v>6</v>
      </c>
    </row>
    <row r="5" spans="1:9">
      <c r="B5" s="1"/>
      <c r="C5" s="1"/>
      <c r="D5" s="1"/>
      <c r="E5" s="1"/>
      <c r="F5" s="1"/>
      <c r="G5" s="1"/>
      <c r="H5" s="1"/>
    </row>
    <row r="6" spans="1:9">
      <c r="A6" s="7" t="s">
        <v>7</v>
      </c>
      <c r="B6" s="2">
        <v>488439</v>
      </c>
      <c r="C6" s="1" t="s">
        <v>8</v>
      </c>
      <c r="D6" s="2">
        <v>663250</v>
      </c>
      <c r="E6" s="1" t="s">
        <v>8</v>
      </c>
      <c r="F6" s="2">
        <v>1057561</v>
      </c>
      <c r="G6" s="1" t="s">
        <v>8</v>
      </c>
      <c r="H6" s="2">
        <v>2209250</v>
      </c>
      <c r="I6" t="s">
        <v>8</v>
      </c>
    </row>
    <row r="7" spans="1:9">
      <c r="B7" s="2"/>
      <c r="C7" s="1"/>
      <c r="D7" s="2"/>
      <c r="E7" s="1"/>
      <c r="F7" s="2"/>
      <c r="G7" s="1"/>
      <c r="H7" s="2"/>
    </row>
    <row r="8" spans="1:9">
      <c r="A8" s="7" t="s">
        <v>9</v>
      </c>
      <c r="B8" s="1"/>
      <c r="C8" s="1"/>
      <c r="D8" s="1"/>
      <c r="E8" s="1"/>
      <c r="F8" s="1"/>
      <c r="G8" s="1"/>
      <c r="H8" s="1"/>
    </row>
    <row r="9" spans="1:9">
      <c r="A9" s="7" t="s">
        <v>10</v>
      </c>
      <c r="B9" s="2">
        <v>15406</v>
      </c>
      <c r="C9" s="1"/>
      <c r="D9" s="2">
        <v>31931</v>
      </c>
      <c r="E9" s="1"/>
      <c r="F9" s="2">
        <v>23075</v>
      </c>
      <c r="G9" s="1"/>
      <c r="H9" s="2">
        <v>70412</v>
      </c>
    </row>
    <row r="10" spans="1:9">
      <c r="A10" t="s">
        <v>11</v>
      </c>
      <c r="B10" s="2">
        <v>8803</v>
      </c>
      <c r="C10" s="1"/>
      <c r="D10" s="2">
        <v>18422</v>
      </c>
      <c r="E10" s="1"/>
      <c r="F10" s="2">
        <v>10321</v>
      </c>
      <c r="G10" s="1"/>
      <c r="H10" s="2">
        <v>37546</v>
      </c>
    </row>
    <row r="11" spans="1:9">
      <c r="A11" s="7" t="s">
        <v>12</v>
      </c>
      <c r="B11" s="2">
        <v>3081</v>
      </c>
      <c r="C11" s="1"/>
      <c r="D11" s="2">
        <v>2415</v>
      </c>
      <c r="E11" s="1"/>
      <c r="F11" s="2">
        <v>8394</v>
      </c>
      <c r="G11" s="1"/>
      <c r="H11" s="2">
        <v>13890</v>
      </c>
    </row>
    <row r="12" spans="1:9">
      <c r="A12" s="7" t="s">
        <v>13</v>
      </c>
      <c r="B12" s="2">
        <v>18487</v>
      </c>
      <c r="C12" s="1"/>
      <c r="D12" s="2">
        <v>34387</v>
      </c>
      <c r="E12" s="1"/>
      <c r="F12" s="2">
        <v>22875</v>
      </c>
      <c r="G12" s="1"/>
      <c r="H12" s="2">
        <v>75749</v>
      </c>
    </row>
    <row r="13" spans="1:9">
      <c r="A13" t="s">
        <v>14</v>
      </c>
      <c r="B13" s="2">
        <v>1320</v>
      </c>
      <c r="C13" s="1"/>
      <c r="D13" s="2">
        <v>7369</v>
      </c>
      <c r="E13" s="1"/>
      <c r="F13" s="2">
        <v>4396</v>
      </c>
      <c r="G13" s="1"/>
      <c r="H13" s="2">
        <v>13085</v>
      </c>
    </row>
    <row r="14" spans="1:9">
      <c r="A14" t="s">
        <v>15</v>
      </c>
      <c r="B14" s="2">
        <v>18047</v>
      </c>
      <c r="C14" s="1"/>
      <c r="D14" s="2">
        <v>38685</v>
      </c>
      <c r="E14" s="1"/>
      <c r="F14" s="2">
        <v>25942</v>
      </c>
      <c r="G14" s="1"/>
      <c r="H14" s="2">
        <v>82674</v>
      </c>
    </row>
    <row r="15" spans="1:9">
      <c r="A15" t="s">
        <v>16</v>
      </c>
      <c r="B15" s="2">
        <v>28611</v>
      </c>
      <c r="C15" s="1"/>
      <c r="D15" s="2">
        <v>45440</v>
      </c>
      <c r="E15" s="1"/>
      <c r="F15" s="2">
        <v>21756</v>
      </c>
      <c r="G15" s="1"/>
      <c r="H15" s="2">
        <v>95807</v>
      </c>
    </row>
    <row r="16" spans="1:9">
      <c r="A16" s="7" t="s">
        <v>17</v>
      </c>
      <c r="B16" s="2">
        <v>211279</v>
      </c>
      <c r="C16" s="1"/>
      <c r="D16" s="2">
        <v>313168</v>
      </c>
      <c r="E16" s="1"/>
      <c r="F16" s="2">
        <v>567675</v>
      </c>
      <c r="G16" s="1"/>
      <c r="H16" s="2">
        <v>1092122</v>
      </c>
    </row>
    <row r="17" spans="1:9">
      <c r="A17" s="7" t="s">
        <v>18</v>
      </c>
      <c r="B17" s="2">
        <v>110041</v>
      </c>
      <c r="C17" s="1"/>
      <c r="D17" s="2">
        <v>86211</v>
      </c>
      <c r="E17" s="1"/>
      <c r="F17" s="2">
        <v>299818</v>
      </c>
      <c r="G17" s="1"/>
      <c r="H17" s="2">
        <v>496070</v>
      </c>
    </row>
    <row r="18" spans="1:9">
      <c r="A18" s="7" t="s">
        <v>19</v>
      </c>
      <c r="B18" s="3">
        <v>17607</v>
      </c>
      <c r="C18" s="1"/>
      <c r="D18" s="3">
        <v>18422</v>
      </c>
      <c r="E18" s="1"/>
      <c r="F18" s="3">
        <v>16211</v>
      </c>
      <c r="G18" s="1"/>
      <c r="H18" s="3">
        <v>52240</v>
      </c>
    </row>
    <row r="19" spans="1:9">
      <c r="A19" t="s">
        <v>20</v>
      </c>
      <c r="B19" s="2">
        <v>432682</v>
      </c>
      <c r="C19" s="1"/>
      <c r="D19" s="2">
        <v>596450</v>
      </c>
      <c r="E19" s="1"/>
      <c r="F19" s="2">
        <v>1000463</v>
      </c>
      <c r="G19" s="1"/>
      <c r="H19" s="2">
        <v>2029595</v>
      </c>
    </row>
    <row r="20" spans="1:9" ht="9" customHeight="1">
      <c r="B20" s="2"/>
      <c r="C20" s="1"/>
      <c r="D20" s="2"/>
      <c r="E20" s="1"/>
      <c r="F20" s="2"/>
      <c r="G20" s="1"/>
      <c r="H20" s="2"/>
    </row>
    <row r="21" spans="1:9" ht="15" thickBot="1">
      <c r="A21" s="7" t="s">
        <v>21</v>
      </c>
      <c r="B21" s="4">
        <v>55757</v>
      </c>
      <c r="C21" s="1" t="s">
        <v>8</v>
      </c>
      <c r="D21" s="4">
        <v>66800</v>
      </c>
      <c r="E21" s="1" t="s">
        <v>8</v>
      </c>
      <c r="F21" s="4">
        <v>57098</v>
      </c>
      <c r="G21" s="1" t="s">
        <v>8</v>
      </c>
      <c r="H21" s="4">
        <v>179655</v>
      </c>
      <c r="I21" t="s">
        <v>8</v>
      </c>
    </row>
    <row r="22" spans="1:9" ht="15" thickTop="1">
      <c r="A22" s="7" t="s">
        <v>22</v>
      </c>
      <c r="B22" s="2">
        <f>B6-B11-50%*B12-B16-77%*B17-B18</f>
        <v>162496.93</v>
      </c>
      <c r="C22" s="2"/>
      <c r="D22" s="2">
        <f t="shared" ref="D22:H22" si="0">D6-D11-50%*D12-D16-77%*D17-D18</f>
        <v>245669.03000000003</v>
      </c>
      <c r="E22" s="2"/>
      <c r="F22" s="2">
        <f t="shared" si="0"/>
        <v>222983.63999999998</v>
      </c>
      <c r="G22" s="2"/>
      <c r="H22" s="2">
        <f t="shared" si="0"/>
        <v>631149.6</v>
      </c>
    </row>
    <row r="25" spans="1:9">
      <c r="A25" s="12" t="s">
        <v>23</v>
      </c>
      <c r="B25" s="10"/>
      <c r="C25" s="10"/>
      <c r="D25" s="10"/>
      <c r="E25" s="10"/>
      <c r="F25" s="10"/>
      <c r="G25" s="10"/>
      <c r="H25" s="10"/>
      <c r="I25" s="10"/>
    </row>
    <row r="26" spans="1:9">
      <c r="A26" s="12" t="s">
        <v>24</v>
      </c>
      <c r="B26" s="10"/>
      <c r="C26" s="10"/>
      <c r="D26" s="10"/>
      <c r="E26" s="10"/>
      <c r="F26" s="10"/>
      <c r="G26" s="10"/>
      <c r="H26" s="10"/>
      <c r="I26" s="10"/>
    </row>
    <row r="27" spans="1:9">
      <c r="A27" s="8"/>
    </row>
    <row r="28" spans="1:9">
      <c r="A28" s="8"/>
      <c r="B28" s="13" t="s">
        <v>10</v>
      </c>
      <c r="C28" s="13"/>
      <c r="D28" s="13">
        <v>0.79</v>
      </c>
      <c r="E28" s="13"/>
      <c r="F28" s="13" t="s">
        <v>25</v>
      </c>
    </row>
    <row r="29" spans="1:9">
      <c r="A29" s="8"/>
      <c r="B29" t="s">
        <v>11</v>
      </c>
      <c r="D29">
        <v>0.45</v>
      </c>
      <c r="F29" t="s">
        <v>26</v>
      </c>
    </row>
    <row r="30" spans="1:9">
      <c r="A30" s="8"/>
      <c r="B30" s="13" t="s">
        <v>12</v>
      </c>
      <c r="C30" s="13"/>
      <c r="D30" s="13">
        <v>0.16</v>
      </c>
      <c r="E30" s="13"/>
      <c r="F30" s="13" t="s">
        <v>27</v>
      </c>
    </row>
    <row r="31" spans="1:9">
      <c r="A31" s="8"/>
      <c r="B31" s="13" t="s">
        <v>13</v>
      </c>
      <c r="C31" s="13"/>
      <c r="D31" s="13">
        <v>0.95</v>
      </c>
      <c r="E31" s="13"/>
      <c r="F31" s="13" t="s">
        <v>28</v>
      </c>
    </row>
    <row r="32" spans="1:9">
      <c r="A32" s="8"/>
      <c r="B32" t="s">
        <v>14</v>
      </c>
      <c r="D32">
        <v>7.0000000000000007E-2</v>
      </c>
      <c r="F32" t="s">
        <v>26</v>
      </c>
    </row>
    <row r="33" spans="1:6">
      <c r="A33" s="8"/>
      <c r="B33" t="s">
        <v>15</v>
      </c>
      <c r="D33">
        <v>0.92</v>
      </c>
      <c r="F33" t="s">
        <v>26</v>
      </c>
    </row>
    <row r="34" spans="1:6">
      <c r="A34" s="8"/>
      <c r="B34" t="s">
        <v>16</v>
      </c>
      <c r="D34">
        <v>1.46</v>
      </c>
      <c r="F34" t="s">
        <v>26</v>
      </c>
    </row>
    <row r="35" spans="1:6">
      <c r="A35" s="8"/>
      <c r="B35" s="13" t="s">
        <v>17</v>
      </c>
      <c r="C35" s="13"/>
      <c r="D35" s="13">
        <v>10.81</v>
      </c>
      <c r="E35" s="13"/>
      <c r="F35" s="13" t="s">
        <v>27</v>
      </c>
    </row>
    <row r="36" spans="1:6">
      <c r="B36" s="13" t="s">
        <v>18</v>
      </c>
      <c r="C36" s="13"/>
      <c r="D36" s="13">
        <v>5.63</v>
      </c>
      <c r="E36" s="13"/>
      <c r="F36" s="13" t="s">
        <v>29</v>
      </c>
    </row>
    <row r="37" spans="1:6">
      <c r="B37" s="13" t="s">
        <v>19</v>
      </c>
      <c r="C37" s="13"/>
      <c r="D37" s="16">
        <v>0.9</v>
      </c>
      <c r="E37" s="13"/>
      <c r="F37" s="13" t="s">
        <v>27</v>
      </c>
    </row>
    <row r="38" spans="1:6">
      <c r="D38">
        <v>22.14</v>
      </c>
      <c r="E38" t="s">
        <v>8</v>
      </c>
    </row>
    <row r="39" spans="1:6">
      <c r="A39" s="7" t="s">
        <v>30</v>
      </c>
      <c r="B39" s="7"/>
    </row>
    <row r="40" spans="1:6">
      <c r="A40" s="7" t="s">
        <v>31</v>
      </c>
      <c r="B40" s="15">
        <v>23</v>
      </c>
    </row>
    <row r="41" spans="1:6">
      <c r="A41" s="7" t="s">
        <v>27</v>
      </c>
      <c r="B41" s="14">
        <f>D30+D35+0.5*D31+77%*D36+D37+D28</f>
        <v>17.470099999999999</v>
      </c>
    </row>
    <row r="42" spans="1:6">
      <c r="A42" s="7" t="s">
        <v>32</v>
      </c>
      <c r="B42" s="14">
        <f>B40-B41</f>
        <v>5.5299000000000014</v>
      </c>
    </row>
    <row r="44" spans="1:6">
      <c r="A44" t="s">
        <v>33</v>
      </c>
    </row>
    <row r="45" spans="1:6">
      <c r="A45" t="s">
        <v>34</v>
      </c>
    </row>
    <row r="46" spans="1:6">
      <c r="A46" t="s">
        <v>35</v>
      </c>
    </row>
    <row r="47" spans="1:6">
      <c r="A47" t="s">
        <v>36</v>
      </c>
    </row>
    <row r="49" spans="1:4">
      <c r="A49" t="s">
        <v>37</v>
      </c>
    </row>
    <row r="51" spans="1:4">
      <c r="A51" s="7" t="s">
        <v>38</v>
      </c>
      <c r="B51" s="52" t="s">
        <v>39</v>
      </c>
      <c r="C51" s="52"/>
      <c r="D51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FA08-5953-4F29-B210-896211A683D0}">
  <dimension ref="A1:N51"/>
  <sheetViews>
    <sheetView topLeftCell="A18" workbookViewId="0">
      <selection activeCell="B42" sqref="B42"/>
    </sheetView>
  </sheetViews>
  <sheetFormatPr defaultColWidth="10.85546875" defaultRowHeight="14.45"/>
  <cols>
    <col min="1" max="1" width="29.140625" customWidth="1"/>
    <col min="2" max="2" width="21.85546875" bestFit="1" customWidth="1"/>
    <col min="3" max="3" width="3.85546875" customWidth="1"/>
    <col min="4" max="4" width="12.5703125" customWidth="1"/>
    <col min="5" max="5" width="3" customWidth="1"/>
    <col min="7" max="7" width="16.85546875" bestFit="1" customWidth="1"/>
    <col min="9" max="9" width="3.140625" customWidth="1"/>
    <col min="10" max="22" width="10.85546875" customWidth="1"/>
  </cols>
  <sheetData>
    <row r="1" spans="1:9">
      <c r="A1" s="17" t="s">
        <v>0</v>
      </c>
    </row>
    <row r="2" spans="1:9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>
      <c r="A3" s="11" t="s">
        <v>2</v>
      </c>
      <c r="B3" s="10"/>
      <c r="C3" s="10"/>
      <c r="D3" s="10"/>
      <c r="E3" s="10"/>
      <c r="F3" s="10"/>
      <c r="G3" s="10"/>
      <c r="H3" s="10"/>
      <c r="I3" s="10"/>
    </row>
    <row r="4" spans="1:9" ht="29.1">
      <c r="B4" s="5" t="s">
        <v>3</v>
      </c>
      <c r="C4" s="6"/>
      <c r="D4" s="5" t="s">
        <v>4</v>
      </c>
      <c r="E4" s="6"/>
      <c r="F4" s="5" t="s">
        <v>5</v>
      </c>
      <c r="G4" s="6"/>
      <c r="H4" s="6" t="s">
        <v>6</v>
      </c>
    </row>
    <row r="5" spans="1:9">
      <c r="B5" s="1"/>
      <c r="C5" s="1"/>
      <c r="D5" s="1"/>
      <c r="E5" s="1"/>
      <c r="F5" s="1"/>
      <c r="G5" s="1"/>
      <c r="H5" s="1"/>
    </row>
    <row r="6" spans="1:9">
      <c r="A6" s="7" t="s">
        <v>7</v>
      </c>
      <c r="B6" s="2">
        <v>488439</v>
      </c>
      <c r="C6" s="1" t="s">
        <v>8</v>
      </c>
      <c r="D6" s="2">
        <v>663250</v>
      </c>
      <c r="E6" s="1" t="s">
        <v>8</v>
      </c>
      <c r="F6" s="2">
        <v>1057561</v>
      </c>
      <c r="G6" s="1" t="s">
        <v>8</v>
      </c>
      <c r="H6" s="2">
        <v>2209250</v>
      </c>
      <c r="I6" t="s">
        <v>8</v>
      </c>
    </row>
    <row r="7" spans="1:9">
      <c r="B7" s="2"/>
      <c r="C7" s="1"/>
      <c r="D7" s="2"/>
      <c r="E7" s="1"/>
      <c r="F7" s="2"/>
      <c r="G7" s="1"/>
      <c r="H7" s="2"/>
    </row>
    <row r="8" spans="1:9">
      <c r="A8" s="7" t="s">
        <v>9</v>
      </c>
      <c r="B8" s="1"/>
      <c r="C8" s="1"/>
      <c r="D8" s="1"/>
      <c r="E8" s="1"/>
      <c r="F8" s="1"/>
      <c r="G8" s="1"/>
      <c r="H8" s="1"/>
    </row>
    <row r="9" spans="1:9">
      <c r="A9" s="7" t="s">
        <v>10</v>
      </c>
      <c r="B9" s="2">
        <v>15406</v>
      </c>
      <c r="C9" s="1"/>
      <c r="D9" s="2">
        <v>31931</v>
      </c>
      <c r="E9" s="1"/>
      <c r="F9" s="2">
        <v>23075</v>
      </c>
      <c r="G9" s="1"/>
      <c r="H9" s="2">
        <v>70412</v>
      </c>
    </row>
    <row r="10" spans="1:9">
      <c r="A10" t="s">
        <v>11</v>
      </c>
      <c r="B10" s="2">
        <v>8803</v>
      </c>
      <c r="C10" s="1"/>
      <c r="D10" s="2">
        <v>18422</v>
      </c>
      <c r="E10" s="1"/>
      <c r="F10" s="2">
        <v>10321</v>
      </c>
      <c r="G10" s="1"/>
      <c r="H10" s="2">
        <v>37546</v>
      </c>
    </row>
    <row r="11" spans="1:9">
      <c r="A11" s="7" t="s">
        <v>12</v>
      </c>
      <c r="B11" s="2">
        <v>3081</v>
      </c>
      <c r="C11" s="1"/>
      <c r="D11" s="2">
        <v>2415</v>
      </c>
      <c r="E11" s="1"/>
      <c r="F11" s="2">
        <v>8394</v>
      </c>
      <c r="G11" s="1"/>
      <c r="H11" s="2">
        <v>13890</v>
      </c>
    </row>
    <row r="12" spans="1:9">
      <c r="A12" s="7" t="s">
        <v>13</v>
      </c>
      <c r="B12" s="2">
        <v>18487</v>
      </c>
      <c r="C12" s="1"/>
      <c r="D12" s="2">
        <v>34387</v>
      </c>
      <c r="E12" s="1"/>
      <c r="F12" s="2">
        <v>22875</v>
      </c>
      <c r="G12" s="1"/>
      <c r="H12" s="2">
        <v>75749</v>
      </c>
    </row>
    <row r="13" spans="1:9">
      <c r="A13" t="s">
        <v>14</v>
      </c>
      <c r="B13" s="2">
        <v>1320</v>
      </c>
      <c r="C13" s="1"/>
      <c r="D13" s="2">
        <v>7369</v>
      </c>
      <c r="E13" s="1"/>
      <c r="F13" s="2">
        <v>4396</v>
      </c>
      <c r="G13" s="1"/>
      <c r="H13" s="2">
        <v>13085</v>
      </c>
    </row>
    <row r="14" spans="1:9">
      <c r="A14" t="s">
        <v>15</v>
      </c>
      <c r="B14" s="2">
        <v>18047</v>
      </c>
      <c r="C14" s="1"/>
      <c r="D14" s="2">
        <v>38685</v>
      </c>
      <c r="E14" s="1"/>
      <c r="F14" s="2">
        <v>25942</v>
      </c>
      <c r="G14" s="1"/>
      <c r="H14" s="2">
        <v>82674</v>
      </c>
    </row>
    <row r="15" spans="1:9">
      <c r="A15" t="s">
        <v>16</v>
      </c>
      <c r="B15" s="2">
        <v>28611</v>
      </c>
      <c r="C15" s="1"/>
      <c r="D15" s="2">
        <v>45440</v>
      </c>
      <c r="E15" s="1"/>
      <c r="F15" s="2">
        <v>21756</v>
      </c>
      <c r="G15" s="1"/>
      <c r="H15" s="2">
        <v>95807</v>
      </c>
    </row>
    <row r="16" spans="1:9">
      <c r="A16" s="7" t="s">
        <v>17</v>
      </c>
      <c r="B16" s="2">
        <v>211279</v>
      </c>
      <c r="C16" s="1"/>
      <c r="D16" s="2">
        <v>313168</v>
      </c>
      <c r="E16" s="1"/>
      <c r="F16" s="2">
        <v>567675</v>
      </c>
      <c r="G16" s="1"/>
      <c r="H16" s="2">
        <v>1092122</v>
      </c>
    </row>
    <row r="17" spans="1:9">
      <c r="A17" s="7" t="s">
        <v>18</v>
      </c>
      <c r="B17" s="2">
        <v>110041</v>
      </c>
      <c r="C17" s="1"/>
      <c r="D17" s="2">
        <v>86211</v>
      </c>
      <c r="E17" s="1"/>
      <c r="F17" s="2">
        <v>299818</v>
      </c>
      <c r="G17" s="1"/>
      <c r="H17" s="2">
        <v>496070</v>
      </c>
    </row>
    <row r="18" spans="1:9">
      <c r="A18" s="7" t="s">
        <v>19</v>
      </c>
      <c r="B18" s="3">
        <v>17607</v>
      </c>
      <c r="C18" s="1"/>
      <c r="D18" s="3">
        <v>18422</v>
      </c>
      <c r="E18" s="1"/>
      <c r="F18" s="3">
        <v>16211</v>
      </c>
      <c r="G18" s="1"/>
      <c r="H18" s="3">
        <v>52240</v>
      </c>
    </row>
    <row r="19" spans="1:9">
      <c r="A19" t="s">
        <v>20</v>
      </c>
      <c r="B19" s="2">
        <v>432682</v>
      </c>
      <c r="C19" s="1"/>
      <c r="D19" s="2">
        <v>596450</v>
      </c>
      <c r="E19" s="1"/>
      <c r="F19" s="2">
        <v>1000463</v>
      </c>
      <c r="G19" s="1"/>
      <c r="H19" s="2">
        <v>2029595</v>
      </c>
    </row>
    <row r="20" spans="1:9" ht="9" customHeight="1">
      <c r="B20" s="2"/>
      <c r="C20" s="1"/>
      <c r="D20" s="2"/>
      <c r="E20" s="1"/>
      <c r="F20" s="2"/>
      <c r="G20" s="1"/>
      <c r="H20" s="2"/>
    </row>
    <row r="21" spans="1:9" ht="15" thickBot="1">
      <c r="A21" s="7" t="s">
        <v>21</v>
      </c>
      <c r="B21" s="4">
        <v>55757</v>
      </c>
      <c r="C21" s="1" t="s">
        <v>8</v>
      </c>
      <c r="D21" s="4">
        <v>66800</v>
      </c>
      <c r="E21" s="1" t="s">
        <v>8</v>
      </c>
      <c r="F21" s="4">
        <v>57098</v>
      </c>
      <c r="G21" s="1" t="s">
        <v>8</v>
      </c>
      <c r="H21" s="4">
        <v>179655</v>
      </c>
      <c r="I21" t="s">
        <v>8</v>
      </c>
    </row>
    <row r="22" spans="1:9" ht="15" thickTop="1">
      <c r="A22" s="7" t="s">
        <v>22</v>
      </c>
      <c r="B22" s="2">
        <f>B6-B11-50%*B12-B16-77%*B17-B18</f>
        <v>162496.93</v>
      </c>
      <c r="C22" s="2"/>
      <c r="D22" s="2">
        <f t="shared" ref="D22:H22" si="0">D6-D11-50%*D12-D16-77%*D17-D18</f>
        <v>245669.03000000003</v>
      </c>
      <c r="E22" s="2"/>
      <c r="F22" s="2">
        <f t="shared" si="0"/>
        <v>222983.63999999998</v>
      </c>
      <c r="G22" s="2"/>
      <c r="H22" s="2">
        <f t="shared" si="0"/>
        <v>631149.6</v>
      </c>
    </row>
    <row r="25" spans="1:9">
      <c r="A25" s="12" t="s">
        <v>23</v>
      </c>
      <c r="B25" s="10"/>
      <c r="C25" s="10"/>
      <c r="D25" s="10"/>
      <c r="E25" s="10"/>
      <c r="F25" s="10"/>
      <c r="G25" s="10"/>
      <c r="H25" s="10"/>
      <c r="I25" s="10"/>
    </row>
    <row r="26" spans="1:9">
      <c r="A26" s="12" t="s">
        <v>24</v>
      </c>
      <c r="B26" s="10"/>
      <c r="C26" s="10"/>
      <c r="D26" s="10"/>
      <c r="E26" s="10"/>
      <c r="F26" s="10"/>
      <c r="G26" s="10"/>
      <c r="H26" s="10"/>
      <c r="I26" s="10"/>
    </row>
    <row r="27" spans="1:9">
      <c r="A27" s="8"/>
      <c r="G27" s="53" t="s">
        <v>40</v>
      </c>
      <c r="H27" s="53"/>
    </row>
    <row r="28" spans="1:9">
      <c r="A28" s="8"/>
      <c r="B28" s="13" t="s">
        <v>10</v>
      </c>
      <c r="C28" s="13"/>
      <c r="D28" s="13">
        <v>0.79</v>
      </c>
      <c r="E28" s="13"/>
      <c r="F28" s="13" t="s">
        <v>25</v>
      </c>
      <c r="G28" s="53">
        <v>1</v>
      </c>
      <c r="H28" s="53">
        <f>D28*G28</f>
        <v>0.79</v>
      </c>
    </row>
    <row r="29" spans="1:9">
      <c r="A29" s="8"/>
      <c r="B29" t="s">
        <v>11</v>
      </c>
      <c r="D29">
        <v>0.45</v>
      </c>
      <c r="F29" t="s">
        <v>26</v>
      </c>
      <c r="G29" s="53">
        <v>0</v>
      </c>
      <c r="H29" s="53">
        <f t="shared" ref="H29:H37" si="1">D29*G29</f>
        <v>0</v>
      </c>
    </row>
    <row r="30" spans="1:9">
      <c r="A30" s="8"/>
      <c r="B30" s="13" t="s">
        <v>12</v>
      </c>
      <c r="C30" s="13"/>
      <c r="D30" s="13">
        <v>0.16</v>
      </c>
      <c r="E30" s="13"/>
      <c r="F30" s="13" t="s">
        <v>27</v>
      </c>
      <c r="G30" s="54">
        <v>0.77</v>
      </c>
      <c r="H30" s="53">
        <f t="shared" si="1"/>
        <v>0.1232</v>
      </c>
    </row>
    <row r="31" spans="1:9">
      <c r="A31" s="8"/>
      <c r="B31" s="13" t="s">
        <v>13</v>
      </c>
      <c r="C31" s="13"/>
      <c r="D31" s="13">
        <v>0.95</v>
      </c>
      <c r="E31" s="13"/>
      <c r="F31" s="13" t="s">
        <v>28</v>
      </c>
      <c r="G31" s="54">
        <v>0.5</v>
      </c>
      <c r="H31" s="53">
        <f t="shared" si="1"/>
        <v>0.47499999999999998</v>
      </c>
    </row>
    <row r="32" spans="1:9">
      <c r="A32" s="8"/>
      <c r="B32" t="s">
        <v>14</v>
      </c>
      <c r="D32">
        <v>7.0000000000000007E-2</v>
      </c>
      <c r="F32" t="s">
        <v>26</v>
      </c>
      <c r="G32" s="53">
        <v>0</v>
      </c>
      <c r="H32" s="53">
        <f t="shared" si="1"/>
        <v>0</v>
      </c>
    </row>
    <row r="33" spans="1:8">
      <c r="A33" s="8"/>
      <c r="B33" t="s">
        <v>15</v>
      </c>
      <c r="D33">
        <v>0.92</v>
      </c>
      <c r="F33" t="s">
        <v>26</v>
      </c>
      <c r="G33" s="53">
        <v>0</v>
      </c>
      <c r="H33" s="53">
        <f t="shared" si="1"/>
        <v>0</v>
      </c>
    </row>
    <row r="34" spans="1:8">
      <c r="A34" s="8"/>
      <c r="B34" t="s">
        <v>16</v>
      </c>
      <c r="D34">
        <v>1.46</v>
      </c>
      <c r="F34" t="s">
        <v>26</v>
      </c>
      <c r="G34" s="53">
        <v>0</v>
      </c>
      <c r="H34" s="53">
        <f t="shared" si="1"/>
        <v>0</v>
      </c>
    </row>
    <row r="35" spans="1:8">
      <c r="A35" s="8"/>
      <c r="B35" s="13" t="s">
        <v>17</v>
      </c>
      <c r="C35" s="13"/>
      <c r="D35" s="13">
        <v>10.81</v>
      </c>
      <c r="E35" s="13"/>
      <c r="F35" s="13" t="s">
        <v>27</v>
      </c>
      <c r="G35" s="53">
        <v>1</v>
      </c>
      <c r="H35" s="53">
        <f t="shared" si="1"/>
        <v>10.81</v>
      </c>
    </row>
    <row r="36" spans="1:8">
      <c r="B36" s="13" t="s">
        <v>18</v>
      </c>
      <c r="C36" s="13"/>
      <c r="D36" s="13">
        <v>5.63</v>
      </c>
      <c r="E36" s="13"/>
      <c r="F36" s="13" t="s">
        <v>29</v>
      </c>
      <c r="G36" s="55">
        <f>1-23%</f>
        <v>0.77</v>
      </c>
      <c r="H36" s="53">
        <f t="shared" si="1"/>
        <v>4.3350999999999997</v>
      </c>
    </row>
    <row r="37" spans="1:8">
      <c r="B37" s="13" t="s">
        <v>19</v>
      </c>
      <c r="C37" s="13"/>
      <c r="D37" s="16">
        <v>0.9</v>
      </c>
      <c r="E37" s="13"/>
      <c r="F37" s="13" t="s">
        <v>27</v>
      </c>
      <c r="G37" s="53">
        <v>1</v>
      </c>
      <c r="H37" s="56">
        <f t="shared" si="1"/>
        <v>0.9</v>
      </c>
    </row>
    <row r="38" spans="1:8">
      <c r="D38">
        <v>22.14</v>
      </c>
      <c r="E38" t="s">
        <v>8</v>
      </c>
      <c r="G38" s="53"/>
      <c r="H38" s="57">
        <f>SUM(H28:H37)</f>
        <v>17.433299999999999</v>
      </c>
    </row>
    <row r="39" spans="1:8">
      <c r="A39" s="7" t="s">
        <v>30</v>
      </c>
      <c r="B39" s="7"/>
    </row>
    <row r="40" spans="1:8">
      <c r="A40" s="7" t="s">
        <v>31</v>
      </c>
      <c r="B40" s="15">
        <v>23</v>
      </c>
    </row>
    <row r="41" spans="1:8">
      <c r="A41" s="7" t="s">
        <v>27</v>
      </c>
      <c r="B41" s="14">
        <f>D30+D35+0.5*D31+77%*D36+D37+D28</f>
        <v>17.470099999999999</v>
      </c>
    </row>
    <row r="42" spans="1:8">
      <c r="A42" s="7" t="s">
        <v>32</v>
      </c>
      <c r="B42" s="14">
        <f>B40-B41</f>
        <v>5.5299000000000014</v>
      </c>
    </row>
    <row r="44" spans="1:8">
      <c r="A44" t="s">
        <v>33</v>
      </c>
    </row>
    <row r="45" spans="1:8">
      <c r="A45" t="s">
        <v>34</v>
      </c>
    </row>
    <row r="46" spans="1:8">
      <c r="A46" t="s">
        <v>35</v>
      </c>
    </row>
    <row r="47" spans="1:8">
      <c r="A47" t="s">
        <v>36</v>
      </c>
    </row>
    <row r="49" spans="1:14">
      <c r="A49" t="s">
        <v>37</v>
      </c>
      <c r="N49" s="53" t="s">
        <v>41</v>
      </c>
    </row>
    <row r="51" spans="1:14">
      <c r="A51" s="7" t="s">
        <v>38</v>
      </c>
      <c r="B51" s="52" t="s">
        <v>39</v>
      </c>
      <c r="C51" s="52"/>
      <c r="D51" s="52"/>
      <c r="F51" s="5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5EB8-2E8D-4E7B-8872-121125CDC1AD}">
  <dimension ref="A1:D28"/>
  <sheetViews>
    <sheetView tabSelected="1" workbookViewId="0">
      <selection activeCell="H11" sqref="H11"/>
    </sheetView>
  </sheetViews>
  <sheetFormatPr defaultColWidth="11.42578125" defaultRowHeight="14.45"/>
  <cols>
    <col min="1" max="1" width="7.140625" customWidth="1"/>
    <col min="2" max="2" width="67.85546875" customWidth="1"/>
    <col min="3" max="3" width="8" customWidth="1"/>
    <col min="4" max="4" width="43.5703125" customWidth="1"/>
  </cols>
  <sheetData>
    <row r="1" spans="1:4" ht="18">
      <c r="A1" s="51" t="s">
        <v>43</v>
      </c>
      <c r="B1" s="50"/>
      <c r="C1" s="49"/>
      <c r="D1" s="48"/>
    </row>
    <row r="2" spans="1:4" ht="18.600000000000001">
      <c r="A2" s="47" t="s">
        <v>44</v>
      </c>
      <c r="B2" s="45"/>
      <c r="C2" s="46"/>
      <c r="D2" s="45"/>
    </row>
    <row r="3" spans="1:4" ht="18">
      <c r="A3" s="44"/>
      <c r="B3" s="43" t="s">
        <v>45</v>
      </c>
      <c r="C3" s="42" t="s">
        <v>46</v>
      </c>
      <c r="D3" s="41" t="s">
        <v>47</v>
      </c>
    </row>
    <row r="4" spans="1:4">
      <c r="A4" s="61" t="s">
        <v>48</v>
      </c>
      <c r="B4" s="62"/>
      <c r="C4" s="40"/>
      <c r="D4" s="39"/>
    </row>
    <row r="5" spans="1:4">
      <c r="A5" s="38"/>
      <c r="B5" s="37"/>
      <c r="C5" s="34"/>
      <c r="D5" s="36"/>
    </row>
    <row r="6" spans="1:4">
      <c r="A6" s="32"/>
      <c r="B6" s="35" t="s">
        <v>49</v>
      </c>
      <c r="C6" s="34"/>
      <c r="D6" s="33"/>
    </row>
    <row r="7" spans="1:4">
      <c r="A7" s="32" t="s">
        <v>50</v>
      </c>
      <c r="B7" s="31" t="s">
        <v>51</v>
      </c>
      <c r="C7" s="30" t="s">
        <v>52</v>
      </c>
      <c r="D7" s="29" t="s">
        <v>53</v>
      </c>
    </row>
    <row r="8" spans="1:4" ht="24.6">
      <c r="A8" s="32" t="s">
        <v>54</v>
      </c>
      <c r="B8" s="31" t="s">
        <v>55</v>
      </c>
      <c r="C8" s="30" t="s">
        <v>56</v>
      </c>
      <c r="D8" s="29" t="s">
        <v>57</v>
      </c>
    </row>
    <row r="9" spans="1:4">
      <c r="A9" s="32" t="s">
        <v>58</v>
      </c>
      <c r="B9" s="31" t="s">
        <v>59</v>
      </c>
      <c r="C9" s="30" t="s">
        <v>56</v>
      </c>
      <c r="D9" s="29" t="s">
        <v>60</v>
      </c>
    </row>
    <row r="10" spans="1:4" ht="27.95">
      <c r="A10" s="32" t="s">
        <v>61</v>
      </c>
      <c r="B10" s="31" t="s">
        <v>62</v>
      </c>
      <c r="C10" s="30" t="s">
        <v>63</v>
      </c>
      <c r="D10" s="29"/>
    </row>
    <row r="11" spans="1:4" ht="24.6">
      <c r="A11" s="32" t="s">
        <v>64</v>
      </c>
      <c r="B11" s="31" t="s">
        <v>65</v>
      </c>
      <c r="C11" s="30" t="s">
        <v>56</v>
      </c>
      <c r="D11" s="29" t="s">
        <v>66</v>
      </c>
    </row>
    <row r="12" spans="1:4">
      <c r="A12" s="32" t="s">
        <v>67</v>
      </c>
      <c r="B12" s="31" t="s">
        <v>68</v>
      </c>
      <c r="C12" s="30" t="s">
        <v>56</v>
      </c>
      <c r="D12" s="29" t="s">
        <v>69</v>
      </c>
    </row>
    <row r="13" spans="1:4">
      <c r="A13" s="32" t="s">
        <v>70</v>
      </c>
      <c r="B13" s="31" t="s">
        <v>68</v>
      </c>
      <c r="C13" s="30" t="s">
        <v>56</v>
      </c>
      <c r="D13" s="29"/>
    </row>
    <row r="14" spans="1:4">
      <c r="A14" s="32" t="s">
        <v>71</v>
      </c>
      <c r="B14" s="31" t="s">
        <v>68</v>
      </c>
      <c r="C14" s="30" t="s">
        <v>63</v>
      </c>
      <c r="D14" s="29"/>
    </row>
    <row r="15" spans="1:4" ht="36.6">
      <c r="A15" s="32" t="s">
        <v>72</v>
      </c>
      <c r="B15" s="31" t="s">
        <v>73</v>
      </c>
      <c r="C15" s="30" t="s">
        <v>56</v>
      </c>
      <c r="D15" s="29" t="s">
        <v>74</v>
      </c>
    </row>
    <row r="16" spans="1:4" ht="28.5" thickBot="1">
      <c r="A16" s="32" t="s">
        <v>75</v>
      </c>
      <c r="B16" s="31" t="s">
        <v>76</v>
      </c>
      <c r="C16" s="30" t="s">
        <v>63</v>
      </c>
      <c r="D16" s="29" t="s">
        <v>77</v>
      </c>
    </row>
    <row r="17" spans="1:4" ht="18.95" thickBot="1">
      <c r="A17" s="28" t="s">
        <v>78</v>
      </c>
      <c r="B17" s="27"/>
      <c r="C17" s="26" t="s">
        <v>79</v>
      </c>
      <c r="D17" s="25"/>
    </row>
    <row r="18" spans="1:4" ht="8.1" customHeight="1" thickBot="1">
      <c r="A18" s="24"/>
      <c r="B18" s="23"/>
      <c r="C18" s="22"/>
      <c r="D18" s="21"/>
    </row>
    <row r="19" spans="1:4" ht="15" thickBot="1">
      <c r="A19" s="20" t="s">
        <v>80</v>
      </c>
      <c r="B19" s="63" t="s">
        <v>81</v>
      </c>
      <c r="C19" s="64"/>
      <c r="D19" s="65"/>
    </row>
    <row r="20" spans="1:4" ht="15" thickBot="1">
      <c r="A20" s="19" t="s">
        <v>82</v>
      </c>
      <c r="B20" s="66" t="s">
        <v>83</v>
      </c>
      <c r="C20" s="67">
        <v>1</v>
      </c>
      <c r="D20" s="68"/>
    </row>
    <row r="21" spans="1:4" ht="15" thickBot="1">
      <c r="A21" s="19" t="s">
        <v>84</v>
      </c>
      <c r="B21" s="66" t="s">
        <v>85</v>
      </c>
      <c r="C21" s="67">
        <v>3</v>
      </c>
      <c r="D21" s="68"/>
    </row>
    <row r="22" spans="1:4" ht="15" thickBot="1">
      <c r="A22" s="19" t="s">
        <v>79</v>
      </c>
      <c r="B22" s="66" t="s">
        <v>86</v>
      </c>
      <c r="C22" s="67">
        <v>5</v>
      </c>
      <c r="D22" s="68"/>
    </row>
    <row r="23" spans="1:4" ht="15" thickBot="1">
      <c r="A23" s="18" t="s">
        <v>87</v>
      </c>
      <c r="B23" s="58" t="s">
        <v>88</v>
      </c>
      <c r="C23" s="59">
        <v>5</v>
      </c>
      <c r="D23" s="60"/>
    </row>
    <row r="26" spans="1:4" hidden="1">
      <c r="C26" t="s">
        <v>56</v>
      </c>
    </row>
    <row r="27" spans="1:4" hidden="1">
      <c r="C27" t="s">
        <v>63</v>
      </c>
    </row>
    <row r="28" spans="1:4" hidden="1">
      <c r="C28" t="s">
        <v>52</v>
      </c>
    </row>
  </sheetData>
  <mergeCells count="6">
    <mergeCell ref="B23:D23"/>
    <mergeCell ref="A4:B4"/>
    <mergeCell ref="B19:D19"/>
    <mergeCell ref="B20:D20"/>
    <mergeCell ref="B21:D21"/>
    <mergeCell ref="B22:D22"/>
  </mergeCells>
  <conditionalFormatting sqref="B2">
    <cfRule type="colorScale" priority="7">
      <colorScale>
        <cfvo type="min"/>
        <cfvo type="max"/>
        <color rgb="FFFF7128"/>
        <color rgb="FFFFEF9C"/>
      </colorScale>
    </cfRule>
    <cfRule type="containsText" dxfId="5" priority="8" operator="containsText" text=" ">
      <formula>NOT(ISERROR(SEARCH(" ",B2)))</formula>
    </cfRule>
    <cfRule type="containsBlanks" dxfId="4" priority="9">
      <formula>LEN(TRIM(B2))=0</formula>
    </cfRule>
  </conditionalFormatting>
  <conditionalFormatting sqref="C17">
    <cfRule type="colorScale" priority="1">
      <colorScale>
        <cfvo type="min"/>
        <cfvo type="max"/>
        <color rgb="FFFF7128"/>
        <color rgb="FFFFEF9C"/>
      </colorScale>
    </cfRule>
    <cfRule type="containsText" dxfId="3" priority="2" operator="containsText" text=" ">
      <formula>NOT(ISERROR(SEARCH(" ",C17)))</formula>
    </cfRule>
    <cfRule type="containsBlanks" dxfId="2" priority="3">
      <formula>LEN(TRIM(C17))=0</formula>
    </cfRule>
  </conditionalFormatting>
  <conditionalFormatting sqref="D2">
    <cfRule type="colorScale" priority="4">
      <colorScale>
        <cfvo type="min"/>
        <cfvo type="max"/>
        <color rgb="FFFF7128"/>
        <color rgb="FFFFEF9C"/>
      </colorScale>
    </cfRule>
    <cfRule type="containsText" dxfId="1" priority="5" operator="containsText" text=" ">
      <formula>NOT(ISERROR(SEARCH(" ",D2)))</formula>
    </cfRule>
    <cfRule type="containsBlanks" dxfId="0" priority="6">
      <formula>LEN(TRIM(D2))=0</formula>
    </cfRule>
  </conditionalFormatting>
  <dataValidations count="2">
    <dataValidation type="list" allowBlank="1" showInputMessage="1" showErrorMessage="1" sqref="C7:C16" xr:uid="{46EAC166-C891-4198-9CDD-19AF77B6D285}">
      <formula1>$C$26:$C$28</formula1>
    </dataValidation>
    <dataValidation type="list" allowBlank="1" showInputMessage="1" showErrorMessage="1" sqref="C17" xr:uid="{6EC7AF20-D1A1-48A5-8997-840CE6984613}">
      <formula1>$A$19:$A$23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B283919F7A04E9CDC443BFD166F77" ma:contentTypeVersion="4" ma:contentTypeDescription="Create a new document." ma:contentTypeScope="" ma:versionID="12ec5126627feb4d615406ac977e398d">
  <xsd:schema xmlns:xsd="http://www.w3.org/2001/XMLSchema" xmlns:xs="http://www.w3.org/2001/XMLSchema" xmlns:p="http://schemas.microsoft.com/office/2006/metadata/properties" xmlns:ns2="5674f0a4-3645-4119-81c3-d28b34f876e3" targetNamespace="http://schemas.microsoft.com/office/2006/metadata/properties" ma:root="true" ma:fieldsID="2766d383dfafd6154fd78088492871af" ns2:_="">
    <xsd:import namespace="5674f0a4-3645-4119-81c3-d28b34f87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4f0a4-3645-4119-81c3-d28b34f87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0A27A-3151-42AC-8B8E-211991CAF6BF}"/>
</file>

<file path=customXml/itemProps2.xml><?xml version="1.0" encoding="utf-8"?>
<ds:datastoreItem xmlns:ds="http://schemas.openxmlformats.org/officeDocument/2006/customXml" ds:itemID="{3984BEB5-495D-42F2-9832-6B9424B1FCEC}"/>
</file>

<file path=customXml/itemProps3.xml><?xml version="1.0" encoding="utf-8"?>
<ds:datastoreItem xmlns:ds="http://schemas.openxmlformats.org/officeDocument/2006/customXml" ds:itemID="{357AEFF6-23B7-4DD6-A445-9CC316D21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claude laurin</dc:creator>
  <cp:keywords/>
  <dc:description/>
  <cp:lastModifiedBy>Marc-Olivier Pelletier</cp:lastModifiedBy>
  <cp:revision/>
  <dcterms:created xsi:type="dcterms:W3CDTF">2024-08-31T13:32:22Z</dcterms:created>
  <dcterms:modified xsi:type="dcterms:W3CDTF">2025-01-15T13:52:12Z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0x010100DF4B283919F7A04E9CDC443BFD166F77</vt:lpwstr>
  </property>
</Properties>
</file>