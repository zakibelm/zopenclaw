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S\Contrôle de gestion stratégique\Séance 12\"/>
    </mc:Choice>
  </mc:AlternateContent>
  <xr:revisionPtr revIDLastSave="0" documentId="13_ncr:1_{78A49B98-051E-4DD3-90D6-DF5C90B9DB9C}" xr6:coauthVersionLast="47" xr6:coauthVersionMax="47" xr10:uidLastSave="{00000000-0000-0000-0000-000000000000}"/>
  <bookViews>
    <workbookView xWindow="-108" yWindow="-108" windowWidth="23256" windowHeight="13896" activeTab="3" xr2:uid="{4D0237FD-D215-4FE9-AD11-6042F66D49FC}"/>
  </bookViews>
  <sheets>
    <sheet name="Feuil1" sheetId="1" r:id="rId1"/>
    <sheet name="Volumes" sheetId="2" r:id="rId2"/>
    <sheet name="Option 1" sheetId="3" r:id="rId3"/>
    <sheet name="Option 2" sheetId="4" r:id="rId4"/>
    <sheet name="Option 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F5" i="5"/>
  <c r="F6" i="5"/>
  <c r="F7" i="5"/>
  <c r="F8" i="5"/>
  <c r="G8" i="5"/>
  <c r="D8" i="5"/>
  <c r="E8" i="5"/>
  <c r="M8" i="3"/>
  <c r="M10" i="3" s="1"/>
  <c r="I35" i="3" s="1"/>
  <c r="M3" i="3"/>
  <c r="K4" i="5"/>
  <c r="G7" i="5"/>
  <c r="H6" i="5"/>
  <c r="I6" i="5" s="1"/>
  <c r="J6" i="5" s="1"/>
  <c r="K6" i="5" s="1"/>
  <c r="H5" i="5"/>
  <c r="I5" i="5" s="1"/>
  <c r="J5" i="5" s="1"/>
  <c r="K5" i="5" s="1"/>
  <c r="H4" i="5"/>
  <c r="I4" i="5" s="1"/>
  <c r="J4" i="5" s="1"/>
  <c r="L12" i="4"/>
  <c r="K21" i="3"/>
  <c r="K22" i="3"/>
  <c r="K23" i="3"/>
  <c r="G5" i="4"/>
  <c r="I32" i="3"/>
  <c r="M4" i="3"/>
  <c r="M5" i="3"/>
  <c r="M6" i="3"/>
  <c r="M7" i="3"/>
  <c r="F8" i="4"/>
  <c r="I8" i="4" s="1"/>
  <c r="F7" i="4"/>
  <c r="I7" i="4" s="1"/>
  <c r="F6" i="4"/>
  <c r="I6" i="4" s="1"/>
  <c r="F5" i="4"/>
  <c r="I5" i="4" s="1"/>
  <c r="F4" i="4"/>
  <c r="I4" i="4" s="1"/>
  <c r="J4" i="4" s="1"/>
  <c r="H4" i="3"/>
  <c r="I24" i="3"/>
  <c r="I30" i="3"/>
  <c r="I29" i="3"/>
  <c r="I28" i="3"/>
  <c r="H29" i="3"/>
  <c r="G29" i="3"/>
  <c r="F29" i="3"/>
  <c r="E29" i="3"/>
  <c r="D29" i="3"/>
  <c r="C29" i="3"/>
  <c r="B29" i="3"/>
  <c r="D28" i="3"/>
  <c r="E28" i="3"/>
  <c r="C28" i="3"/>
  <c r="B7" i="3"/>
  <c r="E22" i="3"/>
  <c r="E21" i="3"/>
  <c r="F7" i="3"/>
  <c r="H7" i="3" s="1"/>
  <c r="I7" i="3" s="1"/>
  <c r="J7" i="3" s="1"/>
  <c r="K7" i="3" s="1"/>
  <c r="F6" i="3"/>
  <c r="G6" i="3" s="1"/>
  <c r="F5" i="3"/>
  <c r="H5" i="3" s="1"/>
  <c r="I5" i="3" s="1"/>
  <c r="J5" i="3" s="1"/>
  <c r="K5" i="3" s="1"/>
  <c r="F4" i="3"/>
  <c r="B21" i="3" s="1"/>
  <c r="B22" i="3" s="1"/>
  <c r="F3" i="3"/>
  <c r="H3" i="3" s="1"/>
  <c r="I3" i="3" s="1"/>
  <c r="J3" i="3" s="1"/>
  <c r="K3" i="3" s="1"/>
  <c r="K4" i="2"/>
  <c r="K5" i="2"/>
  <c r="K6" i="2"/>
  <c r="K7" i="2"/>
  <c r="K3" i="2"/>
  <c r="J4" i="2"/>
  <c r="J5" i="2"/>
  <c r="J6" i="2"/>
  <c r="J7" i="2"/>
  <c r="J3" i="2"/>
  <c r="I7" i="2"/>
  <c r="I4" i="2"/>
  <c r="I5" i="2"/>
  <c r="I6" i="2"/>
  <c r="I3" i="2"/>
  <c r="H4" i="2"/>
  <c r="H5" i="2"/>
  <c r="H6" i="2"/>
  <c r="H7" i="2"/>
  <c r="H3" i="2"/>
  <c r="G6" i="2"/>
  <c r="G7" i="2"/>
  <c r="G4" i="2"/>
  <c r="G5" i="2"/>
  <c r="G8" i="2" s="1"/>
  <c r="C14" i="2" s="1"/>
  <c r="G3" i="2"/>
  <c r="F4" i="2"/>
  <c r="F5" i="2"/>
  <c r="F6" i="2"/>
  <c r="F7" i="2"/>
  <c r="F3" i="2"/>
  <c r="B2" i="1"/>
  <c r="H8" i="5" l="1"/>
  <c r="I8" i="5" s="1"/>
  <c r="J8" i="5" s="1"/>
  <c r="K8" i="5" s="1"/>
  <c r="G9" i="5"/>
  <c r="G15" i="5" s="1"/>
  <c r="G4" i="5"/>
  <c r="G6" i="5"/>
  <c r="G5" i="5"/>
  <c r="H7" i="5"/>
  <c r="I7" i="5" s="1"/>
  <c r="J7" i="5" s="1"/>
  <c r="K7" i="5" s="1"/>
  <c r="J5" i="4"/>
  <c r="K5" i="4" s="1"/>
  <c r="L5" i="4" s="1"/>
  <c r="J8" i="4"/>
  <c r="K8" i="4" s="1"/>
  <c r="L8" i="4" s="1"/>
  <c r="J7" i="4"/>
  <c r="K7" i="4" s="1"/>
  <c r="L7" i="4" s="1"/>
  <c r="J6" i="4"/>
  <c r="K6" i="4" s="1"/>
  <c r="L6" i="4" s="1"/>
  <c r="K4" i="4"/>
  <c r="L4" i="4" s="1"/>
  <c r="H5" i="4"/>
  <c r="H7" i="4"/>
  <c r="H4" i="4"/>
  <c r="H6" i="4"/>
  <c r="H8" i="4"/>
  <c r="F28" i="3"/>
  <c r="H28" i="3"/>
  <c r="G28" i="3"/>
  <c r="I4" i="3"/>
  <c r="J4" i="3" s="1"/>
  <c r="K4" i="3" s="1"/>
  <c r="C22" i="3"/>
  <c r="D23" i="3"/>
  <c r="F23" i="3" s="1"/>
  <c r="H23" i="3" s="1"/>
  <c r="D21" i="3"/>
  <c r="F21" i="3" s="1"/>
  <c r="H21" i="3" s="1"/>
  <c r="I21" i="3" s="1"/>
  <c r="D22" i="3"/>
  <c r="F22" i="3" s="1"/>
  <c r="H22" i="3" s="1"/>
  <c r="G7" i="3"/>
  <c r="G3" i="3"/>
  <c r="H6" i="3"/>
  <c r="I6" i="3" s="1"/>
  <c r="J6" i="3" s="1"/>
  <c r="K6" i="3" s="1"/>
  <c r="G4" i="3"/>
  <c r="K9" i="5" l="1"/>
  <c r="K11" i="5" s="1"/>
  <c r="L9" i="4"/>
  <c r="H9" i="4"/>
  <c r="C16" i="4" s="1"/>
  <c r="I22" i="3"/>
  <c r="G22" i="3"/>
  <c r="G21" i="3"/>
  <c r="B23" i="3"/>
  <c r="C23" i="3" s="1"/>
  <c r="I23" i="3" s="1"/>
  <c r="G23" i="3" l="1"/>
  <c r="G5" i="3" l="1"/>
  <c r="G8" i="3" s="1"/>
</calcChain>
</file>

<file path=xl/sharedStrings.xml><?xml version="1.0" encoding="utf-8"?>
<sst xmlns="http://schemas.openxmlformats.org/spreadsheetml/2006/main" count="127" uniqueCount="47">
  <si>
    <t>16H47</t>
  </si>
  <si>
    <t>Casse tete</t>
  </si>
  <si>
    <t>Calandrier</t>
  </si>
  <si>
    <t>Vehicule jouet</t>
  </si>
  <si>
    <t>Accesoir de vélo</t>
  </si>
  <si>
    <t>Jetro</t>
  </si>
  <si>
    <t>Produit</t>
  </si>
  <si>
    <t>Demande combinée pour T1 et T2 de 2021</t>
  </si>
  <si>
    <t xml:space="preserve">Prix moyen </t>
  </si>
  <si>
    <t xml:space="preserve">Cout de main d'ouvre direct </t>
  </si>
  <si>
    <t>Cou de MP</t>
  </si>
  <si>
    <t>H/MOD</t>
  </si>
  <si>
    <t>Par unité</t>
  </si>
  <si>
    <t>Nombre total HMOD</t>
  </si>
  <si>
    <t>Cout indirect variable</t>
  </si>
  <si>
    <t>Total cout variable</t>
  </si>
  <si>
    <t>MCV</t>
  </si>
  <si>
    <t>MCV/H/MOD</t>
  </si>
  <si>
    <t>Priorité de production</t>
  </si>
  <si>
    <t>Heure de MOD disponible</t>
  </si>
  <si>
    <t>Total</t>
  </si>
  <si>
    <t>HMOD Manquante</t>
  </si>
  <si>
    <t>Calendrier</t>
  </si>
  <si>
    <t>HMOD</t>
  </si>
  <si>
    <t>Unité a produire</t>
  </si>
  <si>
    <t>plus HMOD</t>
  </si>
  <si>
    <t>jusqu'au HMOD</t>
  </si>
  <si>
    <t>Total cout variable unitaire</t>
  </si>
  <si>
    <t>C variable Total</t>
  </si>
  <si>
    <t>Priorité de production en interne</t>
  </si>
  <si>
    <t>MCV total</t>
  </si>
  <si>
    <t xml:space="preserve">Cout indirects fixes </t>
  </si>
  <si>
    <t>JETRO</t>
  </si>
  <si>
    <t>Profit Potentiel</t>
  </si>
  <si>
    <t xml:space="preserve">Si on produit en externe </t>
  </si>
  <si>
    <t xml:space="preserve">650 k calendrier et 400 K véhicul jouet </t>
  </si>
  <si>
    <t>Profit cible</t>
  </si>
  <si>
    <t>Hypothese BBI choisi le produit calendrier et le produit Jouet</t>
  </si>
  <si>
    <t>Hypothese BBI choisi le produit calendrier et le produit Jetro</t>
  </si>
  <si>
    <t>Cout HMOD supplementaires</t>
  </si>
  <si>
    <t xml:space="preserve">Cout indirect fixes </t>
  </si>
  <si>
    <t>362500 JETRO</t>
  </si>
  <si>
    <t>Cout indirect fixes supplementaires</t>
  </si>
  <si>
    <t>Profit potentiel</t>
  </si>
  <si>
    <t>Cout idirect fixes</t>
  </si>
  <si>
    <t>Capacité total</t>
  </si>
  <si>
    <t>Capacité excedentaire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</si>
</sst>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0.0000"/>
    <numFmt numFmtId="165" formatCode="_ * #,##0.00_)\ _$_ ;_ * \(#,##0.00\)\ _$_ ;_ * &quot;-&quot;??_)\ _$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43" fontId="0" fillId="0" borderId="0" xfId="1" applyFont="1"/>
    <xf numFmtId="165" fontId="0" fillId="0" borderId="0" xfId="0" applyNumberFormat="1"/>
    <xf numFmtId="0" fontId="0" fillId="2" borderId="0" xfId="0" applyFill="1"/>
    <xf numFmtId="43" fontId="0" fillId="2" borderId="0" xfId="1" applyFont="1" applyFill="1"/>
    <xf numFmtId="165" fontId="0" fillId="2" borderId="0" xfId="0" applyNumberFormat="1" applyFill="1"/>
    <xf numFmtId="43" fontId="0" fillId="0" borderId="0" xfId="0" applyNumberFormat="1"/>
    <xf numFmtId="43" fontId="0" fillId="3" borderId="0" xfId="1" applyFont="1" applyFill="1"/>
    <xf numFmtId="0" fontId="0" fillId="3" borderId="0" xfId="0" applyFill="1"/>
    <xf numFmtId="165" fontId="0" fillId="3" borderId="0" xfId="0" applyNumberFormat="1" applyFill="1"/>
    <xf numFmtId="0" fontId="0" fillId="0" borderId="0" xfId="0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F079-6EAC-48B1-BB0F-D16668D0804A}">
  <dimension ref="A1:C7"/>
  <sheetViews>
    <sheetView workbookViewId="0">
      <selection activeCell="K23" sqref="K23"/>
    </sheetView>
  </sheetViews>
  <sheetFormatPr baseColWidth="10" defaultRowHeight="14.4" x14ac:dyDescent="0.3"/>
  <sheetData>
    <row r="1" spans="1:3" x14ac:dyDescent="0.3">
      <c r="A1" t="s">
        <v>0</v>
      </c>
    </row>
    <row r="2" spans="1:3" x14ac:dyDescent="0.3">
      <c r="A2">
        <v>90</v>
      </c>
      <c r="B2">
        <f>+A2*0.2</f>
        <v>18</v>
      </c>
    </row>
    <row r="7" spans="1:3" x14ac:dyDescent="0.3">
      <c r="C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F361-281B-4916-82AD-F72E3C7CC5AF}">
  <dimension ref="A1:L14"/>
  <sheetViews>
    <sheetView workbookViewId="0">
      <selection activeCell="D7" sqref="D7"/>
    </sheetView>
  </sheetViews>
  <sheetFormatPr baseColWidth="10" defaultRowHeight="14.4" x14ac:dyDescent="0.3"/>
  <cols>
    <col min="1" max="1" width="21.44140625" bestFit="1" customWidth="1"/>
    <col min="2" max="3" width="13.44140625" bestFit="1" customWidth="1"/>
    <col min="7" max="7" width="17.21875" bestFit="1" customWidth="1"/>
    <col min="8" max="8" width="11.21875" bestFit="1" customWidth="1"/>
    <col min="9" max="9" width="15.44140625" bestFit="1" customWidth="1"/>
    <col min="12" max="12" width="9.6640625" bestFit="1" customWidth="1"/>
  </cols>
  <sheetData>
    <row r="1" spans="1:12" ht="57.6" x14ac:dyDescent="0.3">
      <c r="A1" t="s">
        <v>12</v>
      </c>
      <c r="B1" s="2" t="s">
        <v>7</v>
      </c>
      <c r="C1" t="s">
        <v>8</v>
      </c>
      <c r="D1" s="2" t="s">
        <v>9</v>
      </c>
      <c r="E1" t="s">
        <v>10</v>
      </c>
      <c r="F1" s="2" t="s">
        <v>11</v>
      </c>
      <c r="G1" t="s">
        <v>13</v>
      </c>
      <c r="H1" s="2" t="s">
        <v>14</v>
      </c>
      <c r="I1" t="s">
        <v>15</v>
      </c>
      <c r="J1" s="2" t="s">
        <v>16</v>
      </c>
      <c r="K1" t="s">
        <v>17</v>
      </c>
      <c r="L1" s="2" t="s">
        <v>18</v>
      </c>
    </row>
    <row r="2" spans="1:12" x14ac:dyDescent="0.3">
      <c r="A2" t="s">
        <v>6</v>
      </c>
    </row>
    <row r="3" spans="1:12" x14ac:dyDescent="0.3">
      <c r="A3" t="s">
        <v>1</v>
      </c>
      <c r="B3" s="3">
        <v>1000000</v>
      </c>
      <c r="C3" s="3">
        <v>14</v>
      </c>
      <c r="D3" s="3">
        <v>3.75</v>
      </c>
      <c r="E3" s="3">
        <v>4</v>
      </c>
      <c r="F3" s="3">
        <f>+D3/15</f>
        <v>0.25</v>
      </c>
      <c r="G3" s="4">
        <f>+F3*B3</f>
        <v>250000</v>
      </c>
      <c r="H3" s="4">
        <f>6*F3</f>
        <v>1.5</v>
      </c>
      <c r="I3" s="4">
        <f>+H3+E3+D3</f>
        <v>9.25</v>
      </c>
      <c r="J3" s="4">
        <f>+C3-I3</f>
        <v>4.75</v>
      </c>
      <c r="K3" s="4">
        <f>+J3/F3</f>
        <v>19</v>
      </c>
      <c r="L3">
        <v>3</v>
      </c>
    </row>
    <row r="4" spans="1:12" x14ac:dyDescent="0.3">
      <c r="A4" t="s">
        <v>2</v>
      </c>
      <c r="B4" s="3">
        <v>650000</v>
      </c>
      <c r="C4" s="3">
        <v>15</v>
      </c>
      <c r="D4" s="3">
        <v>3.75</v>
      </c>
      <c r="E4" s="3">
        <v>3</v>
      </c>
      <c r="F4" s="3">
        <f t="shared" ref="F4:F7" si="0">+D4/15</f>
        <v>0.25</v>
      </c>
      <c r="G4" s="4">
        <f t="shared" ref="G4:G5" si="1">+F4*B4</f>
        <v>162500</v>
      </c>
      <c r="H4" s="4">
        <f t="shared" ref="H4:H7" si="2">6*F4</f>
        <v>1.5</v>
      </c>
      <c r="I4" s="4">
        <f t="shared" ref="I4:I6" si="3">+H4+E4+D4</f>
        <v>8.25</v>
      </c>
      <c r="J4" s="4">
        <f t="shared" ref="J4:J7" si="4">+C4-I4</f>
        <v>6.75</v>
      </c>
      <c r="K4" s="4">
        <f t="shared" ref="K4:K7" si="5">+J4/F4</f>
        <v>27</v>
      </c>
      <c r="L4">
        <v>1</v>
      </c>
    </row>
    <row r="5" spans="1:12" x14ac:dyDescent="0.3">
      <c r="A5" t="s">
        <v>3</v>
      </c>
      <c r="B5" s="3">
        <v>950000</v>
      </c>
      <c r="C5" s="3">
        <v>31.5</v>
      </c>
      <c r="D5" s="3">
        <v>7.5</v>
      </c>
      <c r="E5" s="3">
        <v>8</v>
      </c>
      <c r="F5" s="3">
        <f t="shared" si="0"/>
        <v>0.5</v>
      </c>
      <c r="G5" s="4">
        <f t="shared" si="1"/>
        <v>475000</v>
      </c>
      <c r="H5" s="4">
        <f t="shared" si="2"/>
        <v>3</v>
      </c>
      <c r="I5" s="4">
        <f t="shared" si="3"/>
        <v>18.5</v>
      </c>
      <c r="J5" s="4">
        <f t="shared" si="4"/>
        <v>13</v>
      </c>
      <c r="K5" s="4">
        <f t="shared" si="5"/>
        <v>26</v>
      </c>
      <c r="L5">
        <v>2</v>
      </c>
    </row>
    <row r="6" spans="1:12" x14ac:dyDescent="0.3">
      <c r="A6" s="5" t="s">
        <v>4</v>
      </c>
      <c r="B6" s="6">
        <v>1250000</v>
      </c>
      <c r="C6" s="6">
        <v>22</v>
      </c>
      <c r="D6" s="6">
        <v>7.5</v>
      </c>
      <c r="E6" s="6">
        <v>9</v>
      </c>
      <c r="F6" s="6">
        <f t="shared" si="0"/>
        <v>0.5</v>
      </c>
      <c r="G6" s="7">
        <f>+F6*B6</f>
        <v>625000</v>
      </c>
      <c r="H6" s="7">
        <f t="shared" si="2"/>
        <v>3</v>
      </c>
      <c r="I6" s="7">
        <f t="shared" si="3"/>
        <v>19.5</v>
      </c>
      <c r="J6" s="7">
        <f t="shared" si="4"/>
        <v>2.5</v>
      </c>
      <c r="K6" s="7">
        <f t="shared" si="5"/>
        <v>5</v>
      </c>
      <c r="L6" s="5">
        <v>4</v>
      </c>
    </row>
    <row r="7" spans="1:12" x14ac:dyDescent="0.3">
      <c r="A7" s="5" t="s">
        <v>5</v>
      </c>
      <c r="B7" s="6">
        <v>1350000</v>
      </c>
      <c r="C7" s="6">
        <v>53</v>
      </c>
      <c r="D7" s="6">
        <v>15</v>
      </c>
      <c r="E7" s="6">
        <v>29</v>
      </c>
      <c r="F7" s="6">
        <f t="shared" si="0"/>
        <v>1</v>
      </c>
      <c r="G7" s="7">
        <f>+F7*B7</f>
        <v>1350000</v>
      </c>
      <c r="H7" s="7">
        <f t="shared" si="2"/>
        <v>6</v>
      </c>
      <c r="I7" s="7">
        <f>+H7+E7+D7</f>
        <v>50</v>
      </c>
      <c r="J7" s="7">
        <f t="shared" si="4"/>
        <v>3</v>
      </c>
      <c r="K7" s="7">
        <f t="shared" si="5"/>
        <v>3</v>
      </c>
      <c r="L7" s="5">
        <v>5</v>
      </c>
    </row>
    <row r="8" spans="1:12" x14ac:dyDescent="0.3">
      <c r="A8" t="s">
        <v>20</v>
      </c>
      <c r="B8" s="8"/>
      <c r="G8" s="4">
        <f>SUM(G3:G7)</f>
        <v>2862500</v>
      </c>
    </row>
    <row r="12" spans="1:12" x14ac:dyDescent="0.3">
      <c r="A12" t="s">
        <v>19</v>
      </c>
      <c r="C12" s="3">
        <v>2500000</v>
      </c>
    </row>
    <row r="14" spans="1:12" x14ac:dyDescent="0.3">
      <c r="A14" t="s">
        <v>21</v>
      </c>
      <c r="C14" s="4">
        <f>+C12-G8</f>
        <v>-362500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ADA-0B31-4312-BFF6-AAEA20674267}">
  <dimension ref="A1:M36"/>
  <sheetViews>
    <sheetView topLeftCell="A19" workbookViewId="0">
      <selection activeCell="M16" sqref="M16"/>
    </sheetView>
  </sheetViews>
  <sheetFormatPr baseColWidth="10" defaultRowHeight="14.4" x14ac:dyDescent="0.3"/>
  <cols>
    <col min="1" max="1" width="21.44140625" bestFit="1" customWidth="1"/>
    <col min="2" max="2" width="13.44140625" bestFit="1" customWidth="1"/>
    <col min="3" max="3" width="13.77734375" bestFit="1" customWidth="1"/>
    <col min="4" max="4" width="11.44140625" bestFit="1" customWidth="1"/>
    <col min="6" max="6" width="22.109375" bestFit="1" customWidth="1"/>
    <col min="7" max="7" width="17.21875" bestFit="1" customWidth="1"/>
    <col min="8" max="8" width="11.21875" bestFit="1" customWidth="1"/>
    <col min="9" max="9" width="15.44140625" bestFit="1" customWidth="1"/>
    <col min="10" max="10" width="12.44140625" bestFit="1" customWidth="1"/>
    <col min="11" max="11" width="13.77734375" bestFit="1" customWidth="1"/>
    <col min="12" max="12" width="9.6640625" customWidth="1"/>
    <col min="13" max="13" width="14.77734375" bestFit="1" customWidth="1"/>
  </cols>
  <sheetData>
    <row r="1" spans="1:13" ht="57.6" x14ac:dyDescent="0.3">
      <c r="A1" t="s">
        <v>12</v>
      </c>
      <c r="B1" s="2" t="s">
        <v>7</v>
      </c>
      <c r="C1" t="s">
        <v>8</v>
      </c>
      <c r="D1" s="2" t="s">
        <v>9</v>
      </c>
      <c r="E1" t="s">
        <v>10</v>
      </c>
      <c r="F1" s="2" t="s">
        <v>11</v>
      </c>
      <c r="G1" t="s">
        <v>13</v>
      </c>
      <c r="H1" s="2" t="s">
        <v>14</v>
      </c>
      <c r="I1" t="s">
        <v>15</v>
      </c>
      <c r="J1" s="2" t="s">
        <v>16</v>
      </c>
      <c r="K1" t="s">
        <v>17</v>
      </c>
      <c r="L1" s="2" t="s">
        <v>29</v>
      </c>
      <c r="M1" t="s">
        <v>30</v>
      </c>
    </row>
    <row r="2" spans="1:13" x14ac:dyDescent="0.3">
      <c r="A2" t="s">
        <v>6</v>
      </c>
    </row>
    <row r="3" spans="1:13" x14ac:dyDescent="0.3">
      <c r="A3" t="s">
        <v>1</v>
      </c>
      <c r="B3" s="3">
        <v>1000000</v>
      </c>
      <c r="C3" s="3">
        <v>14</v>
      </c>
      <c r="D3" s="3">
        <v>3.75</v>
      </c>
      <c r="E3" s="3">
        <v>4</v>
      </c>
      <c r="F3" s="3">
        <f>+D3/15</f>
        <v>0.25</v>
      </c>
      <c r="G3" s="4">
        <f>+F3*B3</f>
        <v>250000</v>
      </c>
      <c r="H3" s="4">
        <f>6*F3</f>
        <v>1.5</v>
      </c>
      <c r="I3" s="4">
        <f>+H3+E3+D3</f>
        <v>9.25</v>
      </c>
      <c r="J3" s="4">
        <f>+C3-I3</f>
        <v>4.75</v>
      </c>
      <c r="K3" s="4">
        <f>+J3/F3</f>
        <v>19</v>
      </c>
      <c r="L3">
        <v>3</v>
      </c>
      <c r="M3" s="4">
        <f>+J3*B3</f>
        <v>4750000</v>
      </c>
    </row>
    <row r="4" spans="1:13" x14ac:dyDescent="0.3">
      <c r="A4" t="s">
        <v>2</v>
      </c>
      <c r="B4" s="3">
        <v>650000</v>
      </c>
      <c r="C4" s="3">
        <v>15</v>
      </c>
      <c r="D4" s="3">
        <v>3.75</v>
      </c>
      <c r="E4" s="3">
        <v>3</v>
      </c>
      <c r="F4" s="9">
        <f t="shared" ref="F4:F7" si="0">+D4/15</f>
        <v>0.25</v>
      </c>
      <c r="G4" s="4">
        <f t="shared" ref="G4:G5" si="1">+F4*B4</f>
        <v>162500</v>
      </c>
      <c r="H4" s="4">
        <f>6*F4</f>
        <v>1.5</v>
      </c>
      <c r="I4" s="4">
        <f t="shared" ref="I4:I6" si="2">+H4+E4+D4</f>
        <v>8.25</v>
      </c>
      <c r="J4" s="4">
        <f t="shared" ref="J4:J7" si="3">+C4-I4</f>
        <v>6.75</v>
      </c>
      <c r="K4" s="4">
        <f t="shared" ref="K4:K7" si="4">+J4/F4</f>
        <v>27</v>
      </c>
      <c r="L4" s="10">
        <v>1</v>
      </c>
      <c r="M4" s="4">
        <f t="shared" ref="M4:M7" si="5">+J4*B4</f>
        <v>4387500</v>
      </c>
    </row>
    <row r="5" spans="1:13" x14ac:dyDescent="0.3">
      <c r="A5" t="s">
        <v>3</v>
      </c>
      <c r="B5" s="3">
        <v>950000</v>
      </c>
      <c r="C5" s="3">
        <v>31.5</v>
      </c>
      <c r="D5" s="3">
        <v>7.5</v>
      </c>
      <c r="E5" s="3">
        <v>8</v>
      </c>
      <c r="F5" s="9">
        <f t="shared" si="0"/>
        <v>0.5</v>
      </c>
      <c r="G5" s="4">
        <f t="shared" si="1"/>
        <v>475000</v>
      </c>
      <c r="H5" s="4">
        <f t="shared" ref="H5:H7" si="6">6*F5</f>
        <v>3</v>
      </c>
      <c r="I5" s="4">
        <f t="shared" si="2"/>
        <v>18.5</v>
      </c>
      <c r="J5" s="4">
        <f t="shared" si="3"/>
        <v>13</v>
      </c>
      <c r="K5" s="4">
        <f t="shared" si="4"/>
        <v>26</v>
      </c>
      <c r="L5" s="10">
        <v>2</v>
      </c>
      <c r="M5" s="4">
        <f t="shared" si="5"/>
        <v>12350000</v>
      </c>
    </row>
    <row r="6" spans="1:13" x14ac:dyDescent="0.3">
      <c r="A6" s="5" t="s">
        <v>4</v>
      </c>
      <c r="B6" s="6">
        <v>1250000</v>
      </c>
      <c r="C6" s="6">
        <v>22</v>
      </c>
      <c r="D6" s="6">
        <v>7.5</v>
      </c>
      <c r="E6" s="6">
        <v>9</v>
      </c>
      <c r="F6" s="6">
        <f t="shared" si="0"/>
        <v>0.5</v>
      </c>
      <c r="G6" s="7">
        <f>+F6*B6</f>
        <v>625000</v>
      </c>
      <c r="H6" s="7">
        <f t="shared" si="6"/>
        <v>3</v>
      </c>
      <c r="I6" s="7">
        <f t="shared" si="2"/>
        <v>19.5</v>
      </c>
      <c r="J6" s="7">
        <f t="shared" si="3"/>
        <v>2.5</v>
      </c>
      <c r="K6" s="7">
        <f t="shared" si="4"/>
        <v>5</v>
      </c>
      <c r="L6" s="5">
        <v>4</v>
      </c>
      <c r="M6" s="4">
        <f t="shared" si="5"/>
        <v>3125000</v>
      </c>
    </row>
    <row r="7" spans="1:13" x14ac:dyDescent="0.3">
      <c r="A7" s="5" t="s">
        <v>5</v>
      </c>
      <c r="B7" s="6">
        <f>1350000+C15</f>
        <v>987500</v>
      </c>
      <c r="C7" s="6">
        <v>53</v>
      </c>
      <c r="D7" s="6">
        <v>15</v>
      </c>
      <c r="E7" s="6">
        <v>29</v>
      </c>
      <c r="F7" s="6">
        <f t="shared" si="0"/>
        <v>1</v>
      </c>
      <c r="G7" s="7">
        <f>+F7*B7</f>
        <v>987500</v>
      </c>
      <c r="H7" s="7">
        <f t="shared" si="6"/>
        <v>6</v>
      </c>
      <c r="I7" s="7">
        <f>+H7+E7+D7</f>
        <v>50</v>
      </c>
      <c r="J7" s="7">
        <f t="shared" si="3"/>
        <v>3</v>
      </c>
      <c r="K7" s="7">
        <f t="shared" si="4"/>
        <v>3</v>
      </c>
      <c r="L7" s="5">
        <v>5</v>
      </c>
      <c r="M7" s="4">
        <f t="shared" si="5"/>
        <v>2962500</v>
      </c>
    </row>
    <row r="8" spans="1:13" x14ac:dyDescent="0.3">
      <c r="A8" t="s">
        <v>20</v>
      </c>
      <c r="B8" s="8"/>
      <c r="G8" s="4">
        <f>SUM(G3:G7)</f>
        <v>2500000</v>
      </c>
      <c r="M8" s="4">
        <f>+SUM(M3:M7)</f>
        <v>27575000</v>
      </c>
    </row>
    <row r="9" spans="1:13" x14ac:dyDescent="0.3">
      <c r="A9" t="s">
        <v>31</v>
      </c>
      <c r="M9" s="3">
        <v>20000000</v>
      </c>
    </row>
    <row r="10" spans="1:13" x14ac:dyDescent="0.3">
      <c r="A10" t="s">
        <v>33</v>
      </c>
      <c r="M10" s="4">
        <f>+M8-M9</f>
        <v>7575000</v>
      </c>
    </row>
    <row r="12" spans="1:13" x14ac:dyDescent="0.3">
      <c r="M12" s="4"/>
    </row>
    <row r="13" spans="1:13" x14ac:dyDescent="0.3">
      <c r="A13" t="s">
        <v>19</v>
      </c>
      <c r="C13" s="3">
        <v>2500000</v>
      </c>
    </row>
    <row r="15" spans="1:13" x14ac:dyDescent="0.3">
      <c r="A15" t="s">
        <v>21</v>
      </c>
      <c r="C15" s="4">
        <v>-362500</v>
      </c>
    </row>
    <row r="18" spans="1:11" x14ac:dyDescent="0.3">
      <c r="A18" t="s">
        <v>37</v>
      </c>
    </row>
    <row r="20" spans="1:11" ht="43.2" x14ac:dyDescent="0.3">
      <c r="A20" t="s">
        <v>6</v>
      </c>
      <c r="B20" t="s">
        <v>23</v>
      </c>
      <c r="C20" t="s">
        <v>24</v>
      </c>
      <c r="D20" s="2" t="s">
        <v>9</v>
      </c>
      <c r="E20" t="s">
        <v>10</v>
      </c>
      <c r="F20" t="s">
        <v>27</v>
      </c>
      <c r="G20" s="2" t="s">
        <v>28</v>
      </c>
      <c r="H20" s="2" t="s">
        <v>16</v>
      </c>
      <c r="I20" s="2" t="s">
        <v>30</v>
      </c>
    </row>
    <row r="21" spans="1:11" x14ac:dyDescent="0.3">
      <c r="A21" s="4" t="s">
        <v>22</v>
      </c>
      <c r="B21" s="4">
        <f>650000*F4</f>
        <v>162500</v>
      </c>
      <c r="C21" s="8">
        <v>650000</v>
      </c>
      <c r="D21" s="4">
        <f>30*F3</f>
        <v>7.5</v>
      </c>
      <c r="E21" s="8">
        <f>+E3</f>
        <v>4</v>
      </c>
      <c r="F21" s="4">
        <f>+E21+D21</f>
        <v>11.5</v>
      </c>
      <c r="G21" s="4">
        <f>+F21*C21</f>
        <v>7475000</v>
      </c>
      <c r="H21" s="4">
        <f>+C4-F21</f>
        <v>3.5</v>
      </c>
      <c r="I21" s="4">
        <f>+H21*C21</f>
        <v>2275000</v>
      </c>
      <c r="K21" s="4">
        <f>+(J4-H21)*C21</f>
        <v>2112500</v>
      </c>
    </row>
    <row r="22" spans="1:11" x14ac:dyDescent="0.3">
      <c r="A22" t="s">
        <v>3</v>
      </c>
      <c r="B22" s="4">
        <f>+B32-B21</f>
        <v>87500</v>
      </c>
      <c r="C22" s="4">
        <f>+B22/F5</f>
        <v>175000</v>
      </c>
      <c r="D22" s="4">
        <f>+C32*F5</f>
        <v>15</v>
      </c>
      <c r="E22" s="8">
        <f>+E5</f>
        <v>8</v>
      </c>
      <c r="F22" s="4">
        <f>+E22+D22</f>
        <v>23</v>
      </c>
      <c r="G22" s="4">
        <f>+F22*C22</f>
        <v>4025000</v>
      </c>
      <c r="H22" s="4">
        <f>+C5-F22</f>
        <v>8.5</v>
      </c>
      <c r="I22" s="4">
        <f t="shared" ref="I22:I23" si="7">+H22*C22</f>
        <v>1487500</v>
      </c>
      <c r="K22" s="4">
        <f>+(J5-H22)*C22</f>
        <v>787500</v>
      </c>
    </row>
    <row r="23" spans="1:11" x14ac:dyDescent="0.3">
      <c r="A23" t="s">
        <v>3</v>
      </c>
      <c r="B23" s="4">
        <f>-C15-B32</f>
        <v>112500</v>
      </c>
      <c r="C23" s="4">
        <f>+B23/F6</f>
        <v>225000</v>
      </c>
      <c r="D23" s="4">
        <f>+C33*F5</f>
        <v>13</v>
      </c>
      <c r="E23">
        <v>8</v>
      </c>
      <c r="F23" s="4">
        <f>+E23+D23</f>
        <v>21</v>
      </c>
      <c r="G23" s="4">
        <f>+F23*C23</f>
        <v>4725000</v>
      </c>
      <c r="H23" s="4">
        <f>+C5-F23</f>
        <v>10.5</v>
      </c>
      <c r="I23" s="4">
        <f t="shared" si="7"/>
        <v>2362500</v>
      </c>
      <c r="K23" s="4">
        <f>+(J5-H23)*C23</f>
        <v>562500</v>
      </c>
    </row>
    <row r="24" spans="1:11" x14ac:dyDescent="0.3">
      <c r="A24" t="s">
        <v>20</v>
      </c>
      <c r="I24" s="4">
        <f>+SUM(I21:I23)</f>
        <v>6125000</v>
      </c>
      <c r="J24" s="3"/>
    </row>
    <row r="25" spans="1:11" x14ac:dyDescent="0.3">
      <c r="I25" s="4"/>
    </row>
    <row r="26" spans="1:11" x14ac:dyDescent="0.3">
      <c r="A26" t="s">
        <v>38</v>
      </c>
      <c r="I26" s="4"/>
      <c r="J26" s="4"/>
    </row>
    <row r="27" spans="1:11" ht="43.2" x14ac:dyDescent="0.3">
      <c r="A27" t="s">
        <v>6</v>
      </c>
      <c r="B27" t="s">
        <v>23</v>
      </c>
      <c r="C27" t="s">
        <v>24</v>
      </c>
      <c r="D27" s="2" t="s">
        <v>9</v>
      </c>
      <c r="E27" t="s">
        <v>10</v>
      </c>
      <c r="F27" t="s">
        <v>27</v>
      </c>
      <c r="G27" s="2" t="s">
        <v>28</v>
      </c>
      <c r="H27" s="2" t="s">
        <v>16</v>
      </c>
      <c r="I27" s="2" t="s">
        <v>30</v>
      </c>
    </row>
    <row r="28" spans="1:11" x14ac:dyDescent="0.3">
      <c r="A28" s="4" t="s">
        <v>32</v>
      </c>
      <c r="B28" s="4">
        <v>250000</v>
      </c>
      <c r="C28" s="8">
        <f>+B28</f>
        <v>250000</v>
      </c>
      <c r="D28" s="4">
        <f>30</f>
        <v>30</v>
      </c>
      <c r="E28" s="8">
        <f>+E7</f>
        <v>29</v>
      </c>
      <c r="F28" s="4">
        <f>+E28+D28</f>
        <v>59</v>
      </c>
      <c r="G28" s="4">
        <f>+F28*C28</f>
        <v>14750000</v>
      </c>
      <c r="H28" s="4">
        <f>+C11-F28</f>
        <v>-59</v>
      </c>
      <c r="I28" s="4">
        <f>+H28*C28</f>
        <v>-14750000</v>
      </c>
    </row>
    <row r="29" spans="1:11" x14ac:dyDescent="0.3">
      <c r="A29" s="4" t="s">
        <v>32</v>
      </c>
      <c r="B29" s="4">
        <f>-C15-B28</f>
        <v>112500</v>
      </c>
      <c r="C29" s="4">
        <f>+B29</f>
        <v>112500</v>
      </c>
      <c r="D29" s="3">
        <f>+C33</f>
        <v>26</v>
      </c>
      <c r="E29" s="8">
        <f>+E28</f>
        <v>29</v>
      </c>
      <c r="F29" s="4">
        <f>+E29+D29</f>
        <v>55</v>
      </c>
      <c r="G29" s="4">
        <f>+F29*C29</f>
        <v>6187500</v>
      </c>
      <c r="H29" s="4">
        <f>+C12-F29</f>
        <v>-55</v>
      </c>
      <c r="I29" s="4">
        <f>+H29*C29</f>
        <v>-6187500</v>
      </c>
    </row>
    <row r="30" spans="1:11" x14ac:dyDescent="0.3">
      <c r="I30" s="4">
        <f>+I28+I29</f>
        <v>-20937500</v>
      </c>
    </row>
    <row r="32" spans="1:11" ht="28.8" x14ac:dyDescent="0.3">
      <c r="A32" t="s">
        <v>26</v>
      </c>
      <c r="B32" s="3">
        <v>250000</v>
      </c>
      <c r="C32">
        <v>30</v>
      </c>
      <c r="G32" s="2" t="s">
        <v>34</v>
      </c>
      <c r="H32" s="12" t="s">
        <v>36</v>
      </c>
      <c r="I32" s="11">
        <f>-925000+I24</f>
        <v>5200000</v>
      </c>
    </row>
    <row r="33" spans="1:9" ht="28.8" x14ac:dyDescent="0.3">
      <c r="A33" t="s">
        <v>25</v>
      </c>
      <c r="B33" s="3">
        <v>250000</v>
      </c>
      <c r="C33">
        <v>26</v>
      </c>
      <c r="G33" s="2" t="s">
        <v>35</v>
      </c>
      <c r="H33" s="12"/>
    </row>
    <row r="35" spans="1:9" ht="28.8" x14ac:dyDescent="0.3">
      <c r="G35" s="2" t="s">
        <v>34</v>
      </c>
      <c r="H35" s="12" t="s">
        <v>36</v>
      </c>
      <c r="I35" s="11">
        <f>+M10+I30</f>
        <v>-13362500</v>
      </c>
    </row>
    <row r="36" spans="1:9" x14ac:dyDescent="0.3">
      <c r="G36" s="2" t="s">
        <v>41</v>
      </c>
      <c r="H36" s="12"/>
    </row>
  </sheetData>
  <mergeCells count="2">
    <mergeCell ref="H32:H33"/>
    <mergeCell ref="H35:H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4634-820E-4E48-A531-05121EC6A976}">
  <dimension ref="A2:M19"/>
  <sheetViews>
    <sheetView tabSelected="1" workbookViewId="0">
      <selection activeCell="H19" sqref="H19"/>
    </sheetView>
  </sheetViews>
  <sheetFormatPr baseColWidth="10" defaultRowHeight="14.4" x14ac:dyDescent="0.3"/>
  <cols>
    <col min="1" max="1" width="29.33203125" bestFit="1" customWidth="1"/>
    <col min="2" max="2" width="12.44140625" bestFit="1" customWidth="1"/>
    <col min="3" max="3" width="13" bestFit="1" customWidth="1"/>
    <col min="4" max="4" width="11.44140625" bestFit="1" customWidth="1"/>
    <col min="5" max="5" width="9.44140625" bestFit="1" customWidth="1"/>
    <col min="6" max="6" width="7" bestFit="1" customWidth="1"/>
    <col min="7" max="7" width="7" customWidth="1"/>
    <col min="8" max="8" width="17.21875" bestFit="1" customWidth="1"/>
    <col min="9" max="9" width="11.21875" bestFit="1" customWidth="1"/>
    <col min="10" max="10" width="15.44140625" bestFit="1" customWidth="1"/>
    <col min="11" max="11" width="8.109375" bestFit="1" customWidth="1"/>
    <col min="12" max="12" width="14.77734375" bestFit="1" customWidth="1"/>
    <col min="13" max="13" width="12.44140625" bestFit="1" customWidth="1"/>
  </cols>
  <sheetData>
    <row r="2" spans="1:13" ht="72" x14ac:dyDescent="0.3">
      <c r="A2" t="s">
        <v>12</v>
      </c>
      <c r="B2" s="2" t="s">
        <v>7</v>
      </c>
      <c r="C2" t="s">
        <v>8</v>
      </c>
      <c r="D2" s="2" t="s">
        <v>9</v>
      </c>
      <c r="E2" t="s">
        <v>10</v>
      </c>
      <c r="F2" s="2" t="s">
        <v>11</v>
      </c>
      <c r="G2" s="2" t="s">
        <v>39</v>
      </c>
      <c r="H2" t="s">
        <v>13</v>
      </c>
      <c r="I2" s="2" t="s">
        <v>14</v>
      </c>
      <c r="J2" t="s">
        <v>15</v>
      </c>
      <c r="K2" s="2" t="s">
        <v>16</v>
      </c>
      <c r="L2" t="s">
        <v>30</v>
      </c>
    </row>
    <row r="3" spans="1:13" x14ac:dyDescent="0.3">
      <c r="A3" t="s">
        <v>6</v>
      </c>
    </row>
    <row r="4" spans="1:13" x14ac:dyDescent="0.3">
      <c r="A4" t="s">
        <v>1</v>
      </c>
      <c r="B4" s="3">
        <v>1000000</v>
      </c>
      <c r="C4" s="3">
        <v>14</v>
      </c>
      <c r="D4" s="3">
        <v>3.75</v>
      </c>
      <c r="E4" s="3">
        <v>4</v>
      </c>
      <c r="F4" s="3">
        <f>+D4/15</f>
        <v>0.25</v>
      </c>
      <c r="G4" s="3"/>
      <c r="H4" s="4">
        <f>+F4*B4</f>
        <v>250000</v>
      </c>
      <c r="I4" s="4">
        <f>6*F4</f>
        <v>1.5</v>
      </c>
      <c r="J4" s="4">
        <f>+I4+E4+D4+G4</f>
        <v>9.25</v>
      </c>
      <c r="K4" s="4">
        <f>+C4-J4</f>
        <v>4.75</v>
      </c>
      <c r="L4" s="4">
        <f>+K4*B4</f>
        <v>4750000</v>
      </c>
    </row>
    <row r="5" spans="1:13" x14ac:dyDescent="0.3">
      <c r="A5" s="10" t="s">
        <v>2</v>
      </c>
      <c r="B5" s="9">
        <v>650000</v>
      </c>
      <c r="C5" s="9">
        <v>15</v>
      </c>
      <c r="D5" s="9">
        <v>3.75</v>
      </c>
      <c r="E5" s="9">
        <v>3</v>
      </c>
      <c r="F5" s="9">
        <f t="shared" ref="F5:F8" si="0">+D5/15</f>
        <v>0.25</v>
      </c>
      <c r="G5" s="9">
        <f>22.5/4</f>
        <v>5.625</v>
      </c>
      <c r="H5" s="11">
        <f t="shared" ref="H5:H6" si="1">+F5*B5</f>
        <v>162500</v>
      </c>
      <c r="I5" s="11">
        <f t="shared" ref="I5:I8" si="2">6*F5</f>
        <v>1.5</v>
      </c>
      <c r="J5" s="11">
        <f>+I5+E5+D5+G5</f>
        <v>13.875</v>
      </c>
      <c r="K5" s="11">
        <f>+C5-J5</f>
        <v>1.125</v>
      </c>
      <c r="L5" s="4">
        <f t="shared" ref="L5:L8" si="3">+K5*B5</f>
        <v>731250</v>
      </c>
    </row>
    <row r="6" spans="1:13" x14ac:dyDescent="0.3">
      <c r="A6" t="s">
        <v>3</v>
      </c>
      <c r="B6" s="3">
        <v>950000</v>
      </c>
      <c r="C6" s="3">
        <v>31.5</v>
      </c>
      <c r="D6" s="3">
        <v>7.5</v>
      </c>
      <c r="E6" s="3">
        <v>8</v>
      </c>
      <c r="F6" s="3">
        <f t="shared" si="0"/>
        <v>0.5</v>
      </c>
      <c r="G6" s="3"/>
      <c r="H6" s="4">
        <f t="shared" si="1"/>
        <v>475000</v>
      </c>
      <c r="I6" s="4">
        <f t="shared" si="2"/>
        <v>3</v>
      </c>
      <c r="J6" s="4">
        <f t="shared" ref="J6:J8" si="4">+I6+E6+D6+G6</f>
        <v>18.5</v>
      </c>
      <c r="K6" s="4">
        <f>+C6-J6</f>
        <v>13</v>
      </c>
      <c r="L6" s="4">
        <f t="shared" si="3"/>
        <v>12350000</v>
      </c>
    </row>
    <row r="7" spans="1:13" x14ac:dyDescent="0.3">
      <c r="A7" s="5" t="s">
        <v>4</v>
      </c>
      <c r="B7" s="6">
        <v>1250000</v>
      </c>
      <c r="C7" s="6">
        <v>22</v>
      </c>
      <c r="D7" s="6">
        <v>7.5</v>
      </c>
      <c r="E7" s="6">
        <v>9</v>
      </c>
      <c r="F7" s="6">
        <f t="shared" si="0"/>
        <v>0.5</v>
      </c>
      <c r="G7" s="6"/>
      <c r="H7" s="7">
        <f>+F7*B7</f>
        <v>625000</v>
      </c>
      <c r="I7" s="7">
        <f t="shared" si="2"/>
        <v>3</v>
      </c>
      <c r="J7" s="11">
        <f t="shared" si="4"/>
        <v>19.5</v>
      </c>
      <c r="K7" s="7">
        <f>+C7-J7</f>
        <v>2.5</v>
      </c>
      <c r="L7" s="4">
        <f t="shared" si="3"/>
        <v>3125000</v>
      </c>
    </row>
    <row r="8" spans="1:13" x14ac:dyDescent="0.3">
      <c r="A8" s="5" t="s">
        <v>5</v>
      </c>
      <c r="B8" s="6">
        <v>1350000</v>
      </c>
      <c r="C8" s="6">
        <v>53</v>
      </c>
      <c r="D8" s="6">
        <v>15</v>
      </c>
      <c r="E8" s="6">
        <v>29</v>
      </c>
      <c r="F8" s="6">
        <f t="shared" si="0"/>
        <v>1</v>
      </c>
      <c r="G8" s="6"/>
      <c r="H8" s="7">
        <f>+F8*B8</f>
        <v>1350000</v>
      </c>
      <c r="I8" s="7">
        <f t="shared" si="2"/>
        <v>6</v>
      </c>
      <c r="J8" s="11">
        <f t="shared" si="4"/>
        <v>50</v>
      </c>
      <c r="K8" s="7">
        <f>+C8-J8</f>
        <v>3</v>
      </c>
      <c r="L8" s="4">
        <f t="shared" si="3"/>
        <v>4050000</v>
      </c>
    </row>
    <row r="9" spans="1:13" x14ac:dyDescent="0.3">
      <c r="A9" t="s">
        <v>20</v>
      </c>
      <c r="B9" s="8"/>
      <c r="H9" s="4">
        <f>SUM(H4:H8)</f>
        <v>2862500</v>
      </c>
      <c r="L9" s="4">
        <f>+SUM(L4:L8)</f>
        <v>25006250</v>
      </c>
    </row>
    <row r="10" spans="1:13" x14ac:dyDescent="0.3">
      <c r="A10" t="s">
        <v>40</v>
      </c>
      <c r="L10" s="3">
        <v>20000000</v>
      </c>
    </row>
    <row r="11" spans="1:13" x14ac:dyDescent="0.3">
      <c r="A11" t="s">
        <v>42</v>
      </c>
      <c r="L11" s="3">
        <v>150000</v>
      </c>
    </row>
    <row r="12" spans="1:13" x14ac:dyDescent="0.3">
      <c r="A12" t="s">
        <v>43</v>
      </c>
      <c r="L12" s="3">
        <f>+L9-L10-L11</f>
        <v>4856250</v>
      </c>
    </row>
    <row r="14" spans="1:13" x14ac:dyDescent="0.3">
      <c r="A14" t="s">
        <v>19</v>
      </c>
      <c r="C14" s="3">
        <v>2500000</v>
      </c>
      <c r="M14" s="3"/>
    </row>
    <row r="15" spans="1:13" x14ac:dyDescent="0.3">
      <c r="J15" s="3"/>
    </row>
    <row r="16" spans="1:13" x14ac:dyDescent="0.3">
      <c r="A16" t="s">
        <v>21</v>
      </c>
      <c r="C16" s="4">
        <f>+C14-H9</f>
        <v>-362500</v>
      </c>
      <c r="J16" s="3"/>
    </row>
    <row r="18" spans="3:3" x14ac:dyDescent="0.3">
      <c r="C18" s="3"/>
    </row>
    <row r="19" spans="3:3" x14ac:dyDescent="0.3">
      <c r="C1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791B-4478-4B9D-8D45-50B27D729340}">
  <dimension ref="A2:K15"/>
  <sheetViews>
    <sheetView workbookViewId="0">
      <selection activeCell="L21" sqref="L21"/>
    </sheetView>
  </sheetViews>
  <sheetFormatPr baseColWidth="10" defaultRowHeight="14.4" x14ac:dyDescent="0.3"/>
  <cols>
    <col min="1" max="1" width="14" bestFit="1" customWidth="1"/>
    <col min="2" max="2" width="12.44140625" bestFit="1" customWidth="1"/>
    <col min="7" max="7" width="17.21875" bestFit="1" customWidth="1"/>
    <col min="9" max="9" width="15.44140625" bestFit="1" customWidth="1"/>
    <col min="11" max="11" width="14.77734375" bestFit="1" customWidth="1"/>
  </cols>
  <sheetData>
    <row r="2" spans="1:11" ht="57.6" x14ac:dyDescent="0.3">
      <c r="A2" t="s">
        <v>12</v>
      </c>
      <c r="B2" s="2" t="s">
        <v>7</v>
      </c>
      <c r="C2" t="s">
        <v>8</v>
      </c>
      <c r="D2" s="2" t="s">
        <v>9</v>
      </c>
      <c r="E2" t="s">
        <v>10</v>
      </c>
      <c r="F2" s="2" t="s">
        <v>11</v>
      </c>
      <c r="G2" t="s">
        <v>13</v>
      </c>
      <c r="H2" s="2" t="s">
        <v>14</v>
      </c>
      <c r="I2" t="s">
        <v>15</v>
      </c>
      <c r="J2" s="2" t="s">
        <v>16</v>
      </c>
      <c r="K2" t="s">
        <v>30</v>
      </c>
    </row>
    <row r="3" spans="1:11" x14ac:dyDescent="0.3">
      <c r="A3" t="s">
        <v>6</v>
      </c>
    </row>
    <row r="4" spans="1:11" x14ac:dyDescent="0.3">
      <c r="A4" t="s">
        <v>1</v>
      </c>
      <c r="B4" s="3">
        <v>1000000</v>
      </c>
      <c r="C4" s="3">
        <v>14</v>
      </c>
      <c r="D4" s="3">
        <v>3.75</v>
      </c>
      <c r="E4" s="3">
        <v>4</v>
      </c>
      <c r="F4" s="3">
        <f>+D4/15</f>
        <v>0.25</v>
      </c>
      <c r="G4" s="4">
        <f>+F4*B4</f>
        <v>250000</v>
      </c>
      <c r="H4" s="4">
        <f>6*F4</f>
        <v>1.5</v>
      </c>
      <c r="I4" s="4">
        <f>+H4+E4+D4</f>
        <v>9.25</v>
      </c>
      <c r="J4" s="4">
        <f>+C4-I4</f>
        <v>4.75</v>
      </c>
      <c r="K4" s="4">
        <f>+J4*B4</f>
        <v>4750000</v>
      </c>
    </row>
    <row r="5" spans="1:11" x14ac:dyDescent="0.3">
      <c r="A5" t="s">
        <v>2</v>
      </c>
      <c r="B5" s="3">
        <v>650000</v>
      </c>
      <c r="C5" s="3">
        <v>15</v>
      </c>
      <c r="D5" s="3">
        <v>3.75</v>
      </c>
      <c r="E5" s="3">
        <v>3</v>
      </c>
      <c r="F5" s="3">
        <f>+D5/15</f>
        <v>0.25</v>
      </c>
      <c r="G5" s="4">
        <f t="shared" ref="G5:G6" si="0">+F5*B5</f>
        <v>162500</v>
      </c>
      <c r="H5" s="4">
        <f t="shared" ref="H5:H8" si="1">6*F5</f>
        <v>1.5</v>
      </c>
      <c r="I5" s="4">
        <f t="shared" ref="I5:I7" si="2">+H5+E5+D5</f>
        <v>8.25</v>
      </c>
      <c r="J5" s="4">
        <f t="shared" ref="J5:J7" si="3">+C5-I5</f>
        <v>6.75</v>
      </c>
      <c r="K5" s="4">
        <f t="shared" ref="K5:K7" si="4">+J5*B5</f>
        <v>4387500</v>
      </c>
    </row>
    <row r="6" spans="1:11" x14ac:dyDescent="0.3">
      <c r="A6" t="s">
        <v>3</v>
      </c>
      <c r="B6" s="3">
        <v>950000</v>
      </c>
      <c r="C6" s="3">
        <v>31.5</v>
      </c>
      <c r="D6" s="3">
        <v>7.5</v>
      </c>
      <c r="E6" s="3">
        <v>8</v>
      </c>
      <c r="F6" s="3">
        <f>+D6/15</f>
        <v>0.5</v>
      </c>
      <c r="G6" s="4">
        <f t="shared" si="0"/>
        <v>475000</v>
      </c>
      <c r="H6" s="4">
        <f t="shared" si="1"/>
        <v>3</v>
      </c>
      <c r="I6" s="4">
        <f t="shared" si="2"/>
        <v>18.5</v>
      </c>
      <c r="J6" s="4">
        <f t="shared" si="3"/>
        <v>13</v>
      </c>
      <c r="K6" s="4">
        <f t="shared" si="4"/>
        <v>12350000</v>
      </c>
    </row>
    <row r="7" spans="1:11" x14ac:dyDescent="0.3">
      <c r="A7" s="5" t="s">
        <v>4</v>
      </c>
      <c r="B7" s="6">
        <v>1250000</v>
      </c>
      <c r="C7" s="6">
        <v>22</v>
      </c>
      <c r="D7" s="6">
        <v>7.5</v>
      </c>
      <c r="E7" s="6">
        <v>9</v>
      </c>
      <c r="F7" s="6">
        <f>+D7/15</f>
        <v>0.5</v>
      </c>
      <c r="G7" s="7">
        <f>+F7*B7</f>
        <v>625000</v>
      </c>
      <c r="H7" s="7">
        <f t="shared" si="1"/>
        <v>3</v>
      </c>
      <c r="I7" s="7">
        <f t="shared" si="2"/>
        <v>19.5</v>
      </c>
      <c r="J7" s="7">
        <f t="shared" si="3"/>
        <v>2.5</v>
      </c>
      <c r="K7" s="4">
        <f t="shared" si="4"/>
        <v>3125000</v>
      </c>
    </row>
    <row r="8" spans="1:11" x14ac:dyDescent="0.3">
      <c r="A8" s="5" t="s">
        <v>5</v>
      </c>
      <c r="B8" s="6">
        <v>1350000</v>
      </c>
      <c r="C8" s="6">
        <v>53</v>
      </c>
      <c r="D8" s="6">
        <f>15*0.6</f>
        <v>9</v>
      </c>
      <c r="E8" s="6">
        <f>+(8+12)/2</f>
        <v>10</v>
      </c>
      <c r="F8" s="6">
        <f>+(D8/15)</f>
        <v>0.6</v>
      </c>
      <c r="G8" s="7">
        <f>+F8*B8</f>
        <v>810000</v>
      </c>
      <c r="H8" s="7">
        <f t="shared" si="1"/>
        <v>3.5999999999999996</v>
      </c>
      <c r="I8" s="7">
        <f>+H8+E8+D8</f>
        <v>22.6</v>
      </c>
      <c r="J8" s="7">
        <f>+C8-I8</f>
        <v>30.4</v>
      </c>
      <c r="K8" s="4">
        <f>+J8*B8</f>
        <v>41040000</v>
      </c>
    </row>
    <row r="9" spans="1:11" x14ac:dyDescent="0.3">
      <c r="A9" t="s">
        <v>20</v>
      </c>
      <c r="G9" s="4">
        <f>SUM(G4:G8)</f>
        <v>2322500</v>
      </c>
      <c r="K9" s="4">
        <f>+SUM(K4:K8)</f>
        <v>65652500</v>
      </c>
    </row>
    <row r="10" spans="1:11" x14ac:dyDescent="0.3">
      <c r="A10" t="s">
        <v>44</v>
      </c>
      <c r="K10" s="3">
        <v>20000000</v>
      </c>
    </row>
    <row r="11" spans="1:11" x14ac:dyDescent="0.3">
      <c r="A11" t="s">
        <v>43</v>
      </c>
      <c r="K11" s="4">
        <f>+K9-K10</f>
        <v>45652500</v>
      </c>
    </row>
    <row r="12" spans="1:11" x14ac:dyDescent="0.3">
      <c r="K12" s="4"/>
    </row>
    <row r="13" spans="1:11" x14ac:dyDescent="0.3">
      <c r="A13" t="s">
        <v>45</v>
      </c>
      <c r="G13" s="3">
        <v>2500000</v>
      </c>
      <c r="H13" t="s">
        <v>23</v>
      </c>
    </row>
    <row r="15" spans="1:11" x14ac:dyDescent="0.3">
      <c r="A15" t="s">
        <v>46</v>
      </c>
      <c r="G15" s="4">
        <f>+G13-G9</f>
        <v>177500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Volumes</vt:lpstr>
      <vt:lpstr>Option 1</vt:lpstr>
      <vt:lpstr>Option 2</vt:lpstr>
      <vt:lpstr>Option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2025-04-08T20:46:57Z</dcterms:created>
  <dcterms:modified xsi:type="dcterms:W3CDTF">2025-04-09T22:01:40Z</dcterms:modified>
</cp:coreProperties>
</file>