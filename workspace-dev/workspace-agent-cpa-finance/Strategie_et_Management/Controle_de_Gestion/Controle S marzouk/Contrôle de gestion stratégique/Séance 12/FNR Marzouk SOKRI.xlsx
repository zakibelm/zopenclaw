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https://d.docs.live.net/bca8937e5be247ac/Bureau/"/>
    </mc:Choice>
  </mc:AlternateContent>
  <xr:revisionPtr revIDLastSave="0" documentId="8_{CAC0DA1F-8FB8-41FB-B290-184040882B7B}" xr6:coauthVersionLast="47" xr6:coauthVersionMax="47" xr10:uidLastSave="{00000000-0000-0000-0000-000000000000}"/>
  <bookViews>
    <workbookView xWindow="396" yWindow="2340" windowWidth="6612" windowHeight="10008" activeTab="7" xr2:uid="{7F3261A2-6121-4CC6-8D9F-F6C1B96756CD}"/>
  </bookViews>
  <sheets>
    <sheet name="Diagnostique financier" sheetId="1" r:id="rId1"/>
    <sheet name="VAN" sheetId="2" r:id="rId2"/>
    <sheet name="Feuil3" sheetId="3" r:id="rId3"/>
    <sheet name="Feuil4" sheetId="4" r:id="rId4"/>
    <sheet name="Feuil5" sheetId="5" r:id="rId5"/>
    <sheet name="Feuil6" sheetId="6" r:id="rId6"/>
    <sheet name="Feuil7" sheetId="7" r:id="rId7"/>
    <sheet name="Feuil8"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2" i="8" l="1"/>
  <c r="D22" i="8"/>
  <c r="C20" i="8"/>
  <c r="D20" i="8"/>
  <c r="D19" i="8"/>
  <c r="C19" i="8"/>
  <c r="F14" i="8"/>
  <c r="D18" i="8"/>
  <c r="C18" i="8"/>
  <c r="F13" i="8"/>
  <c r="D17" i="8"/>
  <c r="C17" i="8"/>
  <c r="F12" i="8"/>
  <c r="D16" i="8"/>
  <c r="C16" i="8"/>
  <c r="F11" i="8"/>
  <c r="C6" i="8"/>
  <c r="D6" i="8"/>
  <c r="E6" i="8"/>
  <c r="B6" i="8"/>
  <c r="B17" i="7"/>
  <c r="B13" i="7"/>
  <c r="C8" i="7"/>
  <c r="D8" i="7"/>
  <c r="B8" i="7"/>
  <c r="D6" i="7"/>
  <c r="C6" i="7"/>
  <c r="B6" i="7"/>
  <c r="C5" i="7"/>
  <c r="D5" i="7"/>
  <c r="B5" i="7"/>
  <c r="D4" i="7"/>
  <c r="C4" i="7"/>
  <c r="B4" i="7"/>
  <c r="B19" i="6"/>
  <c r="B15" i="6"/>
  <c r="B18" i="6"/>
  <c r="B17" i="6"/>
  <c r="B20" i="6" s="1"/>
  <c r="B8" i="6"/>
  <c r="B9" i="6" s="1"/>
  <c r="B3" i="6"/>
  <c r="B5" i="6" s="1"/>
  <c r="B12" i="6" l="1"/>
  <c r="G25" i="5"/>
  <c r="G24" i="5"/>
  <c r="H24" i="5"/>
  <c r="B23" i="5"/>
  <c r="B21" i="5"/>
  <c r="B9" i="5"/>
  <c r="B11" i="5" s="1"/>
  <c r="C11" i="5" s="1"/>
  <c r="C12" i="5"/>
  <c r="C13" i="5"/>
  <c r="D9" i="4"/>
  <c r="D16" i="4"/>
  <c r="C13" i="4"/>
  <c r="C11" i="4"/>
  <c r="C10" i="4"/>
  <c r="C8" i="4"/>
  <c r="D12" i="4"/>
  <c r="D13" i="4" s="1"/>
  <c r="D18" i="4" s="1"/>
  <c r="D10" i="4"/>
  <c r="C3" i="4"/>
  <c r="D3" i="4" s="1"/>
  <c r="D8" i="4"/>
  <c r="B28" i="3"/>
  <c r="C14" i="5" l="1"/>
  <c r="B26" i="5" s="1"/>
  <c r="B20" i="5"/>
  <c r="B19" i="5"/>
  <c r="B24" i="5" s="1"/>
  <c r="C18" i="4"/>
  <c r="C20" i="3"/>
  <c r="H27" i="3"/>
  <c r="L13" i="3"/>
  <c r="L15" i="3" s="1"/>
  <c r="L17" i="3" s="1"/>
  <c r="L14" i="3"/>
  <c r="D15" i="3"/>
  <c r="D14" i="3"/>
  <c r="B15" i="3"/>
  <c r="B11" i="3"/>
  <c r="D11" i="3" s="1"/>
  <c r="B8" i="3"/>
  <c r="D12" i="3" s="1"/>
  <c r="C7" i="3"/>
  <c r="C8" i="3" s="1"/>
  <c r="B12" i="3" s="1"/>
  <c r="B13" i="3" s="1"/>
  <c r="B16" i="3" s="1"/>
  <c r="B18" i="3" s="1"/>
  <c r="B21" i="2"/>
  <c r="B31" i="2"/>
  <c r="B26" i="2"/>
  <c r="B27" i="2" s="1"/>
  <c r="D20" i="2"/>
  <c r="E20" i="2"/>
  <c r="F20" i="2"/>
  <c r="G20" i="2"/>
  <c r="H20" i="2"/>
  <c r="I20" i="2"/>
  <c r="J20" i="2"/>
  <c r="K20" i="2"/>
  <c r="L20" i="2"/>
  <c r="M20" i="2"/>
  <c r="N20" i="2"/>
  <c r="C20" i="2"/>
  <c r="D19" i="2"/>
  <c r="E19" i="2"/>
  <c r="F19" i="2"/>
  <c r="G19" i="2"/>
  <c r="H19" i="2"/>
  <c r="I19" i="2"/>
  <c r="J19" i="2"/>
  <c r="K19" i="2"/>
  <c r="L19" i="2"/>
  <c r="M19" i="2"/>
  <c r="N19" i="2"/>
  <c r="C19" i="2"/>
  <c r="E5" i="1"/>
  <c r="E4" i="1"/>
  <c r="E6" i="1"/>
  <c r="E3" i="1"/>
  <c r="E2" i="1"/>
  <c r="D6" i="1"/>
  <c r="D5" i="1"/>
  <c r="D4" i="1"/>
  <c r="D3" i="1"/>
  <c r="D2" i="1"/>
  <c r="D13" i="3" l="1"/>
  <c r="D18" i="3" s="1"/>
  <c r="B17" i="2"/>
  <c r="B29" i="2"/>
</calcChain>
</file>

<file path=xl/sharedStrings.xml><?xml version="1.0" encoding="utf-8"?>
<sst xmlns="http://schemas.openxmlformats.org/spreadsheetml/2006/main" count="155" uniqueCount="126">
  <si>
    <t>Ratio de fond de roulement</t>
  </si>
  <si>
    <t>Ratio detttes /Capitaux propres</t>
  </si>
  <si>
    <t xml:space="preserve">Taux de rotation des stocks </t>
  </si>
  <si>
    <t>Marge bénéfice nette</t>
  </si>
  <si>
    <t>Rendement des capitaux propres</t>
  </si>
  <si>
    <t xml:space="preserve">Variation </t>
  </si>
  <si>
    <t>FRN utilise du matériel spécialisé pour retirer les anciennes fenêtres et installer les nouvelles.</t>
  </si>
  <si>
    <t>Si elle l’achète, le nouveau matériel lui coûtera 1,5 million $. Sa durée de vie prévue est de 12 ans, et sa valeur de récupération sera de 60 000 $ au terme de ce délai. Inès estime que les entrées de trésorerie nettes différentielles découlant de l’utilisation du nouveau matériel seraient d’environ 265 000 $ par année avant impôts. Le coût moyen pondéré du capital de FRN est de 12 %.</t>
  </si>
  <si>
    <t xml:space="preserve">Le fournisseur du nouveau matériel offre trois possibilités à FRN : </t>
  </si>
  <si>
    <t>Le contrat de location serait d’une durée d’un an avec option de renouvellement, aux mêmes conditions, pour d’autres périodes d’un an. Si FRN choisit la location, l’entretien et les réparations du matériel seront inclus sans frais supplémentaires.</t>
  </si>
  <si>
    <r>
      <t>a)</t>
    </r>
    <r>
      <rPr>
        <sz val="7"/>
        <color theme="1"/>
        <rFont val="Times New Roman"/>
        <family val="1"/>
      </rPr>
      <t xml:space="preserve">    </t>
    </r>
    <r>
      <rPr>
        <sz val="12"/>
        <color theme="1"/>
        <rFont val="Arial"/>
        <family val="2"/>
      </rPr>
      <t>acheter le matériel au comptant;</t>
    </r>
  </si>
  <si>
    <r>
      <t>b)</t>
    </r>
    <r>
      <rPr>
        <sz val="7"/>
        <color theme="1"/>
        <rFont val="Times New Roman"/>
        <family val="1"/>
      </rPr>
      <t xml:space="preserve">     </t>
    </r>
    <r>
      <rPr>
        <sz val="12"/>
        <color theme="1"/>
        <rFont val="Arial"/>
        <family val="2"/>
      </rPr>
      <t xml:space="preserve">acheter le matériel à crédit sur une période de 12 ans, auquel cas elle devra verser au fournisseur des remboursements de 150 000 $ par année; </t>
    </r>
  </si>
  <si>
    <r>
      <t>c)</t>
    </r>
    <r>
      <rPr>
        <sz val="7"/>
        <color theme="1"/>
        <rFont val="Times New Roman"/>
        <family val="1"/>
      </rPr>
      <t xml:space="preserve">     </t>
    </r>
    <r>
      <rPr>
        <sz val="12"/>
        <color theme="1"/>
        <rFont val="Arial"/>
        <family val="2"/>
      </rPr>
      <t xml:space="preserve">louer le matériel pour 250 000 $ par année. </t>
    </r>
  </si>
  <si>
    <t>nouveau matériel</t>
  </si>
  <si>
    <t xml:space="preserve">Valeur de récupération </t>
  </si>
  <si>
    <t>Année 0</t>
  </si>
  <si>
    <t>Année 1</t>
  </si>
  <si>
    <t>Année 2</t>
  </si>
  <si>
    <t>Année 3</t>
  </si>
  <si>
    <t>Année 4</t>
  </si>
  <si>
    <t>Année 5</t>
  </si>
  <si>
    <t>Année 6</t>
  </si>
  <si>
    <t>Année 7</t>
  </si>
  <si>
    <t>Année 8</t>
  </si>
  <si>
    <t>Année 9</t>
  </si>
  <si>
    <t>Année 10</t>
  </si>
  <si>
    <t>Année 11</t>
  </si>
  <si>
    <t>Année 12</t>
  </si>
  <si>
    <t>I</t>
  </si>
  <si>
    <t>Option 1 achat de matériel</t>
  </si>
  <si>
    <t>Flux de trésorerie diffferentielle apres impot</t>
  </si>
  <si>
    <t>Impo</t>
  </si>
  <si>
    <t>Option 2 achat a crédit avec des versement annuel de 150000</t>
  </si>
  <si>
    <t xml:space="preserve">Option 3 louer le matériel </t>
  </si>
  <si>
    <t>VAN de l'utilisation de matériel</t>
  </si>
  <si>
    <t xml:space="preserve">Nettes </t>
  </si>
  <si>
    <t>Nettes options 2</t>
  </si>
  <si>
    <t xml:space="preserve">héypothese le degres de risque de projet est faible donc un prime de risque </t>
  </si>
  <si>
    <t>Cout complet</t>
  </si>
  <si>
    <t>MP</t>
  </si>
  <si>
    <t>MOD</t>
  </si>
  <si>
    <t>Commission de vente</t>
  </si>
  <si>
    <t>Total</t>
  </si>
  <si>
    <t>CI fixe de fabrication</t>
  </si>
  <si>
    <t>MCV</t>
  </si>
  <si>
    <t>CMV</t>
  </si>
  <si>
    <t xml:space="preserve">Commande </t>
  </si>
  <si>
    <t>bouteilles</t>
  </si>
  <si>
    <t>CVt</t>
  </si>
  <si>
    <t>CI variable fabriacation</t>
  </si>
  <si>
    <t>Préparation ER</t>
  </si>
  <si>
    <t>Chiffre d'Affaire</t>
  </si>
  <si>
    <t>Marge brute</t>
  </si>
  <si>
    <t>Frais fixes vente et adminisatation</t>
  </si>
  <si>
    <t>Résultat d'exlpitation</t>
  </si>
  <si>
    <t>Profit cible</t>
  </si>
  <si>
    <t>CF+Cvu*Volume</t>
  </si>
  <si>
    <t>P*V-CF-Cvu*V</t>
  </si>
  <si>
    <t>V(P-Cvu)-CF</t>
  </si>
  <si>
    <t>Prix</t>
  </si>
  <si>
    <t>CV</t>
  </si>
  <si>
    <t>CF</t>
  </si>
  <si>
    <t>V</t>
  </si>
  <si>
    <t xml:space="preserve">PEC début </t>
  </si>
  <si>
    <t xml:space="preserve">Cout indirect </t>
  </si>
  <si>
    <t xml:space="preserve">PEC FIN </t>
  </si>
  <si>
    <t>PF</t>
  </si>
  <si>
    <t>unité</t>
  </si>
  <si>
    <t>CT</t>
  </si>
  <si>
    <t>FGF V</t>
  </si>
  <si>
    <t>F administation variable</t>
  </si>
  <si>
    <t>Cout total</t>
  </si>
  <si>
    <t>Résultat d'exploitation</t>
  </si>
  <si>
    <t>Frais généraux fixes  totaux</t>
  </si>
  <si>
    <t>Les frais fixes administartion</t>
  </si>
  <si>
    <t>Prix de vente</t>
  </si>
  <si>
    <t>FGF varaible</t>
  </si>
  <si>
    <t>Frais de vente varaible</t>
  </si>
  <si>
    <t xml:space="preserve">Total couts variabes </t>
  </si>
  <si>
    <t xml:space="preserve">Temps requis pour produire une unité </t>
  </si>
  <si>
    <t xml:space="preserve">FGF fixe </t>
  </si>
  <si>
    <t xml:space="preserve">Unité </t>
  </si>
  <si>
    <t>FGF fixe</t>
  </si>
  <si>
    <t>Frais de vente fixe</t>
  </si>
  <si>
    <t>Total frais fixes</t>
  </si>
  <si>
    <t>SR</t>
  </si>
  <si>
    <t>en dollars</t>
  </si>
  <si>
    <t>Résultat potentiel</t>
  </si>
  <si>
    <t>MS</t>
  </si>
  <si>
    <t>en unité</t>
  </si>
  <si>
    <t>Commission vente</t>
  </si>
  <si>
    <t xml:space="preserve">le seuil d'indiffrence </t>
  </si>
  <si>
    <t>43*x-272000=52*x-391000</t>
  </si>
  <si>
    <t xml:space="preserve">Prix de vente </t>
  </si>
  <si>
    <t>La capacité utilisé</t>
  </si>
  <si>
    <t>LA capacité totale</t>
  </si>
  <si>
    <t>la capacité excedentaire</t>
  </si>
  <si>
    <t xml:space="preserve">Cout variale </t>
  </si>
  <si>
    <t xml:space="preserve">MCV </t>
  </si>
  <si>
    <t xml:space="preserve">Revenu excedentaire du a la commande spéciale </t>
  </si>
  <si>
    <t>Cout variable</t>
  </si>
  <si>
    <t>Cout de renonciation</t>
  </si>
  <si>
    <t>Revenu excedentaire</t>
  </si>
  <si>
    <t>la commande spéciale</t>
  </si>
  <si>
    <t>La capacité excedentaire</t>
  </si>
  <si>
    <t>Capcité de renonciation</t>
  </si>
  <si>
    <t>Produit X</t>
  </si>
  <si>
    <t>Produit Y</t>
  </si>
  <si>
    <t>Produit  Z</t>
  </si>
  <si>
    <t>Produit  Y</t>
  </si>
  <si>
    <t>Produit  X</t>
  </si>
  <si>
    <t>Vente</t>
  </si>
  <si>
    <t>Résultat net</t>
  </si>
  <si>
    <t>FGF variable</t>
  </si>
  <si>
    <t>Prix de fournisseur</t>
  </si>
  <si>
    <t>Impact sur le résulat</t>
  </si>
  <si>
    <t xml:space="preserve">On préfére produire le produit en interne car on interne nous coute 5,5 au lieu de l'acheter de l'externe qui coute 7,75 pour les charge fixes sont pas pertinente dans ce cas car on les paie quelque soit la décison </t>
  </si>
  <si>
    <t>Produit W</t>
  </si>
  <si>
    <t>Produit Z</t>
  </si>
  <si>
    <t xml:space="preserve">FGF imputé </t>
  </si>
  <si>
    <t xml:space="preserve">Mise en route </t>
  </si>
  <si>
    <t>Manutention</t>
  </si>
  <si>
    <t xml:space="preserve">Fabrication composante </t>
  </si>
  <si>
    <t xml:space="preserve">Contrôle qualité </t>
  </si>
  <si>
    <t>Classique</t>
  </si>
  <si>
    <t>HD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</si>
</sst>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0.00\ &quot;$&quot;_);[Red]\(#,##0.00\ &quot;$&quot;\)"/>
    <numFmt numFmtId="44" formatCode="_ * #,##0.00_)\ &quot;$&quot;_ ;_ * \(#,##0.00\)\ &quot;$&quot;_ ;_ * &quot;-&quot;??_)\ &quot;$&quot;_ ;_ @_ "/>
    <numFmt numFmtId="43" formatCode="_ * #,##0.00_)_ ;_ * \(#,##0.00\)_ ;_ * &quot;-&quot;??_)_ ;_ @_ "/>
    <numFmt numFmtId="167" formatCode="_ * #,##0.00_)\ _$_ ;_ * \(#,##0.00\)\ _$_ ;_ * &quot;-&quot;??_)\ _$_ ;_ @_ "/>
  </numFmts>
  <fonts count="6" x14ac:knownFonts="1">
    <font>
      <sz val="11"/>
      <color theme="1"/>
      <name val="Aptos Narrow"/>
      <family val="2"/>
      <scheme val="minor"/>
    </font>
    <font>
      <sz val="11"/>
      <color theme="1"/>
      <name val="Aptos Narrow"/>
      <family val="2"/>
      <scheme val="minor"/>
    </font>
    <font>
      <sz val="12"/>
      <color theme="1"/>
      <name val="Arial"/>
      <family val="2"/>
    </font>
    <font>
      <sz val="7"/>
      <color theme="1"/>
      <name val="Times New Roman"/>
      <family val="1"/>
    </font>
    <font>
      <b/>
      <sz val="12"/>
      <color theme="1"/>
      <name val="Arial"/>
      <family val="2"/>
    </font>
    <font>
      <sz val="8"/>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rgb="FF00B050"/>
        <bgColor indexed="64"/>
      </patternFill>
    </fill>
  </fills>
  <borders count="1">
    <border>
      <left/>
      <right/>
      <top/>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19">
    <xf numFmtId="0" fontId="0" fillId="0" borderId="0" xfId="0"/>
    <xf numFmtId="9" fontId="0" fillId="0" borderId="0" xfId="3" applyFont="1"/>
    <xf numFmtId="9" fontId="0" fillId="0" borderId="0" xfId="0" applyNumberFormat="1"/>
    <xf numFmtId="0" fontId="2" fillId="0" borderId="0" xfId="0" applyFont="1" applyAlignment="1">
      <alignment horizontal="justify" vertical="center"/>
    </xf>
    <xf numFmtId="0" fontId="2" fillId="0" borderId="0" xfId="0" applyFont="1" applyAlignment="1">
      <alignment vertical="center"/>
    </xf>
    <xf numFmtId="0" fontId="4" fillId="0" borderId="0" xfId="0" applyFont="1" applyAlignment="1">
      <alignment horizontal="justify" vertical="center"/>
    </xf>
    <xf numFmtId="43" fontId="0" fillId="0" borderId="0" xfId="1" applyFont="1"/>
    <xf numFmtId="9" fontId="0" fillId="0" borderId="0" xfId="1" applyNumberFormat="1" applyFont="1"/>
    <xf numFmtId="0" fontId="2" fillId="2" borderId="0" xfId="0" applyFont="1" applyFill="1" applyAlignment="1">
      <alignment horizontal="justify" vertical="center"/>
    </xf>
    <xf numFmtId="8" fontId="0" fillId="0" borderId="0" xfId="1" applyNumberFormat="1" applyFont="1"/>
    <xf numFmtId="8" fontId="0" fillId="2" borderId="0" xfId="1" applyNumberFormat="1" applyFont="1" applyFill="1"/>
    <xf numFmtId="43" fontId="0" fillId="0" borderId="0" xfId="0" applyNumberFormat="1"/>
    <xf numFmtId="167" fontId="0" fillId="0" borderId="0" xfId="0" applyNumberFormat="1"/>
    <xf numFmtId="43" fontId="1" fillId="3" borderId="0" xfId="1" applyFont="1" applyFill="1"/>
    <xf numFmtId="0" fontId="1" fillId="3" borderId="0" xfId="0" applyFont="1" applyFill="1"/>
    <xf numFmtId="10" fontId="0" fillId="0" borderId="0" xfId="3" applyNumberFormat="1" applyFont="1"/>
    <xf numFmtId="43" fontId="0" fillId="3" borderId="0" xfId="1" applyFont="1" applyFill="1"/>
    <xf numFmtId="0" fontId="0" fillId="3" borderId="0" xfId="0" applyFill="1"/>
    <xf numFmtId="44" fontId="0" fillId="0" borderId="0" xfId="2" applyFont="1"/>
  </cellXfs>
  <cellStyles count="4">
    <cellStyle name="Milliers" xfId="1" builtinId="3"/>
    <cellStyle name="Monétaire" xfId="2" builtinId="4"/>
    <cellStyle name="Normal" xfId="0" builtinId="0"/>
    <cellStyle name="Pourcentage"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F090C-72FE-4C84-ABF6-17550A980A48}">
  <dimension ref="A1:E6"/>
  <sheetViews>
    <sheetView workbookViewId="0">
      <selection activeCell="D31" sqref="D31"/>
    </sheetView>
  </sheetViews>
  <sheetFormatPr baseColWidth="10" defaultRowHeight="14.4" x14ac:dyDescent="0.3"/>
  <cols>
    <col min="1" max="1" width="27.44140625" bestFit="1" customWidth="1"/>
  </cols>
  <sheetData>
    <row r="1" spans="1:5" x14ac:dyDescent="0.3">
      <c r="B1">
        <v>2020</v>
      </c>
      <c r="C1">
        <v>2021</v>
      </c>
      <c r="D1">
        <v>2022</v>
      </c>
      <c r="E1" t="s">
        <v>5</v>
      </c>
    </row>
    <row r="2" spans="1:5" x14ac:dyDescent="0.3">
      <c r="A2" t="s">
        <v>0</v>
      </c>
      <c r="B2">
        <v>4.8</v>
      </c>
      <c r="C2">
        <v>4.8</v>
      </c>
      <c r="D2">
        <f>+(1334911+132000+880000)/(121000+330000)</f>
        <v>5.2037937915742791</v>
      </c>
      <c r="E2">
        <f>+D2-C2</f>
        <v>0.4037937915742793</v>
      </c>
    </row>
    <row r="3" spans="1:5" x14ac:dyDescent="0.3">
      <c r="A3" t="s">
        <v>1</v>
      </c>
      <c r="B3">
        <v>0.65</v>
      </c>
      <c r="C3">
        <v>0.62</v>
      </c>
      <c r="D3">
        <f>+(121000+330000+6050000)/9566323</f>
        <v>0.67957145080717007</v>
      </c>
      <c r="E3">
        <f>+D3-C3</f>
        <v>5.9571450807170079E-2</v>
      </c>
    </row>
    <row r="4" spans="1:5" x14ac:dyDescent="0.3">
      <c r="A4" t="s">
        <v>2</v>
      </c>
      <c r="B4">
        <v>20</v>
      </c>
      <c r="C4">
        <v>21</v>
      </c>
      <c r="D4">
        <f>+((880000+704000)/2/16500000)*365</f>
        <v>17.52</v>
      </c>
      <c r="E4">
        <f t="shared" ref="E4:E6" si="0">+D4-C4</f>
        <v>-3.4800000000000004</v>
      </c>
    </row>
    <row r="5" spans="1:5" x14ac:dyDescent="0.3">
      <c r="A5" t="s">
        <v>3</v>
      </c>
      <c r="B5" s="1">
        <v>0.04</v>
      </c>
      <c r="C5" s="1">
        <v>0.05</v>
      </c>
      <c r="D5" s="1">
        <f>1220955/22000000</f>
        <v>5.5497954545454545E-2</v>
      </c>
      <c r="E5" s="2">
        <f>+D5-C5</f>
        <v>5.497954545454542E-3</v>
      </c>
    </row>
    <row r="6" spans="1:5" x14ac:dyDescent="0.3">
      <c r="A6" t="s">
        <v>4</v>
      </c>
      <c r="B6" s="1">
        <v>0</v>
      </c>
      <c r="C6" s="1">
        <v>0.11</v>
      </c>
      <c r="D6" s="1">
        <f>1220955/(8345368+9566323/2)</f>
        <v>9.3000133792592685E-2</v>
      </c>
      <c r="E6">
        <f t="shared" si="0"/>
        <v>-1.6999866207407316E-2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1D51F-BDA7-4178-83D6-3B97FDC74109}">
  <dimension ref="A1:N31"/>
  <sheetViews>
    <sheetView topLeftCell="A11" workbookViewId="0">
      <selection activeCell="G34" sqref="G34"/>
    </sheetView>
  </sheetViews>
  <sheetFormatPr baseColWidth="10" defaultRowHeight="14.4" x14ac:dyDescent="0.3"/>
  <cols>
    <col min="1" max="1" width="61" bestFit="1" customWidth="1"/>
    <col min="2" max="2" width="13.44140625" style="6" bestFit="1" customWidth="1"/>
  </cols>
  <sheetData>
    <row r="1" spans="1:14" ht="30" x14ac:dyDescent="0.3">
      <c r="A1" s="3" t="s">
        <v>6</v>
      </c>
    </row>
    <row r="2" spans="1:14" ht="15" x14ac:dyDescent="0.3">
      <c r="A2" s="4"/>
    </row>
    <row r="3" spans="1:14" ht="105" x14ac:dyDescent="0.3">
      <c r="A3" s="3" t="s">
        <v>7</v>
      </c>
    </row>
    <row r="4" spans="1:14" ht="15" x14ac:dyDescent="0.3">
      <c r="A4" s="4"/>
    </row>
    <row r="5" spans="1:14" ht="30" x14ac:dyDescent="0.3">
      <c r="A5" s="3" t="s">
        <v>8</v>
      </c>
    </row>
    <row r="6" spans="1:14" ht="15" x14ac:dyDescent="0.3">
      <c r="A6" s="3"/>
    </row>
    <row r="7" spans="1:14" ht="15" x14ac:dyDescent="0.3">
      <c r="A7" s="8" t="s">
        <v>10</v>
      </c>
    </row>
    <row r="8" spans="1:14" ht="45" x14ac:dyDescent="0.3">
      <c r="A8" s="3" t="s">
        <v>11</v>
      </c>
    </row>
    <row r="9" spans="1:14" ht="15" x14ac:dyDescent="0.3">
      <c r="A9" s="3" t="s">
        <v>12</v>
      </c>
    </row>
    <row r="10" spans="1:14" ht="15" x14ac:dyDescent="0.3">
      <c r="A10" s="3"/>
    </row>
    <row r="11" spans="1:14" ht="75" x14ac:dyDescent="0.3">
      <c r="A11" s="3" t="s">
        <v>9</v>
      </c>
    </row>
    <row r="12" spans="1:14" ht="15.6" x14ac:dyDescent="0.3">
      <c r="A12" s="5"/>
      <c r="B12" s="6" t="s">
        <v>15</v>
      </c>
      <c r="C12" s="6" t="s">
        <v>16</v>
      </c>
      <c r="D12" s="6" t="s">
        <v>17</v>
      </c>
      <c r="E12" s="6" t="s">
        <v>18</v>
      </c>
      <c r="F12" s="6" t="s">
        <v>19</v>
      </c>
      <c r="G12" s="6" t="s">
        <v>20</v>
      </c>
      <c r="H12" s="6" t="s">
        <v>21</v>
      </c>
      <c r="I12" s="6" t="s">
        <v>22</v>
      </c>
      <c r="J12" s="6" t="s">
        <v>23</v>
      </c>
      <c r="K12" s="6" t="s">
        <v>24</v>
      </c>
      <c r="L12" s="6" t="s">
        <v>25</v>
      </c>
      <c r="M12" s="6" t="s">
        <v>26</v>
      </c>
      <c r="N12" s="6" t="s">
        <v>27</v>
      </c>
    </row>
    <row r="13" spans="1:14" x14ac:dyDescent="0.3">
      <c r="C13" s="6"/>
      <c r="D13" s="6"/>
      <c r="E13" s="6"/>
      <c r="F13" s="6"/>
      <c r="G13" s="6"/>
      <c r="H13" s="6"/>
      <c r="I13" s="6"/>
      <c r="J13" s="6"/>
      <c r="K13" s="6"/>
      <c r="L13" s="6"/>
      <c r="M13" s="6"/>
      <c r="N13" s="6"/>
    </row>
    <row r="14" spans="1:14" x14ac:dyDescent="0.3">
      <c r="A14" t="s">
        <v>13</v>
      </c>
      <c r="B14" s="6">
        <v>-1500000</v>
      </c>
      <c r="C14" s="6"/>
      <c r="D14" s="6"/>
      <c r="E14" s="6"/>
      <c r="F14" s="6"/>
      <c r="G14" s="6"/>
      <c r="H14" s="6"/>
      <c r="I14" s="6"/>
      <c r="J14" s="6"/>
      <c r="K14" s="6"/>
      <c r="L14" s="6"/>
      <c r="M14" s="6"/>
      <c r="N14" s="6"/>
    </row>
    <row r="15" spans="1:14" x14ac:dyDescent="0.3">
      <c r="A15" t="s">
        <v>14</v>
      </c>
      <c r="C15" s="6"/>
      <c r="D15" s="6"/>
      <c r="E15" s="6"/>
      <c r="F15" s="6"/>
      <c r="G15" s="6"/>
      <c r="H15" s="6"/>
      <c r="I15" s="6"/>
      <c r="J15" s="6"/>
      <c r="K15" s="6"/>
      <c r="L15" s="6"/>
      <c r="M15" s="6"/>
      <c r="N15" s="6">
        <v>60000</v>
      </c>
    </row>
    <row r="16" spans="1:14" x14ac:dyDescent="0.3">
      <c r="A16" t="s">
        <v>30</v>
      </c>
    </row>
    <row r="17" spans="1:14" x14ac:dyDescent="0.3">
      <c r="B17" s="9">
        <f>+NPV(B21,C16:N16)</f>
        <v>0</v>
      </c>
      <c r="C17">
        <v>265000</v>
      </c>
      <c r="D17">
        <v>265000</v>
      </c>
      <c r="E17">
        <v>265000</v>
      </c>
      <c r="F17">
        <v>265000</v>
      </c>
      <c r="G17">
        <v>265000</v>
      </c>
      <c r="H17">
        <v>265000</v>
      </c>
      <c r="I17">
        <v>265000</v>
      </c>
      <c r="J17">
        <v>265000</v>
      </c>
      <c r="K17">
        <v>265000</v>
      </c>
      <c r="L17">
        <v>265000</v>
      </c>
      <c r="M17">
        <v>265000</v>
      </c>
      <c r="N17">
        <v>265000</v>
      </c>
    </row>
    <row r="18" spans="1:14" x14ac:dyDescent="0.3">
      <c r="C18">
        <v>-250000</v>
      </c>
      <c r="D18">
        <v>-250000</v>
      </c>
      <c r="E18">
        <v>-250000</v>
      </c>
      <c r="F18">
        <v>-250000</v>
      </c>
      <c r="G18">
        <v>-250000</v>
      </c>
      <c r="H18">
        <v>-250000</v>
      </c>
      <c r="I18">
        <v>-250000</v>
      </c>
      <c r="J18">
        <v>-250000</v>
      </c>
      <c r="K18">
        <v>-250000</v>
      </c>
      <c r="L18">
        <v>-250000</v>
      </c>
      <c r="M18">
        <v>-250000</v>
      </c>
      <c r="N18">
        <v>-250000</v>
      </c>
    </row>
    <row r="19" spans="1:14" x14ac:dyDescent="0.3">
      <c r="A19" t="s">
        <v>35</v>
      </c>
      <c r="C19">
        <f>+SUM(C17:C18)</f>
        <v>15000</v>
      </c>
      <c r="D19">
        <f t="shared" ref="D19:N19" si="0">+SUM(D17:D18)</f>
        <v>15000</v>
      </c>
      <c r="E19">
        <f t="shared" si="0"/>
        <v>15000</v>
      </c>
      <c r="F19">
        <f t="shared" si="0"/>
        <v>15000</v>
      </c>
      <c r="G19">
        <f t="shared" si="0"/>
        <v>15000</v>
      </c>
      <c r="H19">
        <f t="shared" si="0"/>
        <v>15000</v>
      </c>
      <c r="I19">
        <f t="shared" si="0"/>
        <v>15000</v>
      </c>
      <c r="J19">
        <f t="shared" si="0"/>
        <v>15000</v>
      </c>
      <c r="K19">
        <f t="shared" si="0"/>
        <v>15000</v>
      </c>
      <c r="L19">
        <f t="shared" si="0"/>
        <v>15000</v>
      </c>
      <c r="M19">
        <f t="shared" si="0"/>
        <v>15000</v>
      </c>
      <c r="N19">
        <f t="shared" si="0"/>
        <v>15000</v>
      </c>
    </row>
    <row r="20" spans="1:14" x14ac:dyDescent="0.3">
      <c r="A20" t="s">
        <v>36</v>
      </c>
      <c r="C20">
        <f>+C17-150000</f>
        <v>115000</v>
      </c>
      <c r="D20">
        <f t="shared" ref="D20:N20" si="1">+D17-150000</f>
        <v>115000</v>
      </c>
      <c r="E20">
        <f t="shared" si="1"/>
        <v>115000</v>
      </c>
      <c r="F20">
        <f t="shared" si="1"/>
        <v>115000</v>
      </c>
      <c r="G20">
        <f t="shared" si="1"/>
        <v>115000</v>
      </c>
      <c r="H20">
        <f t="shared" si="1"/>
        <v>115000</v>
      </c>
      <c r="I20">
        <f t="shared" si="1"/>
        <v>115000</v>
      </c>
      <c r="J20">
        <f t="shared" si="1"/>
        <v>115000</v>
      </c>
      <c r="K20">
        <f t="shared" si="1"/>
        <v>115000</v>
      </c>
      <c r="L20">
        <f t="shared" si="1"/>
        <v>115000</v>
      </c>
      <c r="M20">
        <f t="shared" si="1"/>
        <v>115000</v>
      </c>
      <c r="N20">
        <f t="shared" si="1"/>
        <v>115000</v>
      </c>
    </row>
    <row r="21" spans="1:14" x14ac:dyDescent="0.3">
      <c r="A21" t="s">
        <v>28</v>
      </c>
      <c r="B21" s="7">
        <f>12%</f>
        <v>0.12</v>
      </c>
    </row>
    <row r="22" spans="1:14" x14ac:dyDescent="0.3">
      <c r="A22" t="s">
        <v>37</v>
      </c>
      <c r="B22" s="7">
        <v>0.02</v>
      </c>
    </row>
    <row r="23" spans="1:14" x14ac:dyDescent="0.3">
      <c r="B23" s="7"/>
    </row>
    <row r="24" spans="1:14" x14ac:dyDescent="0.3">
      <c r="B24" s="7"/>
    </row>
    <row r="25" spans="1:14" x14ac:dyDescent="0.3">
      <c r="A25" t="s">
        <v>31</v>
      </c>
    </row>
    <row r="26" spans="1:14" x14ac:dyDescent="0.3">
      <c r="A26" t="s">
        <v>34</v>
      </c>
      <c r="B26" s="9">
        <f>+NPV(B21,C17:N17)</f>
        <v>1641509.169745598</v>
      </c>
    </row>
    <row r="27" spans="1:14" x14ac:dyDescent="0.3">
      <c r="A27" t="s">
        <v>29</v>
      </c>
      <c r="B27" s="10">
        <f>+B26+B14</f>
        <v>141509.16974559799</v>
      </c>
    </row>
    <row r="29" spans="1:14" x14ac:dyDescent="0.3">
      <c r="A29" t="s">
        <v>32</v>
      </c>
      <c r="B29" s="10">
        <f>+NPV(B21,C20:N20)</f>
        <v>712353.03592733503</v>
      </c>
    </row>
    <row r="31" spans="1:14" x14ac:dyDescent="0.3">
      <c r="A31" t="s">
        <v>33</v>
      </c>
      <c r="B31" s="10">
        <f>+NPV(B21,C19:N19)</f>
        <v>92915.613381826304</v>
      </c>
    </row>
  </sheetData>
  <phoneticPr fontId="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CA916-D68E-423D-9B5B-53CA2DC9ADAB}">
  <dimension ref="A1:L28"/>
  <sheetViews>
    <sheetView topLeftCell="A7" workbookViewId="0">
      <selection activeCell="L32" sqref="L32"/>
    </sheetView>
  </sheetViews>
  <sheetFormatPr baseColWidth="10" defaultRowHeight="14.4" x14ac:dyDescent="0.3"/>
  <cols>
    <col min="1" max="1" width="28.109375" bestFit="1" customWidth="1"/>
    <col min="2" max="2" width="11.5546875" style="6"/>
    <col min="6" max="6" width="14.33203125" bestFit="1" customWidth="1"/>
  </cols>
  <sheetData>
    <row r="1" spans="1:12" x14ac:dyDescent="0.3">
      <c r="A1" t="s">
        <v>46</v>
      </c>
      <c r="B1" s="6">
        <v>1000</v>
      </c>
      <c r="C1" t="s">
        <v>47</v>
      </c>
    </row>
    <row r="3" spans="1:12" x14ac:dyDescent="0.3">
      <c r="B3" s="6" t="s">
        <v>48</v>
      </c>
      <c r="C3" t="s">
        <v>38</v>
      </c>
    </row>
    <row r="4" spans="1:12" x14ac:dyDescent="0.3">
      <c r="A4" t="s">
        <v>39</v>
      </c>
      <c r="B4" s="6">
        <v>5</v>
      </c>
      <c r="C4">
        <v>5</v>
      </c>
    </row>
    <row r="5" spans="1:12" x14ac:dyDescent="0.3">
      <c r="A5" t="s">
        <v>40</v>
      </c>
      <c r="B5" s="6">
        <v>2</v>
      </c>
      <c r="C5">
        <v>2</v>
      </c>
    </row>
    <row r="6" spans="1:12" x14ac:dyDescent="0.3">
      <c r="A6" t="s">
        <v>49</v>
      </c>
      <c r="B6" s="6">
        <v>1.75</v>
      </c>
      <c r="C6">
        <v>1.75</v>
      </c>
    </row>
    <row r="7" spans="1:12" x14ac:dyDescent="0.3">
      <c r="A7" t="s">
        <v>43</v>
      </c>
      <c r="C7" s="12">
        <f>3000/B1</f>
        <v>3</v>
      </c>
    </row>
    <row r="8" spans="1:12" x14ac:dyDescent="0.3">
      <c r="A8" t="s">
        <v>42</v>
      </c>
      <c r="B8" s="6">
        <f>+SUM(B4:B7)</f>
        <v>8.75</v>
      </c>
      <c r="C8" s="6">
        <f>+SUM(C4:C7)</f>
        <v>11.75</v>
      </c>
    </row>
    <row r="10" spans="1:12" x14ac:dyDescent="0.3">
      <c r="A10" t="s">
        <v>50</v>
      </c>
    </row>
    <row r="11" spans="1:12" x14ac:dyDescent="0.3">
      <c r="A11" t="s">
        <v>51</v>
      </c>
      <c r="B11" s="6">
        <f>35*800</f>
        <v>28000</v>
      </c>
      <c r="D11" s="6">
        <f>+B11</f>
        <v>28000</v>
      </c>
    </row>
    <row r="12" spans="1:12" x14ac:dyDescent="0.3">
      <c r="A12" t="s">
        <v>45</v>
      </c>
      <c r="B12" s="6">
        <f>-C8*800</f>
        <v>-9400</v>
      </c>
      <c r="D12" s="6">
        <f>-800*B8</f>
        <v>-7000</v>
      </c>
    </row>
    <row r="13" spans="1:12" x14ac:dyDescent="0.3">
      <c r="A13" t="s">
        <v>52</v>
      </c>
      <c r="B13" s="6">
        <f>+B11+B12</f>
        <v>18600</v>
      </c>
      <c r="C13" s="6"/>
      <c r="D13" s="6">
        <f t="shared" ref="D13" si="0">+D11+D12</f>
        <v>21000</v>
      </c>
      <c r="J13" t="s">
        <v>59</v>
      </c>
      <c r="K13">
        <v>500</v>
      </c>
      <c r="L13">
        <f>+K13*H27</f>
        <v>5000</v>
      </c>
    </row>
    <row r="14" spans="1:12" x14ac:dyDescent="0.3">
      <c r="A14" t="s">
        <v>53</v>
      </c>
      <c r="B14" s="6">
        <v>-2200</v>
      </c>
      <c r="D14" s="6">
        <f>+B14</f>
        <v>-2200</v>
      </c>
      <c r="J14" t="s">
        <v>60</v>
      </c>
      <c r="K14">
        <v>200</v>
      </c>
      <c r="L14">
        <f>-K14*H27</f>
        <v>-2000</v>
      </c>
    </row>
    <row r="15" spans="1:12" x14ac:dyDescent="0.3">
      <c r="A15" t="s">
        <v>41</v>
      </c>
      <c r="B15" s="6">
        <f>-0.5*800</f>
        <v>-400</v>
      </c>
      <c r="D15" s="6">
        <f>+B15</f>
        <v>-400</v>
      </c>
      <c r="J15" t="s">
        <v>44</v>
      </c>
      <c r="K15">
        <v>300</v>
      </c>
      <c r="L15">
        <f>+L13+L14</f>
        <v>3000</v>
      </c>
    </row>
    <row r="16" spans="1:12" x14ac:dyDescent="0.3">
      <c r="A16" t="s">
        <v>54</v>
      </c>
      <c r="B16" s="6">
        <f>+SUM(B13:B15)</f>
        <v>16000</v>
      </c>
      <c r="D16" s="6"/>
      <c r="J16" t="s">
        <v>61</v>
      </c>
      <c r="K16">
        <v>3000</v>
      </c>
    </row>
    <row r="17" spans="1:12" x14ac:dyDescent="0.3">
      <c r="A17" t="s">
        <v>43</v>
      </c>
      <c r="D17" s="6">
        <v>-3000</v>
      </c>
      <c r="L17">
        <f>+L15-K16</f>
        <v>0</v>
      </c>
    </row>
    <row r="18" spans="1:12" x14ac:dyDescent="0.3">
      <c r="A18" t="s">
        <v>54</v>
      </c>
      <c r="B18" s="6">
        <f>+SUM(B16:B17)</f>
        <v>16000</v>
      </c>
      <c r="D18" s="6">
        <f>+SUM(D13:D17)</f>
        <v>15400</v>
      </c>
    </row>
    <row r="20" spans="1:12" x14ac:dyDescent="0.3">
      <c r="C20">
        <f>1500*13</f>
        <v>19500</v>
      </c>
    </row>
    <row r="21" spans="1:12" x14ac:dyDescent="0.3">
      <c r="A21" t="s">
        <v>63</v>
      </c>
      <c r="B21" s="6">
        <v>300</v>
      </c>
    </row>
    <row r="22" spans="1:12" x14ac:dyDescent="0.3">
      <c r="A22" t="s">
        <v>39</v>
      </c>
      <c r="B22" s="6">
        <v>200</v>
      </c>
    </row>
    <row r="23" spans="1:12" x14ac:dyDescent="0.3">
      <c r="A23" t="s">
        <v>40</v>
      </c>
      <c r="B23" s="6">
        <v>100</v>
      </c>
      <c r="E23" t="s">
        <v>55</v>
      </c>
      <c r="F23" t="s">
        <v>56</v>
      </c>
    </row>
    <row r="24" spans="1:12" x14ac:dyDescent="0.3">
      <c r="A24" t="s">
        <v>64</v>
      </c>
      <c r="B24" s="6">
        <v>50</v>
      </c>
    </row>
    <row r="25" spans="1:12" x14ac:dyDescent="0.3">
      <c r="F25" t="s">
        <v>57</v>
      </c>
      <c r="G25" s="6">
        <v>5000</v>
      </c>
      <c r="H25" t="s">
        <v>58</v>
      </c>
    </row>
    <row r="26" spans="1:12" x14ac:dyDescent="0.3">
      <c r="A26" t="s">
        <v>65</v>
      </c>
      <c r="B26" s="6">
        <v>200</v>
      </c>
    </row>
    <row r="27" spans="1:12" x14ac:dyDescent="0.3">
      <c r="G27" t="s">
        <v>62</v>
      </c>
      <c r="H27">
        <f>(0+3000)/300</f>
        <v>10</v>
      </c>
    </row>
    <row r="28" spans="1:12" x14ac:dyDescent="0.3">
      <c r="A28" t="s">
        <v>66</v>
      </c>
      <c r="B28" s="6">
        <f>+B21+B22+B23+B24-B26</f>
        <v>450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23EFB-8312-4467-8900-7FB013D0AE8B}">
  <dimension ref="A1:D18"/>
  <sheetViews>
    <sheetView workbookViewId="0">
      <selection activeCell="K18" sqref="K18"/>
    </sheetView>
  </sheetViews>
  <sheetFormatPr baseColWidth="10" defaultRowHeight="14.4" x14ac:dyDescent="0.3"/>
  <cols>
    <col min="1" max="1" width="24.44140625" style="6" bestFit="1" customWidth="1"/>
  </cols>
  <sheetData>
    <row r="1" spans="1:4" x14ac:dyDescent="0.3">
      <c r="A1" s="6">
        <v>8000</v>
      </c>
      <c r="B1" t="s">
        <v>67</v>
      </c>
    </row>
    <row r="2" spans="1:4" x14ac:dyDescent="0.3">
      <c r="C2" t="s">
        <v>60</v>
      </c>
      <c r="D2" t="s">
        <v>68</v>
      </c>
    </row>
    <row r="3" spans="1:4" x14ac:dyDescent="0.3">
      <c r="A3" s="6" t="s">
        <v>59</v>
      </c>
      <c r="B3">
        <v>10</v>
      </c>
      <c r="C3" s="6">
        <f>+B3*A1</f>
        <v>80000</v>
      </c>
      <c r="D3" s="6">
        <f>+C3</f>
        <v>80000</v>
      </c>
    </row>
    <row r="4" spans="1:4" x14ac:dyDescent="0.3">
      <c r="A4" s="6" t="s">
        <v>39</v>
      </c>
      <c r="C4" s="6">
        <v>2</v>
      </c>
      <c r="D4" s="6">
        <v>2</v>
      </c>
    </row>
    <row r="5" spans="1:4" x14ac:dyDescent="0.3">
      <c r="A5" s="6" t="s">
        <v>40</v>
      </c>
      <c r="C5" s="6">
        <v>3</v>
      </c>
      <c r="D5" s="6">
        <v>3</v>
      </c>
    </row>
    <row r="6" spans="1:4" x14ac:dyDescent="0.3">
      <c r="A6" s="6" t="s">
        <v>69</v>
      </c>
      <c r="C6" s="6">
        <v>1</v>
      </c>
      <c r="D6" s="6">
        <v>1</v>
      </c>
    </row>
    <row r="7" spans="1:4" x14ac:dyDescent="0.3">
      <c r="A7" s="6" t="s">
        <v>70</v>
      </c>
      <c r="C7" s="6">
        <v>1.5</v>
      </c>
      <c r="D7" s="6"/>
    </row>
    <row r="8" spans="1:4" x14ac:dyDescent="0.3">
      <c r="A8" s="6" t="s">
        <v>42</v>
      </c>
      <c r="C8" s="6">
        <f>+SUM(C4:C7)</f>
        <v>7.5</v>
      </c>
      <c r="D8" s="6">
        <f>+SUM(D4:D7)</f>
        <v>6</v>
      </c>
    </row>
    <row r="9" spans="1:4" x14ac:dyDescent="0.3">
      <c r="A9" s="6" t="s">
        <v>73</v>
      </c>
      <c r="C9" s="6"/>
      <c r="D9" s="6">
        <f>1.2*A1</f>
        <v>9600</v>
      </c>
    </row>
    <row r="10" spans="1:4" x14ac:dyDescent="0.3">
      <c r="A10" s="6" t="s">
        <v>71</v>
      </c>
      <c r="C10" s="6">
        <f>+C8*A1</f>
        <v>60000</v>
      </c>
      <c r="D10" s="6">
        <f>+D8*A1+D9</f>
        <v>57600</v>
      </c>
    </row>
    <row r="11" spans="1:4" x14ac:dyDescent="0.3">
      <c r="A11" s="6" t="s">
        <v>44</v>
      </c>
      <c r="C11" s="6">
        <f>+B3-C8</f>
        <v>2.5</v>
      </c>
      <c r="D11" s="6"/>
    </row>
    <row r="12" spans="1:4" x14ac:dyDescent="0.3">
      <c r="A12" s="6" t="s">
        <v>45</v>
      </c>
      <c r="C12" s="6"/>
      <c r="D12" s="6">
        <f>+D10</f>
        <v>57600</v>
      </c>
    </row>
    <row r="13" spans="1:4" x14ac:dyDescent="0.3">
      <c r="A13" s="6" t="s">
        <v>52</v>
      </c>
      <c r="C13" s="6">
        <f>+C3-C10</f>
        <v>20000</v>
      </c>
      <c r="D13" s="6">
        <f>+D3-D12</f>
        <v>22400</v>
      </c>
    </row>
    <row r="14" spans="1:4" x14ac:dyDescent="0.3">
      <c r="C14" s="6"/>
      <c r="D14" s="6"/>
    </row>
    <row r="15" spans="1:4" x14ac:dyDescent="0.3">
      <c r="A15" s="13" t="s">
        <v>74</v>
      </c>
      <c r="B15" s="14"/>
      <c r="C15" s="13">
        <v>6000</v>
      </c>
      <c r="D15" s="6">
        <v>6000</v>
      </c>
    </row>
    <row r="16" spans="1:4" x14ac:dyDescent="0.3">
      <c r="A16" s="6" t="s">
        <v>70</v>
      </c>
      <c r="C16" s="6"/>
      <c r="D16" s="6">
        <f>+C7*A1</f>
        <v>12000</v>
      </c>
    </row>
    <row r="17" spans="1:4" x14ac:dyDescent="0.3">
      <c r="A17" s="6" t="s">
        <v>73</v>
      </c>
      <c r="C17" s="6">
        <v>12000</v>
      </c>
      <c r="D17" s="6"/>
    </row>
    <row r="18" spans="1:4" x14ac:dyDescent="0.3">
      <c r="A18" s="6" t="s">
        <v>72</v>
      </c>
      <c r="C18" s="6">
        <f>+C13-C15-C17</f>
        <v>2000</v>
      </c>
      <c r="D18" s="6">
        <f>+D13-D15-D16-D17</f>
        <v>4400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B8543-40FB-46D2-AF62-124ACA5338A2}">
  <dimension ref="A1:H26"/>
  <sheetViews>
    <sheetView workbookViewId="0">
      <selection activeCell="L28" sqref="L28"/>
    </sheetView>
  </sheetViews>
  <sheetFormatPr baseColWidth="10" defaultRowHeight="14.4" x14ac:dyDescent="0.3"/>
  <cols>
    <col min="1" max="1" width="18.77734375" bestFit="1" customWidth="1"/>
    <col min="2" max="2" width="13.77734375" bestFit="1" customWidth="1"/>
    <col min="3" max="3" width="11.5546875" style="6"/>
    <col min="8" max="8" width="17.33203125" bestFit="1" customWidth="1"/>
  </cols>
  <sheetData>
    <row r="1" spans="1:3" x14ac:dyDescent="0.3">
      <c r="A1" t="s">
        <v>81</v>
      </c>
      <c r="C1" s="6">
        <v>17000</v>
      </c>
    </row>
    <row r="2" spans="1:3" x14ac:dyDescent="0.3">
      <c r="A2" t="s">
        <v>75</v>
      </c>
      <c r="B2">
        <v>100</v>
      </c>
    </row>
    <row r="4" spans="1:3" x14ac:dyDescent="0.3">
      <c r="A4" t="s">
        <v>39</v>
      </c>
      <c r="B4">
        <v>25</v>
      </c>
    </row>
    <row r="5" spans="1:3" x14ac:dyDescent="0.3">
      <c r="A5" t="s">
        <v>40</v>
      </c>
      <c r="B5">
        <v>14</v>
      </c>
    </row>
    <row r="6" spans="1:3" x14ac:dyDescent="0.3">
      <c r="A6" t="s">
        <v>76</v>
      </c>
      <c r="B6">
        <v>7</v>
      </c>
    </row>
    <row r="7" spans="1:3" x14ac:dyDescent="0.3">
      <c r="A7" t="s">
        <v>77</v>
      </c>
    </row>
    <row r="8" spans="1:3" x14ac:dyDescent="0.3">
      <c r="A8" t="s">
        <v>90</v>
      </c>
      <c r="B8">
        <v>9</v>
      </c>
    </row>
    <row r="9" spans="1:3" x14ac:dyDescent="0.3">
      <c r="A9" t="s">
        <v>78</v>
      </c>
      <c r="B9">
        <f>+SUM(B4:B8)</f>
        <v>55</v>
      </c>
    </row>
    <row r="11" spans="1:3" x14ac:dyDescent="0.3">
      <c r="A11" t="s">
        <v>44</v>
      </c>
      <c r="B11">
        <f>+B2-B9</f>
        <v>45</v>
      </c>
      <c r="C11" s="15">
        <f>+B11/B2</f>
        <v>0.45</v>
      </c>
    </row>
    <row r="12" spans="1:3" x14ac:dyDescent="0.3">
      <c r="A12" t="s">
        <v>82</v>
      </c>
      <c r="B12">
        <v>32</v>
      </c>
      <c r="C12" s="6">
        <f>+B12*C1*0.5</f>
        <v>272000</v>
      </c>
    </row>
    <row r="13" spans="1:3" x14ac:dyDescent="0.3">
      <c r="A13" s="17" t="s">
        <v>83</v>
      </c>
      <c r="B13" s="17"/>
      <c r="C13" s="16">
        <f>+B13*C1*0.5</f>
        <v>0</v>
      </c>
    </row>
    <row r="14" spans="1:3" x14ac:dyDescent="0.3">
      <c r="A14" t="s">
        <v>84</v>
      </c>
      <c r="C14" s="6">
        <f>+C12+C13</f>
        <v>272000</v>
      </c>
    </row>
    <row r="16" spans="1:3" x14ac:dyDescent="0.3">
      <c r="A16" t="s">
        <v>79</v>
      </c>
      <c r="C16" s="6">
        <v>0.5</v>
      </c>
    </row>
    <row r="17" spans="1:8" x14ac:dyDescent="0.3">
      <c r="A17" t="s">
        <v>80</v>
      </c>
      <c r="C17" s="6">
        <v>32</v>
      </c>
    </row>
    <row r="19" spans="1:8" x14ac:dyDescent="0.3">
      <c r="A19" t="s">
        <v>85</v>
      </c>
      <c r="B19" s="6">
        <f>+C14/B11</f>
        <v>6044.4444444444443</v>
      </c>
      <c r="C19" s="6" t="s">
        <v>67</v>
      </c>
    </row>
    <row r="20" spans="1:8" x14ac:dyDescent="0.3">
      <c r="B20" s="6">
        <f>+C14/C11</f>
        <v>604444.44444444438</v>
      </c>
      <c r="C20" s="6" t="s">
        <v>86</v>
      </c>
      <c r="H20" t="s">
        <v>91</v>
      </c>
    </row>
    <row r="21" spans="1:8" x14ac:dyDescent="0.3">
      <c r="A21" t="s">
        <v>55</v>
      </c>
      <c r="B21" s="12">
        <f>+B11*C1-C14</f>
        <v>493000</v>
      </c>
    </row>
    <row r="22" spans="1:8" x14ac:dyDescent="0.3">
      <c r="B22" s="12"/>
      <c r="G22" t="s">
        <v>92</v>
      </c>
    </row>
    <row r="23" spans="1:8" x14ac:dyDescent="0.3">
      <c r="A23" t="s">
        <v>88</v>
      </c>
      <c r="B23" s="12">
        <f>+C1*B2-B20</f>
        <v>1095555.5555555555</v>
      </c>
      <c r="C23" s="16" t="s">
        <v>86</v>
      </c>
    </row>
    <row r="24" spans="1:8" x14ac:dyDescent="0.3">
      <c r="A24" t="s">
        <v>88</v>
      </c>
      <c r="B24" s="12">
        <f>+C1-B19</f>
        <v>10955.555555555555</v>
      </c>
      <c r="C24" s="6" t="s">
        <v>89</v>
      </c>
      <c r="G24">
        <f>52-45</f>
        <v>7</v>
      </c>
      <c r="H24">
        <f>272000+391000</f>
        <v>663000</v>
      </c>
    </row>
    <row r="25" spans="1:8" x14ac:dyDescent="0.3">
      <c r="G25" s="6">
        <f>+H24/G24</f>
        <v>94714.28571428571</v>
      </c>
    </row>
    <row r="26" spans="1:8" x14ac:dyDescent="0.3">
      <c r="A26" t="s">
        <v>87</v>
      </c>
      <c r="B26" s="12">
        <f>(20000*B11)-C14</f>
        <v>628000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AF0E1-D34A-45A6-B891-A1198A2E3A31}">
  <dimension ref="A2:B20"/>
  <sheetViews>
    <sheetView topLeftCell="A7" workbookViewId="0">
      <selection activeCell="E18" sqref="E18"/>
    </sheetView>
  </sheetViews>
  <sheetFormatPr baseColWidth="10" defaultRowHeight="14.4" x14ac:dyDescent="0.3"/>
  <cols>
    <col min="1" max="1" width="40.5546875" bestFit="1" customWidth="1"/>
  </cols>
  <sheetData>
    <row r="2" spans="1:2" x14ac:dyDescent="0.3">
      <c r="A2" t="s">
        <v>94</v>
      </c>
      <c r="B2">
        <v>4000</v>
      </c>
    </row>
    <row r="3" spans="1:2" x14ac:dyDescent="0.3">
      <c r="A3" t="s">
        <v>95</v>
      </c>
      <c r="B3">
        <f>+B2/0.8</f>
        <v>5000</v>
      </c>
    </row>
    <row r="5" spans="1:2" x14ac:dyDescent="0.3">
      <c r="A5" t="s">
        <v>96</v>
      </c>
      <c r="B5">
        <f>+B3-B2</f>
        <v>1000</v>
      </c>
    </row>
    <row r="7" spans="1:2" x14ac:dyDescent="0.3">
      <c r="A7" t="s">
        <v>75</v>
      </c>
      <c r="B7">
        <v>13</v>
      </c>
    </row>
    <row r="8" spans="1:2" x14ac:dyDescent="0.3">
      <c r="A8" t="s">
        <v>97</v>
      </c>
      <c r="B8">
        <f>+(56000-16000)/4000</f>
        <v>10</v>
      </c>
    </row>
    <row r="9" spans="1:2" x14ac:dyDescent="0.3">
      <c r="A9" t="s">
        <v>98</v>
      </c>
      <c r="B9">
        <f>+B7-B8</f>
        <v>3</v>
      </c>
    </row>
    <row r="11" spans="1:2" x14ac:dyDescent="0.3">
      <c r="A11" t="s">
        <v>99</v>
      </c>
    </row>
    <row r="12" spans="1:2" x14ac:dyDescent="0.3">
      <c r="B12">
        <f>+B9*B5</f>
        <v>3000</v>
      </c>
    </row>
    <row r="13" spans="1:2" x14ac:dyDescent="0.3">
      <c r="A13" t="s">
        <v>103</v>
      </c>
      <c r="B13" s="6">
        <v>1500</v>
      </c>
    </row>
    <row r="14" spans="1:2" x14ac:dyDescent="0.3">
      <c r="A14" t="s">
        <v>104</v>
      </c>
      <c r="B14">
        <v>-1000</v>
      </c>
    </row>
    <row r="15" spans="1:2" x14ac:dyDescent="0.3">
      <c r="A15" t="s">
        <v>105</v>
      </c>
      <c r="B15" s="11">
        <f>+B13+B14</f>
        <v>500</v>
      </c>
    </row>
    <row r="17" spans="1:2" x14ac:dyDescent="0.3">
      <c r="A17" t="s">
        <v>93</v>
      </c>
      <c r="B17">
        <f>+B7*B13</f>
        <v>19500</v>
      </c>
    </row>
    <row r="18" spans="1:2" x14ac:dyDescent="0.3">
      <c r="A18" t="s">
        <v>100</v>
      </c>
      <c r="B18">
        <f>-10*B13</f>
        <v>-15000</v>
      </c>
    </row>
    <row r="19" spans="1:2" x14ac:dyDescent="0.3">
      <c r="A19" t="s">
        <v>101</v>
      </c>
      <c r="B19" s="12">
        <f>-(20-10)*B15</f>
        <v>-5000</v>
      </c>
    </row>
    <row r="20" spans="1:2" x14ac:dyDescent="0.3">
      <c r="A20" t="s">
        <v>102</v>
      </c>
      <c r="B20">
        <f>+SUM(B17:B19)</f>
        <v>-500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7113C-065A-4EBC-92A0-18CD33643C87}">
  <dimension ref="A2:D18"/>
  <sheetViews>
    <sheetView workbookViewId="0">
      <selection activeCell="A19" sqref="A19"/>
    </sheetView>
  </sheetViews>
  <sheetFormatPr baseColWidth="10" defaultRowHeight="14.4" x14ac:dyDescent="0.3"/>
  <cols>
    <col min="1" max="1" width="19.44140625" customWidth="1"/>
  </cols>
  <sheetData>
    <row r="2" spans="1:4" x14ac:dyDescent="0.3">
      <c r="B2" t="s">
        <v>110</v>
      </c>
      <c r="C2" t="s">
        <v>109</v>
      </c>
      <c r="D2" t="s">
        <v>108</v>
      </c>
    </row>
    <row r="3" spans="1:4" x14ac:dyDescent="0.3">
      <c r="A3" t="s">
        <v>111</v>
      </c>
      <c r="B3" s="18">
        <v>32000</v>
      </c>
      <c r="C3" s="18">
        <v>50000</v>
      </c>
      <c r="D3" s="18">
        <v>45000</v>
      </c>
    </row>
    <row r="4" spans="1:4" x14ac:dyDescent="0.3">
      <c r="A4" t="s">
        <v>60</v>
      </c>
      <c r="B4" s="18">
        <f>+(2*36000)/3</f>
        <v>24000</v>
      </c>
      <c r="C4" s="18">
        <f>+(2*38000)/3</f>
        <v>25333.333333333332</v>
      </c>
      <c r="D4" s="18">
        <f>+(34000*2)/3</f>
        <v>22666.666666666668</v>
      </c>
    </row>
    <row r="5" spans="1:4" x14ac:dyDescent="0.3">
      <c r="A5" t="s">
        <v>44</v>
      </c>
      <c r="B5" s="18">
        <f>+B3-B4</f>
        <v>8000</v>
      </c>
      <c r="C5" s="18">
        <f t="shared" ref="C5:D5" si="0">+C3-C4</f>
        <v>24666.666666666668</v>
      </c>
      <c r="D5" s="18">
        <f t="shared" si="0"/>
        <v>22333.333333333332</v>
      </c>
    </row>
    <row r="6" spans="1:4" x14ac:dyDescent="0.3">
      <c r="A6" t="s">
        <v>61</v>
      </c>
      <c r="B6" s="18">
        <f>36000-B4</f>
        <v>12000</v>
      </c>
      <c r="C6" s="18">
        <f>38000-C4</f>
        <v>12666.666666666668</v>
      </c>
      <c r="D6" s="18">
        <f>34000-D4</f>
        <v>11333.333333333332</v>
      </c>
    </row>
    <row r="7" spans="1:4" x14ac:dyDescent="0.3">
      <c r="B7" s="18"/>
      <c r="C7" s="18"/>
      <c r="D7" s="18"/>
    </row>
    <row r="8" spans="1:4" x14ac:dyDescent="0.3">
      <c r="A8" t="s">
        <v>112</v>
      </c>
      <c r="B8" s="18">
        <f>+B5-B6</f>
        <v>-4000</v>
      </c>
      <c r="C8" s="18">
        <f t="shared" ref="C8:D8" si="1">+C5-C6</f>
        <v>12000</v>
      </c>
      <c r="D8" s="18">
        <f t="shared" si="1"/>
        <v>11000</v>
      </c>
    </row>
    <row r="10" spans="1:4" x14ac:dyDescent="0.3">
      <c r="A10" t="s">
        <v>39</v>
      </c>
      <c r="B10">
        <v>2.5</v>
      </c>
    </row>
    <row r="11" spans="1:4" x14ac:dyDescent="0.3">
      <c r="A11" t="s">
        <v>40</v>
      </c>
      <c r="B11">
        <v>1.25</v>
      </c>
    </row>
    <row r="12" spans="1:4" x14ac:dyDescent="0.3">
      <c r="A12" t="s">
        <v>113</v>
      </c>
      <c r="B12">
        <v>1.75</v>
      </c>
    </row>
    <row r="13" spans="1:4" x14ac:dyDescent="0.3">
      <c r="A13" t="s">
        <v>100</v>
      </c>
      <c r="B13">
        <f>+SUM(B10:B12)</f>
        <v>5.5</v>
      </c>
    </row>
    <row r="15" spans="1:4" x14ac:dyDescent="0.3">
      <c r="A15" t="s">
        <v>114</v>
      </c>
      <c r="B15">
        <v>7.75</v>
      </c>
    </row>
    <row r="17" spans="1:2" x14ac:dyDescent="0.3">
      <c r="A17" t="s">
        <v>115</v>
      </c>
      <c r="B17">
        <f>+(B13-B15)*50000</f>
        <v>-112500</v>
      </c>
    </row>
    <row r="18" spans="1:2" x14ac:dyDescent="0.3">
      <c r="A18" t="s">
        <v>116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42565-3EA2-4D06-8547-0F6C6EDE4008}">
  <dimension ref="A2:F22"/>
  <sheetViews>
    <sheetView tabSelected="1" topLeftCell="C5" workbookViewId="0">
      <selection activeCell="F19" sqref="F19"/>
    </sheetView>
  </sheetViews>
  <sheetFormatPr baseColWidth="10" defaultRowHeight="14.4" x14ac:dyDescent="0.3"/>
  <cols>
    <col min="2" max="2" width="22.77734375" customWidth="1"/>
    <col min="3" max="3" width="13.44140625" bestFit="1" customWidth="1"/>
    <col min="4" max="4" width="12.44140625" bestFit="1" customWidth="1"/>
  </cols>
  <sheetData>
    <row r="2" spans="1:6" x14ac:dyDescent="0.3">
      <c r="B2" t="s">
        <v>117</v>
      </c>
      <c r="C2" t="s">
        <v>106</v>
      </c>
      <c r="D2" t="s">
        <v>107</v>
      </c>
      <c r="E2" t="s">
        <v>118</v>
      </c>
    </row>
    <row r="4" spans="1:6" x14ac:dyDescent="0.3">
      <c r="A4" t="s">
        <v>44</v>
      </c>
      <c r="B4">
        <v>8</v>
      </c>
      <c r="C4">
        <v>8</v>
      </c>
      <c r="D4">
        <v>16</v>
      </c>
      <c r="E4">
        <v>14</v>
      </c>
    </row>
    <row r="5" spans="1:6" x14ac:dyDescent="0.3">
      <c r="B5">
        <v>3</v>
      </c>
      <c r="C5">
        <v>2</v>
      </c>
      <c r="D5">
        <v>7</v>
      </c>
      <c r="E5">
        <v>5</v>
      </c>
    </row>
    <row r="6" spans="1:6" x14ac:dyDescent="0.3">
      <c r="B6">
        <f>+B4/B5</f>
        <v>2.6666666666666665</v>
      </c>
      <c r="C6">
        <f t="shared" ref="C6:E6" si="0">+C4/C5</f>
        <v>4</v>
      </c>
      <c r="D6">
        <f t="shared" si="0"/>
        <v>2.2857142857142856</v>
      </c>
      <c r="E6">
        <f t="shared" si="0"/>
        <v>2.8</v>
      </c>
    </row>
    <row r="7" spans="1:6" x14ac:dyDescent="0.3">
      <c r="B7">
        <v>3</v>
      </c>
      <c r="C7">
        <v>1</v>
      </c>
      <c r="D7">
        <v>4</v>
      </c>
      <c r="E7">
        <v>2</v>
      </c>
    </row>
    <row r="9" spans="1:6" x14ac:dyDescent="0.3">
      <c r="B9" t="s">
        <v>119</v>
      </c>
    </row>
    <row r="10" spans="1:6" x14ac:dyDescent="0.3">
      <c r="C10" t="s">
        <v>124</v>
      </c>
      <c r="D10" t="s">
        <v>125</v>
      </c>
    </row>
    <row r="11" spans="1:6" x14ac:dyDescent="0.3">
      <c r="B11" t="s">
        <v>120</v>
      </c>
      <c r="C11">
        <v>10</v>
      </c>
      <c r="D11">
        <v>20</v>
      </c>
      <c r="E11">
        <v>2400000</v>
      </c>
      <c r="F11">
        <f>+E11/30</f>
        <v>80000</v>
      </c>
    </row>
    <row r="12" spans="1:6" x14ac:dyDescent="0.3">
      <c r="B12" t="s">
        <v>121</v>
      </c>
      <c r="C12">
        <v>30</v>
      </c>
      <c r="D12">
        <v>60</v>
      </c>
      <c r="E12">
        <v>1200000</v>
      </c>
      <c r="F12">
        <f>+E12/90</f>
        <v>13333.333333333334</v>
      </c>
    </row>
    <row r="13" spans="1:6" x14ac:dyDescent="0.3">
      <c r="B13" t="s">
        <v>122</v>
      </c>
      <c r="C13">
        <v>45000</v>
      </c>
      <c r="D13">
        <v>5000</v>
      </c>
      <c r="E13">
        <v>2000000</v>
      </c>
      <c r="F13">
        <f>+E13/50000</f>
        <v>40</v>
      </c>
    </row>
    <row r="14" spans="1:6" x14ac:dyDescent="0.3">
      <c r="B14" t="s">
        <v>123</v>
      </c>
      <c r="C14">
        <v>90000</v>
      </c>
      <c r="D14">
        <v>10000</v>
      </c>
      <c r="E14">
        <v>1600000</v>
      </c>
      <c r="F14">
        <f>+E14/100000</f>
        <v>16</v>
      </c>
    </row>
    <row r="16" spans="1:6" x14ac:dyDescent="0.3">
      <c r="C16">
        <f>+C11*F11</f>
        <v>800000</v>
      </c>
      <c r="D16">
        <f>+D11*F11</f>
        <v>1600000</v>
      </c>
    </row>
    <row r="17" spans="3:4" x14ac:dyDescent="0.3">
      <c r="C17">
        <f>+F12*C12</f>
        <v>400000</v>
      </c>
      <c r="D17">
        <f>+D12*F12</f>
        <v>800000</v>
      </c>
    </row>
    <row r="18" spans="3:4" x14ac:dyDescent="0.3">
      <c r="C18">
        <f>+C13*F13</f>
        <v>1800000</v>
      </c>
      <c r="D18">
        <f>+D13*F13</f>
        <v>200000</v>
      </c>
    </row>
    <row r="19" spans="3:4" x14ac:dyDescent="0.3">
      <c r="C19">
        <f>+C14*F14</f>
        <v>1440000</v>
      </c>
      <c r="D19">
        <f>+D14*F14</f>
        <v>160000</v>
      </c>
    </row>
    <row r="20" spans="3:4" x14ac:dyDescent="0.3">
      <c r="C20" s="6">
        <f>+SUM(C16:C19)</f>
        <v>4440000</v>
      </c>
      <c r="D20" s="6">
        <f>+SUM(D16:D19)</f>
        <v>2760000</v>
      </c>
    </row>
    <row r="21" spans="3:4" x14ac:dyDescent="0.3">
      <c r="C21" s="6">
        <v>15000000</v>
      </c>
      <c r="D21" s="6">
        <v>1700000</v>
      </c>
    </row>
    <row r="22" spans="3:4" x14ac:dyDescent="0.3">
      <c r="C22" s="11">
        <f>+SUM(C20:C21)</f>
        <v>19440000</v>
      </c>
      <c r="D22" s="11">
        <f>+SUM(D20:D21)</f>
        <v>4460000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8</vt:i4>
      </vt:variant>
    </vt:vector>
  </HeadingPairs>
  <TitlesOfParts>
    <vt:vector size="8" baseType="lpstr">
      <vt:lpstr>Diagnostique financier</vt:lpstr>
      <vt:lpstr>VAN</vt:lpstr>
      <vt:lpstr>Feuil3</vt:lpstr>
      <vt:lpstr>Feuil4</vt:lpstr>
      <vt:lpstr>Feuil5</vt:lpstr>
      <vt:lpstr>Feuil6</vt:lpstr>
      <vt:lpstr>Feuil7</vt:lpstr>
      <vt:lpstr>Feuil8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SOKRI Marzouk</dc:creator>
  <cp:lastModifiedBy>SOKRI Marzouk</cp:lastModifiedBy>
  <dcterms:created xsi:type="dcterms:W3CDTF">2025-04-01T12:48:55Z</dcterms:created>
  <dcterms:modified xsi:type="dcterms:W3CDTF">2025-04-06T14:13:53Z</dcterms:modified>
</cp:coreProperties>
</file>