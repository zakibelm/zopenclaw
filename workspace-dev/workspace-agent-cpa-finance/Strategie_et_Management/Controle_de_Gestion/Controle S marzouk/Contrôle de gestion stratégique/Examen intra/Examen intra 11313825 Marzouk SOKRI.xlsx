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bca8937e5be247ac/Bureau/"/>
    </mc:Choice>
  </mc:AlternateContent>
  <xr:revisionPtr revIDLastSave="536" documentId="11_AD4D9D64A577C15A4A541854901A68085BDEDD8D" xr6:coauthVersionLast="47" xr6:coauthVersionMax="47" xr10:uidLastSave="{7B082C31-D620-41D8-88EB-85480FF97EFE}"/>
  <bookViews>
    <workbookView xWindow="-108" yWindow="-108" windowWidth="23256" windowHeight="13896" activeTab="4" xr2:uid="{00000000-000D-0000-FFFF-FFFF00000000}"/>
  </bookViews>
  <sheets>
    <sheet name="FFPM" sheetId="1" r:id="rId1"/>
    <sheet name="FCS" sheetId="2" r:id="rId2"/>
    <sheet name="Amélioration de l'experience Ci" sheetId="3" r:id="rId3"/>
    <sheet name="ACP" sheetId="4" r:id="rId4"/>
    <sheet name="Feuil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3" i="5"/>
  <c r="G22" i="4"/>
  <c r="D19" i="4"/>
  <c r="E19" i="4" s="1"/>
  <c r="F19" i="4" s="1"/>
  <c r="G19" i="4" s="1"/>
  <c r="D18" i="4"/>
  <c r="E18" i="4" s="1"/>
  <c r="F18" i="4" s="1"/>
  <c r="G18" i="4" s="1"/>
  <c r="C16" i="4"/>
  <c r="D11" i="4"/>
  <c r="E11" i="4" s="1"/>
  <c r="F11" i="4" s="1"/>
  <c r="D12" i="4"/>
  <c r="E12" i="4" s="1"/>
  <c r="F12" i="4" s="1"/>
  <c r="G12" i="4" s="1"/>
  <c r="D10" i="4"/>
  <c r="D15" i="4" s="1"/>
  <c r="C15" i="4"/>
  <c r="D13" i="4"/>
  <c r="D17" i="4" s="1"/>
  <c r="C13" i="4"/>
  <c r="C17" i="4" s="1"/>
  <c r="B7" i="4"/>
  <c r="H15" i="4"/>
  <c r="I15" i="4"/>
  <c r="J15" i="4"/>
  <c r="K15" i="4"/>
  <c r="D34" i="3"/>
  <c r="C33" i="3"/>
  <c r="H29" i="3"/>
  <c r="H25" i="3"/>
  <c r="D20" i="3"/>
  <c r="E20" i="3" s="1"/>
  <c r="F20" i="3" s="1"/>
  <c r="G20" i="3" s="1"/>
  <c r="H20" i="3" s="1"/>
  <c r="D19" i="3"/>
  <c r="H11" i="3"/>
  <c r="H21" i="3" s="1"/>
  <c r="G11" i="3"/>
  <c r="G21" i="3" s="1"/>
  <c r="F11" i="3"/>
  <c r="F21" i="3" s="1"/>
  <c r="E11" i="3"/>
  <c r="E21" i="3" s="1"/>
  <c r="D11" i="3"/>
  <c r="D21" i="3" s="1"/>
  <c r="E9" i="3"/>
  <c r="F9" i="3"/>
  <c r="F24" i="3" s="1"/>
  <c r="G9" i="3"/>
  <c r="G24" i="3" s="1"/>
  <c r="H9" i="3"/>
  <c r="H24" i="3" s="1"/>
  <c r="D9" i="3"/>
  <c r="C14" i="3"/>
  <c r="E10" i="3"/>
  <c r="E19" i="3" s="1"/>
  <c r="F10" i="3"/>
  <c r="F19" i="3" s="1"/>
  <c r="G10" i="3"/>
  <c r="G19" i="3" s="1"/>
  <c r="H10" i="3"/>
  <c r="H19" i="3" s="1"/>
  <c r="D10" i="3"/>
  <c r="C40" i="3"/>
  <c r="F8" i="3" s="1"/>
  <c r="C39" i="3"/>
  <c r="E10" i="4" l="1"/>
  <c r="E15" i="4" s="1"/>
  <c r="D16" i="4"/>
  <c r="D20" i="4" s="1"/>
  <c r="C20" i="4"/>
  <c r="F16" i="4"/>
  <c r="G11" i="4"/>
  <c r="G16" i="4" s="1"/>
  <c r="E16" i="4"/>
  <c r="E24" i="3"/>
  <c r="E26" i="3" s="1"/>
  <c r="D8" i="3"/>
  <c r="D23" i="3" s="1"/>
  <c r="D24" i="3"/>
  <c r="D25" i="3"/>
  <c r="D29" i="3"/>
  <c r="D26" i="3"/>
  <c r="D30" i="3"/>
  <c r="H26" i="3"/>
  <c r="H30" i="3" s="1"/>
  <c r="G26" i="3"/>
  <c r="G30" i="3" s="1"/>
  <c r="F26" i="3"/>
  <c r="F30" i="3" s="1"/>
  <c r="F23" i="3"/>
  <c r="E30" i="3"/>
  <c r="E8" i="3"/>
  <c r="E23" i="3" s="1"/>
  <c r="H8" i="3"/>
  <c r="H23" i="3" s="1"/>
  <c r="G8" i="3"/>
  <c r="G23" i="3" s="1"/>
  <c r="D21" i="4" l="1"/>
  <c r="D23" i="4"/>
  <c r="C21" i="4"/>
  <c r="C23" i="4" s="1"/>
  <c r="F10" i="4"/>
  <c r="F13" i="4" s="1"/>
  <c r="E13" i="4"/>
  <c r="F17" i="4"/>
  <c r="E17" i="4"/>
  <c r="E20" i="4"/>
  <c r="F15" i="4"/>
  <c r="F20" i="4" s="1"/>
  <c r="G10" i="4"/>
  <c r="G25" i="3"/>
  <c r="G29" i="3"/>
  <c r="C32" i="3"/>
  <c r="E25" i="3"/>
  <c r="E29" i="3"/>
  <c r="F25" i="3"/>
  <c r="F29" i="3" s="1"/>
  <c r="E21" i="4" l="1"/>
  <c r="E23" i="4"/>
  <c r="F21" i="4"/>
  <c r="F23" i="4" s="1"/>
  <c r="G15" i="4"/>
  <c r="G13" i="4"/>
  <c r="G17" i="4" l="1"/>
  <c r="G20" i="4"/>
  <c r="G21" i="4" l="1"/>
  <c r="G23" i="4" s="1"/>
  <c r="C27" i="4" s="1"/>
</calcChain>
</file>

<file path=xl/sharedStrings.xml><?xml version="1.0" encoding="utf-8"?>
<sst xmlns="http://schemas.openxmlformats.org/spreadsheetml/2006/main" count="99" uniqueCount="95">
  <si>
    <t xml:space="preserve">Forces </t>
  </si>
  <si>
    <t>possibilité</t>
  </si>
  <si>
    <t>Faiblesses</t>
  </si>
  <si>
    <t>Menaces</t>
  </si>
  <si>
    <t>FFPM</t>
  </si>
  <si>
    <t>FCS de l'industrie</t>
  </si>
  <si>
    <t>Positionnement de CTI</t>
  </si>
  <si>
    <t>Concnetration sur Modérnisation de salles de cinéma et la rémaénagment des halles</t>
  </si>
  <si>
    <t>Insallatiion des jeux d'arcades dans les halles de cinéma</t>
  </si>
  <si>
    <t xml:space="preserve">Proposition des produits meilleures pour la santé </t>
  </si>
  <si>
    <t xml:space="preserve">Propossition des nouveaux choix d'aliments </t>
  </si>
  <si>
    <t xml:space="preserve">Dépense minime en marketings et un petit budjet de publicié </t>
  </si>
  <si>
    <t xml:space="preserve">Le taux de rotation des emplyés a temps partiel est inferieur a celui de l'industrie </t>
  </si>
  <si>
    <t>le taux de rotation des emplyes a temps plein est faibles</t>
  </si>
  <si>
    <t xml:space="preserve">le non investissment dans les sieges leuxeux avec un système d'audio  plus pérformat </t>
  </si>
  <si>
    <t>Signature d'enttnete de partage de produits avec le fournisseur de jeu</t>
  </si>
  <si>
    <t xml:space="preserve">les téchnologies de projection est numérique </t>
  </si>
  <si>
    <t>les secteur de l'industrie de cinéam est arrivé a la maturité avec un taux de  croissance annuel qui ne dépassenet pas 1,2 % dICI 2028</t>
  </si>
  <si>
    <t xml:space="preserve">l'intensité concurrentielle est dominé par les grand joueurs </t>
  </si>
  <si>
    <t>menace des produits de substitution comme regarder les films a la maison avec un cout moindre acec netflix et prime vidéo ,,</t>
  </si>
  <si>
    <t xml:space="preserve">la concurrence est féroce pour attirer les clients qui regardent le cinéma </t>
  </si>
  <si>
    <t>les clients consacrent leurs temps pour d'autre loisir que le cinéma</t>
  </si>
  <si>
    <t>Menace des clause des contrat de location soit défavorables</t>
  </si>
  <si>
    <t>Modernisation des systèmes de projection</t>
  </si>
  <si>
    <t>elle a un bon positioinnement car il a déjà modérniser ses sysemen de projections toute la téchonolgie de projection utilisée par CTI est nuérique</t>
  </si>
  <si>
    <t>offrir les services d'aménagement supplentaires</t>
  </si>
  <si>
    <t xml:space="preserve">oui CTI a Insallatiion des jeux d'arcades dans les halles de cinéma et aussi elle aménager sa halls </t>
  </si>
  <si>
    <t xml:space="preserve">Tendance aux système 4D et système ambiophonique </t>
  </si>
  <si>
    <t>Installation des sieges lexeux ou des sieges de mauvment</t>
  </si>
  <si>
    <t xml:space="preserve">CTI n'a pas investi mais elle voulasi investir dans ce FCS </t>
  </si>
  <si>
    <t xml:space="preserve">CTI a un mauvais posistionnement car elle a seulement 50 salle mais avec un systme 3D </t>
  </si>
  <si>
    <t xml:space="preserve">Elargiement des services comptoires alimentaires inclure les repas et un bar </t>
  </si>
  <si>
    <t xml:space="preserve">CTI a une position soit par Proposition des produits meilleures pour la santé </t>
  </si>
  <si>
    <t xml:space="preserve">l'industrie de cinéma ce penche vers l'utilisation des nouvelle téchonologie de projections </t>
  </si>
  <si>
    <t>N</t>
  </si>
  <si>
    <t>K</t>
  </si>
  <si>
    <t>Baisse de nombre de siege actuel</t>
  </si>
  <si>
    <t>Cout nouvelle installation par salle</t>
  </si>
  <si>
    <t>D</t>
  </si>
  <si>
    <t xml:space="preserve">Fond de roulement </t>
  </si>
  <si>
    <t>Salle de montréal</t>
  </si>
  <si>
    <t>Salle de trois riviere</t>
  </si>
  <si>
    <t>Nombre des clients FDL</t>
  </si>
  <si>
    <t xml:space="preserve">Ventes </t>
  </si>
  <si>
    <t>Prix de billet adulte</t>
  </si>
  <si>
    <t>Couts additionnels d'exploitation</t>
  </si>
  <si>
    <t>Taux d'inflation</t>
  </si>
  <si>
    <t>Prix produit alimentaire par client</t>
  </si>
  <si>
    <t xml:space="preserve">Cout des produit alimantaires </t>
  </si>
  <si>
    <t>Année 09/ 2025</t>
  </si>
  <si>
    <t>Nombre de clients sans rénovation</t>
  </si>
  <si>
    <t>VAEI</t>
  </si>
  <si>
    <t>Taux d'impot</t>
  </si>
  <si>
    <t>Ventes billets FDL</t>
  </si>
  <si>
    <t>Vente billets Sato quo</t>
  </si>
  <si>
    <t>Produits alimentaires FDL</t>
  </si>
  <si>
    <t>Produits alimentaires stato quo</t>
  </si>
  <si>
    <t>Cout des produit alimentaires FDL</t>
  </si>
  <si>
    <t>Cout additionnelle liés a l'exploitatioin FDL</t>
  </si>
  <si>
    <t>Cout des produit alimentaires stato quo</t>
  </si>
  <si>
    <t>Prix de billet adulte actuel</t>
  </si>
  <si>
    <t>Prix produit alimentaire par client actuel</t>
  </si>
  <si>
    <t>Entréé</t>
  </si>
  <si>
    <t>Sortie de fonds</t>
  </si>
  <si>
    <t>Cout des produit alimantaires actuel</t>
  </si>
  <si>
    <t xml:space="preserve">Flux de trésorere FDL </t>
  </si>
  <si>
    <t>Flux de trésorere sato quo</t>
  </si>
  <si>
    <t>Flux de trésorere FDL net d'impot</t>
  </si>
  <si>
    <t>Flux de trésorere sato quo net d'impot</t>
  </si>
  <si>
    <t>Impot FDL</t>
  </si>
  <si>
    <t>Impot statu quo</t>
  </si>
  <si>
    <t>VAN FDL</t>
  </si>
  <si>
    <t>VAN stao quo</t>
  </si>
  <si>
    <t>Diffrentiel</t>
  </si>
  <si>
    <t>Cout initiaux</t>
  </si>
  <si>
    <t>Stocks</t>
  </si>
  <si>
    <t>Aliments et boissons</t>
  </si>
  <si>
    <t>Divestissement</t>
  </si>
  <si>
    <t>Événements spciaux</t>
  </si>
  <si>
    <t>Taux de croissance produits</t>
  </si>
  <si>
    <t xml:space="preserve">Couts </t>
  </si>
  <si>
    <t>Aliment et boisson</t>
  </si>
  <si>
    <t>Cout des jeux</t>
  </si>
  <si>
    <t>Salares et avantages sociaux</t>
  </si>
  <si>
    <t>Marketing et publicité</t>
  </si>
  <si>
    <t>Frais d'Exploitation</t>
  </si>
  <si>
    <t>Total des produits</t>
  </si>
  <si>
    <t>Taux d'augmentation des produit a partir de 2029</t>
  </si>
  <si>
    <t>VAIE</t>
  </si>
  <si>
    <t>Perte eéconomie impot jeu</t>
  </si>
  <si>
    <t>FM avant impot</t>
  </si>
  <si>
    <t>Impot</t>
  </si>
  <si>
    <t>FM net d'impot</t>
  </si>
  <si>
    <t>VAN</t>
  </si>
  <si>
    <t xml:space="preserve">Cout de financement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</si>
</sst>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$&quot;_);[Red]\(#,##0.00\ &quot;$&quot;\)"/>
    <numFmt numFmtId="43" formatCode="_ * #,##0.00_)_ ;_ * \(#,##0.00\)_ ;_ * &quot;-&quot;??_)_ ;_ @_ "/>
    <numFmt numFmtId="164" formatCode="_ * #,##0.00_)\ _$_ ;_ * \(#,##0.00\)\ _$_ ;_ * &quot;-&quot;??_)\ _$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textRotation="255"/>
    </xf>
    <xf numFmtId="0" fontId="0" fillId="0" borderId="1" xfId="0" applyBorder="1" applyAlignment="1">
      <alignment horizontal="center" textRotation="255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9" fontId="0" fillId="0" borderId="0" xfId="0" applyNumberFormat="1"/>
    <xf numFmtId="43" fontId="0" fillId="0" borderId="0" xfId="1" applyFont="1"/>
    <xf numFmtId="10" fontId="0" fillId="0" borderId="0" xfId="1" applyNumberFormat="1" applyFont="1"/>
    <xf numFmtId="9" fontId="0" fillId="0" borderId="0" xfId="1" applyNumberFormat="1" applyFont="1"/>
    <xf numFmtId="43" fontId="0" fillId="0" borderId="0" xfId="0" applyNumberFormat="1"/>
    <xf numFmtId="43" fontId="0" fillId="0" borderId="0" xfId="1" applyFont="1" applyAlignment="1">
      <alignment horizontal="center" vertical="center"/>
    </xf>
    <xf numFmtId="0" fontId="0" fillId="2" borderId="0" xfId="0" applyFill="1"/>
    <xf numFmtId="43" fontId="0" fillId="2" borderId="0" xfId="1" applyFont="1" applyFill="1"/>
    <xf numFmtId="43" fontId="0" fillId="2" borderId="0" xfId="1" applyFont="1" applyFill="1" applyAlignment="1">
      <alignment horizontal="center" vertical="center"/>
    </xf>
    <xf numFmtId="164" fontId="0" fillId="0" borderId="0" xfId="0" applyNumberFormat="1"/>
    <xf numFmtId="0" fontId="0" fillId="0" borderId="0" xfId="0" applyFill="1"/>
    <xf numFmtId="43" fontId="0" fillId="2" borderId="0" xfId="0" applyNumberFormat="1" applyFill="1"/>
    <xf numFmtId="164" fontId="0" fillId="2" borderId="0" xfId="0" applyNumberFormat="1" applyFill="1"/>
    <xf numFmtId="8" fontId="0" fillId="0" borderId="0" xfId="1" applyNumberFormat="1" applyFont="1"/>
    <xf numFmtId="8" fontId="0" fillId="0" borderId="0" xfId="0" applyNumberFormat="1"/>
    <xf numFmtId="43" fontId="0" fillId="0" borderId="0" xfId="1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8"/>
  <sheetViews>
    <sheetView workbookViewId="0">
      <selection activeCell="Q15" sqref="Q15"/>
    </sheetView>
  </sheetViews>
  <sheetFormatPr baseColWidth="10" defaultColWidth="8.88671875" defaultRowHeight="14.4" x14ac:dyDescent="0.3"/>
  <cols>
    <col min="6" max="6" width="19.88671875" customWidth="1"/>
  </cols>
  <sheetData>
    <row r="3" spans="1:13" x14ac:dyDescent="0.3">
      <c r="A3" t="s">
        <v>4</v>
      </c>
    </row>
    <row r="5" spans="1:13" ht="44.4" customHeight="1" x14ac:dyDescent="0.3">
      <c r="A5" s="7" t="s">
        <v>0</v>
      </c>
      <c r="B5" s="15" t="s">
        <v>7</v>
      </c>
      <c r="C5" s="16"/>
      <c r="D5" s="16"/>
      <c r="E5" s="16"/>
      <c r="F5" s="17"/>
      <c r="G5" s="7" t="s">
        <v>1</v>
      </c>
      <c r="H5" s="12" t="s">
        <v>33</v>
      </c>
      <c r="I5" s="13"/>
      <c r="J5" s="13"/>
      <c r="K5" s="13"/>
      <c r="L5" s="13"/>
      <c r="M5" s="14"/>
    </row>
    <row r="6" spans="1:13" x14ac:dyDescent="0.3">
      <c r="A6" s="7"/>
      <c r="B6" s="18" t="s">
        <v>8</v>
      </c>
      <c r="C6" s="19"/>
      <c r="D6" s="19"/>
      <c r="E6" s="19"/>
      <c r="F6" s="20"/>
      <c r="G6" s="7"/>
      <c r="H6" s="4"/>
      <c r="I6" s="5"/>
      <c r="J6" s="5"/>
      <c r="K6" s="5"/>
      <c r="L6" s="5"/>
      <c r="M6" s="6"/>
    </row>
    <row r="7" spans="1:13" x14ac:dyDescent="0.3">
      <c r="A7" s="7"/>
      <c r="B7" s="18" t="s">
        <v>9</v>
      </c>
      <c r="C7" s="19"/>
      <c r="D7" s="19"/>
      <c r="E7" s="19"/>
      <c r="F7" s="20"/>
      <c r="G7" s="7"/>
      <c r="H7" s="4"/>
      <c r="I7" s="5"/>
      <c r="J7" s="5"/>
      <c r="K7" s="5"/>
      <c r="L7" s="5"/>
      <c r="M7" s="6"/>
    </row>
    <row r="8" spans="1:13" x14ac:dyDescent="0.3">
      <c r="A8" s="7"/>
      <c r="B8" s="18" t="s">
        <v>10</v>
      </c>
      <c r="C8" s="19"/>
      <c r="D8" s="19"/>
      <c r="E8" s="19"/>
      <c r="F8" s="20"/>
      <c r="G8" s="7"/>
      <c r="H8" s="4"/>
      <c r="I8" s="5"/>
      <c r="J8" s="5"/>
      <c r="K8" s="5"/>
      <c r="L8" s="5"/>
      <c r="M8" s="6"/>
    </row>
    <row r="9" spans="1:13" ht="34.200000000000003" customHeight="1" x14ac:dyDescent="0.3">
      <c r="A9" s="7"/>
      <c r="B9" s="12" t="s">
        <v>12</v>
      </c>
      <c r="C9" s="13"/>
      <c r="D9" s="13"/>
      <c r="E9" s="13"/>
      <c r="F9" s="14"/>
      <c r="G9" s="7"/>
      <c r="H9" s="4"/>
      <c r="I9" s="5"/>
      <c r="J9" s="5"/>
      <c r="K9" s="5"/>
      <c r="L9" s="5"/>
      <c r="M9" s="6"/>
    </row>
    <row r="10" spans="1:13" x14ac:dyDescent="0.3">
      <c r="A10" s="7"/>
      <c r="B10" s="18" t="s">
        <v>13</v>
      </c>
      <c r="C10" s="19"/>
      <c r="D10" s="19"/>
      <c r="E10" s="19"/>
      <c r="F10" s="20"/>
      <c r="G10" s="7"/>
      <c r="H10" s="4"/>
      <c r="I10" s="5"/>
      <c r="J10" s="5"/>
      <c r="K10" s="5"/>
      <c r="L10" s="5"/>
      <c r="M10" s="6"/>
    </row>
    <row r="11" spans="1:13" ht="30.6" customHeight="1" x14ac:dyDescent="0.3">
      <c r="A11" s="7"/>
      <c r="B11" s="12" t="s">
        <v>15</v>
      </c>
      <c r="C11" s="13"/>
      <c r="D11" s="13"/>
      <c r="E11" s="13"/>
      <c r="F11" s="14"/>
      <c r="G11" s="7"/>
      <c r="H11" s="4"/>
      <c r="I11" s="5"/>
      <c r="J11" s="5"/>
      <c r="K11" s="5"/>
      <c r="L11" s="5"/>
      <c r="M11" s="6"/>
    </row>
    <row r="12" spans="1:13" x14ac:dyDescent="0.3">
      <c r="A12" s="7"/>
      <c r="B12" s="18" t="s">
        <v>16</v>
      </c>
      <c r="C12" s="19"/>
      <c r="D12" s="19"/>
      <c r="E12" s="19"/>
      <c r="F12" s="20"/>
      <c r="G12" s="7"/>
      <c r="H12" s="4"/>
      <c r="I12" s="5"/>
      <c r="J12" s="5"/>
      <c r="K12" s="5"/>
      <c r="L12" s="5"/>
      <c r="M12" s="6"/>
    </row>
    <row r="13" spans="1:13" x14ac:dyDescent="0.3">
      <c r="A13" s="7"/>
      <c r="B13" s="4"/>
      <c r="C13" s="5"/>
      <c r="D13" s="5"/>
      <c r="E13" s="5"/>
      <c r="F13" s="6"/>
      <c r="G13" s="7"/>
      <c r="H13" s="4"/>
      <c r="I13" s="5"/>
      <c r="J13" s="5"/>
      <c r="K13" s="5"/>
      <c r="L13" s="5"/>
      <c r="M13" s="6"/>
    </row>
    <row r="14" spans="1:13" x14ac:dyDescent="0.3">
      <c r="A14" s="7"/>
      <c r="B14" s="4"/>
      <c r="C14" s="5"/>
      <c r="D14" s="5"/>
      <c r="E14" s="5"/>
      <c r="F14" s="6"/>
      <c r="G14" s="7"/>
      <c r="H14" s="4"/>
      <c r="I14" s="5"/>
      <c r="J14" s="5"/>
      <c r="K14" s="5"/>
      <c r="L14" s="5"/>
      <c r="M14" s="6"/>
    </row>
    <row r="15" spans="1:13" x14ac:dyDescent="0.3">
      <c r="A15" s="7"/>
      <c r="B15" s="4"/>
      <c r="C15" s="5"/>
      <c r="D15" s="5"/>
      <c r="E15" s="5"/>
      <c r="F15" s="6"/>
      <c r="G15" s="7"/>
      <c r="H15" s="4"/>
      <c r="I15" s="5"/>
      <c r="J15" s="5"/>
      <c r="K15" s="5"/>
      <c r="L15" s="5"/>
      <c r="M15" s="6"/>
    </row>
    <row r="16" spans="1:13" x14ac:dyDescent="0.3">
      <c r="A16" s="7"/>
      <c r="B16" s="4"/>
      <c r="C16" s="5"/>
      <c r="D16" s="5"/>
      <c r="E16" s="5"/>
      <c r="F16" s="6"/>
      <c r="G16" s="7"/>
      <c r="H16" s="4"/>
      <c r="I16" s="5"/>
      <c r="J16" s="5"/>
      <c r="K16" s="5"/>
      <c r="L16" s="5"/>
      <c r="M16" s="6"/>
    </row>
    <row r="17" spans="1:13" x14ac:dyDescent="0.3">
      <c r="A17" s="8" t="s">
        <v>2</v>
      </c>
      <c r="B17" s="4" t="s">
        <v>11</v>
      </c>
      <c r="C17" s="5"/>
      <c r="D17" s="5"/>
      <c r="E17" s="5"/>
      <c r="F17" s="6"/>
      <c r="G17" s="7" t="s">
        <v>3</v>
      </c>
      <c r="H17" s="4"/>
      <c r="I17" s="5"/>
      <c r="J17" s="5"/>
      <c r="K17" s="5"/>
      <c r="L17" s="5"/>
      <c r="M17" s="6"/>
    </row>
    <row r="18" spans="1:13" ht="42" customHeight="1" x14ac:dyDescent="0.3">
      <c r="A18" s="8"/>
      <c r="B18" s="12" t="s">
        <v>14</v>
      </c>
      <c r="C18" s="13"/>
      <c r="D18" s="13"/>
      <c r="E18" s="13"/>
      <c r="F18" s="14"/>
      <c r="G18" s="7"/>
      <c r="H18" s="24" t="s">
        <v>17</v>
      </c>
      <c r="I18" s="25"/>
      <c r="J18" s="25"/>
      <c r="K18" s="25"/>
      <c r="L18" s="25"/>
      <c r="M18" s="26"/>
    </row>
    <row r="19" spans="1:13" x14ac:dyDescent="0.3">
      <c r="A19" s="8"/>
      <c r="B19" s="4"/>
      <c r="C19" s="5"/>
      <c r="D19" s="5"/>
      <c r="E19" s="5"/>
      <c r="F19" s="6"/>
      <c r="G19" s="7"/>
      <c r="H19" s="18" t="s">
        <v>18</v>
      </c>
      <c r="I19" s="19"/>
      <c r="J19" s="19"/>
      <c r="K19" s="19"/>
      <c r="L19" s="19"/>
      <c r="M19" s="20"/>
    </row>
    <row r="20" spans="1:13" ht="42.6" customHeight="1" x14ac:dyDescent="0.3">
      <c r="A20" s="8"/>
      <c r="B20" s="4"/>
      <c r="C20" s="5"/>
      <c r="D20" s="5"/>
      <c r="E20" s="5"/>
      <c r="F20" s="6"/>
      <c r="G20" s="7"/>
      <c r="H20" s="9" t="s">
        <v>19</v>
      </c>
      <c r="I20" s="10"/>
      <c r="J20" s="10"/>
      <c r="K20" s="10"/>
      <c r="L20" s="10"/>
      <c r="M20" s="11"/>
    </row>
    <row r="21" spans="1:13" ht="36" customHeight="1" x14ac:dyDescent="0.3">
      <c r="A21" s="8"/>
      <c r="B21" s="4"/>
      <c r="C21" s="5"/>
      <c r="D21" s="5"/>
      <c r="E21" s="5"/>
      <c r="F21" s="6"/>
      <c r="G21" s="7"/>
      <c r="H21" s="9" t="s">
        <v>20</v>
      </c>
      <c r="I21" s="10"/>
      <c r="J21" s="10"/>
      <c r="K21" s="10"/>
      <c r="L21" s="10"/>
      <c r="M21" s="11"/>
    </row>
    <row r="22" spans="1:13" ht="28.8" customHeight="1" x14ac:dyDescent="0.3">
      <c r="A22" s="8"/>
      <c r="B22" s="4"/>
      <c r="C22" s="5"/>
      <c r="D22" s="5"/>
      <c r="E22" s="5"/>
      <c r="F22" s="6"/>
      <c r="G22" s="7"/>
      <c r="H22" s="9" t="s">
        <v>21</v>
      </c>
      <c r="I22" s="10"/>
      <c r="J22" s="10"/>
      <c r="K22" s="10"/>
      <c r="L22" s="10"/>
      <c r="M22" s="11"/>
    </row>
    <row r="23" spans="1:13" x14ac:dyDescent="0.3">
      <c r="A23" s="8"/>
      <c r="B23" s="4"/>
      <c r="C23" s="5"/>
      <c r="D23" s="5"/>
      <c r="E23" s="5"/>
      <c r="F23" s="6"/>
      <c r="G23" s="7"/>
      <c r="H23" s="4" t="s">
        <v>22</v>
      </c>
      <c r="I23" s="5"/>
      <c r="J23" s="5"/>
      <c r="K23" s="5"/>
      <c r="L23" s="5"/>
      <c r="M23" s="6"/>
    </row>
    <row r="24" spans="1:13" x14ac:dyDescent="0.3">
      <c r="A24" s="8"/>
      <c r="B24" s="4"/>
      <c r="C24" s="5"/>
      <c r="D24" s="5"/>
      <c r="E24" s="5"/>
      <c r="F24" s="6"/>
      <c r="G24" s="7"/>
      <c r="H24" s="4"/>
      <c r="I24" s="5"/>
      <c r="J24" s="5"/>
      <c r="K24" s="5"/>
      <c r="L24" s="5"/>
      <c r="M24" s="6"/>
    </row>
    <row r="25" spans="1:13" x14ac:dyDescent="0.3">
      <c r="A25" s="8"/>
      <c r="B25" s="4"/>
      <c r="C25" s="5"/>
      <c r="D25" s="5"/>
      <c r="E25" s="5"/>
      <c r="F25" s="6"/>
      <c r="G25" s="7"/>
      <c r="H25" s="4"/>
      <c r="I25" s="5"/>
      <c r="J25" s="5"/>
      <c r="K25" s="5"/>
      <c r="L25" s="5"/>
      <c r="M25" s="6"/>
    </row>
    <row r="26" spans="1:13" x14ac:dyDescent="0.3">
      <c r="A26" s="8"/>
      <c r="B26" s="4"/>
      <c r="C26" s="5"/>
      <c r="D26" s="5"/>
      <c r="E26" s="5"/>
      <c r="F26" s="6"/>
      <c r="G26" s="7"/>
      <c r="H26" s="4"/>
      <c r="I26" s="5"/>
      <c r="J26" s="5"/>
      <c r="K26" s="5"/>
      <c r="L26" s="5"/>
      <c r="M26" s="6"/>
    </row>
    <row r="27" spans="1:13" x14ac:dyDescent="0.3">
      <c r="A27" s="8"/>
      <c r="B27" s="4"/>
      <c r="C27" s="5"/>
      <c r="D27" s="5"/>
      <c r="E27" s="5"/>
      <c r="F27" s="6"/>
      <c r="G27" s="7"/>
      <c r="H27" s="4"/>
      <c r="I27" s="5"/>
      <c r="J27" s="5"/>
      <c r="K27" s="5"/>
      <c r="L27" s="5"/>
      <c r="M27" s="6"/>
    </row>
    <row r="28" spans="1:13" x14ac:dyDescent="0.3">
      <c r="A28" s="1"/>
      <c r="B28" s="4"/>
      <c r="C28" s="5"/>
      <c r="D28" s="5"/>
      <c r="E28" s="5"/>
      <c r="F28" s="6"/>
      <c r="G28" s="7"/>
      <c r="H28" s="4"/>
      <c r="I28" s="5"/>
      <c r="J28" s="5"/>
      <c r="K28" s="5"/>
      <c r="L28" s="5"/>
      <c r="M28" s="6"/>
    </row>
  </sheetData>
  <mergeCells count="52">
    <mergeCell ref="H24:M24"/>
    <mergeCell ref="H25:M25"/>
    <mergeCell ref="H26:M26"/>
    <mergeCell ref="H27:M27"/>
    <mergeCell ref="H28:M28"/>
    <mergeCell ref="B6:F6"/>
    <mergeCell ref="B7:F7"/>
    <mergeCell ref="B26:F26"/>
    <mergeCell ref="B27:F27"/>
    <mergeCell ref="B28:F28"/>
    <mergeCell ref="H17:M17"/>
    <mergeCell ref="H18:M18"/>
    <mergeCell ref="H19:M19"/>
    <mergeCell ref="H20:M20"/>
    <mergeCell ref="H21:M21"/>
    <mergeCell ref="H22:M22"/>
    <mergeCell ref="H23:M23"/>
    <mergeCell ref="G17:G28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H11:M11"/>
    <mergeCell ref="H12:M12"/>
    <mergeCell ref="H13:M13"/>
    <mergeCell ref="H14:M14"/>
    <mergeCell ref="H15:M15"/>
    <mergeCell ref="H16:M16"/>
    <mergeCell ref="G5:G16"/>
    <mergeCell ref="B9:F9"/>
    <mergeCell ref="B10:F10"/>
    <mergeCell ref="A17:A27"/>
    <mergeCell ref="H5:M5"/>
    <mergeCell ref="H6:M6"/>
    <mergeCell ref="H7:M7"/>
    <mergeCell ref="H8:M8"/>
    <mergeCell ref="H9:M9"/>
    <mergeCell ref="H10:M10"/>
    <mergeCell ref="A5:A16"/>
    <mergeCell ref="B5:F5"/>
    <mergeCell ref="B8:F8"/>
    <mergeCell ref="B11:F11"/>
    <mergeCell ref="B12:F12"/>
    <mergeCell ref="B13:F13"/>
    <mergeCell ref="B14:F14"/>
    <mergeCell ref="B15:F15"/>
    <mergeCell ref="B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BCC9-211C-4269-91FF-F641F5CFF5A9}">
  <dimension ref="A3:H15"/>
  <sheetViews>
    <sheetView workbookViewId="0">
      <selection activeCell="K8" sqref="K8"/>
    </sheetView>
  </sheetViews>
  <sheetFormatPr baseColWidth="10" defaultRowHeight="14.4" x14ac:dyDescent="0.3"/>
  <sheetData>
    <row r="3" spans="1:8" x14ac:dyDescent="0.3">
      <c r="A3" s="3" t="s">
        <v>5</v>
      </c>
      <c r="B3" s="3"/>
      <c r="C3" s="3"/>
      <c r="D3" s="3"/>
      <c r="E3" s="3" t="s">
        <v>6</v>
      </c>
      <c r="F3" s="3"/>
      <c r="G3" s="3"/>
      <c r="H3" s="3"/>
    </row>
    <row r="4" spans="1:8" ht="45" customHeight="1" x14ac:dyDescent="0.3">
      <c r="A4" s="27" t="s">
        <v>23</v>
      </c>
      <c r="B4" s="28"/>
      <c r="C4" s="28"/>
      <c r="D4" s="29"/>
      <c r="E4" s="12" t="s">
        <v>24</v>
      </c>
      <c r="F4" s="13"/>
      <c r="G4" s="13"/>
      <c r="H4" s="14"/>
    </row>
    <row r="5" spans="1:8" ht="63.6" customHeight="1" x14ac:dyDescent="0.3">
      <c r="A5" s="21" t="s">
        <v>25</v>
      </c>
      <c r="B5" s="22"/>
      <c r="C5" s="22"/>
      <c r="D5" s="23"/>
      <c r="E5" s="30" t="s">
        <v>26</v>
      </c>
      <c r="F5" s="31"/>
      <c r="G5" s="31"/>
      <c r="H5" s="32"/>
    </row>
    <row r="6" spans="1:8" ht="57.6" customHeight="1" x14ac:dyDescent="0.3">
      <c r="A6" s="4" t="s">
        <v>27</v>
      </c>
      <c r="B6" s="5"/>
      <c r="C6" s="5"/>
      <c r="D6" s="6"/>
      <c r="E6" s="30" t="s">
        <v>30</v>
      </c>
      <c r="F6" s="31"/>
      <c r="G6" s="31"/>
      <c r="H6" s="32"/>
    </row>
    <row r="7" spans="1:8" ht="51" customHeight="1" x14ac:dyDescent="0.3">
      <c r="A7" s="9" t="s">
        <v>28</v>
      </c>
      <c r="B7" s="10"/>
      <c r="C7" s="10"/>
      <c r="D7" s="11"/>
      <c r="E7" s="4" t="s">
        <v>29</v>
      </c>
      <c r="F7" s="5"/>
      <c r="G7" s="5"/>
      <c r="H7" s="6"/>
    </row>
    <row r="8" spans="1:8" ht="51.6" customHeight="1" x14ac:dyDescent="0.3">
      <c r="A8" s="9" t="s">
        <v>31</v>
      </c>
      <c r="B8" s="10"/>
      <c r="C8" s="10"/>
      <c r="D8" s="11"/>
      <c r="E8" s="9" t="s">
        <v>32</v>
      </c>
      <c r="F8" s="10"/>
      <c r="G8" s="10"/>
      <c r="H8" s="11"/>
    </row>
    <row r="9" spans="1:8" x14ac:dyDescent="0.3">
      <c r="A9" s="4"/>
      <c r="B9" s="5"/>
      <c r="C9" s="5"/>
      <c r="D9" s="6"/>
      <c r="E9" s="4"/>
      <c r="F9" s="5"/>
      <c r="G9" s="5"/>
      <c r="H9" s="6"/>
    </row>
    <row r="10" spans="1:8" x14ac:dyDescent="0.3">
      <c r="A10" s="4"/>
      <c r="B10" s="5"/>
      <c r="C10" s="5"/>
      <c r="D10" s="6"/>
      <c r="E10" s="4"/>
      <c r="F10" s="5"/>
      <c r="G10" s="5"/>
      <c r="H10" s="6"/>
    </row>
    <row r="11" spans="1:8" x14ac:dyDescent="0.3">
      <c r="A11" s="4"/>
      <c r="B11" s="5"/>
      <c r="C11" s="5"/>
      <c r="D11" s="6"/>
      <c r="E11" s="4"/>
      <c r="F11" s="5"/>
      <c r="G11" s="5"/>
      <c r="H11" s="6"/>
    </row>
    <row r="12" spans="1:8" x14ac:dyDescent="0.3">
      <c r="A12" s="4"/>
      <c r="B12" s="5"/>
      <c r="C12" s="5"/>
      <c r="D12" s="6"/>
      <c r="E12" s="4"/>
      <c r="F12" s="5"/>
      <c r="G12" s="5"/>
      <c r="H12" s="6"/>
    </row>
    <row r="13" spans="1:8" x14ac:dyDescent="0.3">
      <c r="A13" s="4"/>
      <c r="B13" s="5"/>
      <c r="C13" s="5"/>
      <c r="D13" s="6"/>
      <c r="E13" s="4"/>
      <c r="F13" s="5"/>
      <c r="G13" s="5"/>
      <c r="H13" s="6"/>
    </row>
    <row r="14" spans="1:8" x14ac:dyDescent="0.3">
      <c r="A14" s="4"/>
      <c r="B14" s="5"/>
      <c r="C14" s="5"/>
      <c r="D14" s="6"/>
      <c r="E14" s="4"/>
      <c r="F14" s="5"/>
      <c r="G14" s="5"/>
      <c r="H14" s="6"/>
    </row>
    <row r="15" spans="1:8" x14ac:dyDescent="0.3">
      <c r="A15" s="4"/>
      <c r="B15" s="5"/>
      <c r="C15" s="5"/>
      <c r="D15" s="6"/>
      <c r="E15" s="4"/>
      <c r="F15" s="5"/>
      <c r="G15" s="5"/>
      <c r="H15" s="6"/>
    </row>
  </sheetData>
  <mergeCells count="26">
    <mergeCell ref="E12:H12"/>
    <mergeCell ref="E13:H13"/>
    <mergeCell ref="E14:H14"/>
    <mergeCell ref="E15:H15"/>
    <mergeCell ref="A14:D14"/>
    <mergeCell ref="A15:D15"/>
    <mergeCell ref="E4:H4"/>
    <mergeCell ref="E5:H5"/>
    <mergeCell ref="E6:H6"/>
    <mergeCell ref="E7:H7"/>
    <mergeCell ref="E8:H8"/>
    <mergeCell ref="E9:H9"/>
    <mergeCell ref="E10:H10"/>
    <mergeCell ref="E11:H11"/>
    <mergeCell ref="A8:D8"/>
    <mergeCell ref="A9:D9"/>
    <mergeCell ref="A10:D10"/>
    <mergeCell ref="A11:D11"/>
    <mergeCell ref="A12:D12"/>
    <mergeCell ref="A13:D13"/>
    <mergeCell ref="A3:D3"/>
    <mergeCell ref="E3:H3"/>
    <mergeCell ref="A4:D4"/>
    <mergeCell ref="A5:D5"/>
    <mergeCell ref="A6:D6"/>
    <mergeCell ref="A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CBD1-DE3B-4B29-BC20-5CE078E60259}">
  <dimension ref="A2:H51"/>
  <sheetViews>
    <sheetView topLeftCell="A7" workbookViewId="0">
      <selection activeCell="G33" sqref="G33"/>
    </sheetView>
  </sheetViews>
  <sheetFormatPr baseColWidth="10" defaultRowHeight="14.4" x14ac:dyDescent="0.3"/>
  <cols>
    <col min="1" max="1" width="35.88671875" bestFit="1" customWidth="1"/>
    <col min="2" max="2" width="4.44140625" bestFit="1" customWidth="1"/>
    <col min="3" max="3" width="13.77734375" style="34" bestFit="1" customWidth="1"/>
    <col min="4" max="8" width="14.21875" bestFit="1" customWidth="1"/>
  </cols>
  <sheetData>
    <row r="2" spans="1:8" x14ac:dyDescent="0.3">
      <c r="C2" s="34" t="s">
        <v>49</v>
      </c>
      <c r="D2">
        <v>2026</v>
      </c>
      <c r="E2">
        <v>2027</v>
      </c>
      <c r="F2">
        <v>2028</v>
      </c>
      <c r="G2">
        <v>2029</v>
      </c>
      <c r="H2">
        <v>2030</v>
      </c>
    </row>
    <row r="4" spans="1:8" x14ac:dyDescent="0.3">
      <c r="A4" s="39" t="s">
        <v>42</v>
      </c>
      <c r="B4" s="39"/>
      <c r="C4" s="40"/>
      <c r="D4" s="41">
        <v>36000</v>
      </c>
      <c r="E4" s="41">
        <v>145000</v>
      </c>
      <c r="F4" s="41">
        <v>182000</v>
      </c>
      <c r="G4" s="41">
        <v>199000</v>
      </c>
      <c r="H4" s="41">
        <v>202000</v>
      </c>
    </row>
    <row r="5" spans="1:8" x14ac:dyDescent="0.3">
      <c r="A5" t="s">
        <v>50</v>
      </c>
      <c r="D5" s="38">
        <v>41000</v>
      </c>
      <c r="E5" s="38">
        <v>156000</v>
      </c>
      <c r="F5" s="38">
        <v>204000</v>
      </c>
      <c r="G5" s="38">
        <v>246000</v>
      </c>
      <c r="H5" s="38">
        <v>246000</v>
      </c>
    </row>
    <row r="6" spans="1:8" x14ac:dyDescent="0.3">
      <c r="A6" t="s">
        <v>62</v>
      </c>
      <c r="D6" s="38"/>
      <c r="E6" s="38"/>
      <c r="F6" s="38"/>
      <c r="G6" s="38"/>
      <c r="H6" s="38"/>
    </row>
    <row r="7" spans="1:8" x14ac:dyDescent="0.3">
      <c r="D7" s="38"/>
      <c r="E7" s="38"/>
      <c r="F7" s="38"/>
      <c r="G7" s="38"/>
      <c r="H7" s="38"/>
    </row>
    <row r="8" spans="1:8" x14ac:dyDescent="0.3">
      <c r="A8" s="39" t="s">
        <v>53</v>
      </c>
      <c r="B8" s="39"/>
      <c r="C8" s="40"/>
      <c r="D8" s="40">
        <f>+D4*$C40</f>
        <v>864000</v>
      </c>
      <c r="E8" s="40">
        <f>+E4*$C40</f>
        <v>3480000</v>
      </c>
      <c r="F8" s="40">
        <f>+F4*$C40</f>
        <v>4368000</v>
      </c>
      <c r="G8" s="40">
        <f>+G4*$C40</f>
        <v>4776000</v>
      </c>
      <c r="H8" s="40">
        <f>+H4*$C40</f>
        <v>4848000</v>
      </c>
    </row>
    <row r="9" spans="1:8" x14ac:dyDescent="0.3">
      <c r="A9" t="s">
        <v>54</v>
      </c>
      <c r="D9" s="34">
        <f>+D5*$C49</f>
        <v>492000</v>
      </c>
      <c r="E9" s="34">
        <f t="shared" ref="E9:H9" si="0">+E5*$C49</f>
        <v>1872000</v>
      </c>
      <c r="F9" s="34">
        <f t="shared" si="0"/>
        <v>2448000</v>
      </c>
      <c r="G9" s="34">
        <f t="shared" si="0"/>
        <v>2952000</v>
      </c>
      <c r="H9" s="34">
        <f t="shared" si="0"/>
        <v>2952000</v>
      </c>
    </row>
    <row r="10" spans="1:8" x14ac:dyDescent="0.3">
      <c r="A10" s="39" t="s">
        <v>55</v>
      </c>
      <c r="B10" s="39"/>
      <c r="C10" s="40"/>
      <c r="D10" s="40">
        <f>+$C46*D4</f>
        <v>756000</v>
      </c>
      <c r="E10" s="40">
        <f>+$C46*E4</f>
        <v>3045000</v>
      </c>
      <c r="F10" s="40">
        <f>+$C46*F4</f>
        <v>3822000</v>
      </c>
      <c r="G10" s="40">
        <f>+$C46*G4</f>
        <v>4179000</v>
      </c>
      <c r="H10" s="40">
        <f>+$C46*H4</f>
        <v>4242000</v>
      </c>
    </row>
    <row r="11" spans="1:8" x14ac:dyDescent="0.3">
      <c r="A11" t="s">
        <v>56</v>
      </c>
      <c r="D11" s="42">
        <f>+D5*$C50</f>
        <v>234110</v>
      </c>
      <c r="E11" s="42">
        <f>+E5*$C50</f>
        <v>890760</v>
      </c>
      <c r="F11" s="42">
        <f>+F5*$C50</f>
        <v>1164840</v>
      </c>
      <c r="G11" s="42">
        <f>+G5*$C50</f>
        <v>1404660</v>
      </c>
      <c r="H11" s="42">
        <f>+H5*$C50</f>
        <v>1404660</v>
      </c>
    </row>
    <row r="12" spans="1:8" x14ac:dyDescent="0.3">
      <c r="A12" s="39" t="s">
        <v>37</v>
      </c>
      <c r="B12" s="39"/>
      <c r="C12" s="40">
        <v>-1500000</v>
      </c>
      <c r="D12" s="39"/>
      <c r="E12" s="39"/>
      <c r="F12" s="39"/>
      <c r="G12" s="39"/>
      <c r="H12" s="39"/>
    </row>
    <row r="13" spans="1:8" x14ac:dyDescent="0.3">
      <c r="A13" s="39" t="s">
        <v>39</v>
      </c>
      <c r="B13" s="39"/>
      <c r="C13" s="40">
        <v>-20000</v>
      </c>
      <c r="D13" s="39"/>
      <c r="E13" s="39"/>
      <c r="F13" s="39"/>
      <c r="G13" s="39"/>
      <c r="H13" s="40">
        <v>20000</v>
      </c>
    </row>
    <row r="14" spans="1:8" x14ac:dyDescent="0.3">
      <c r="A14" s="39" t="s">
        <v>51</v>
      </c>
      <c r="B14" s="39"/>
      <c r="C14" s="40">
        <f>-(C12*C48*B41)/(B37+B41)</f>
        <v>249999.99999999997</v>
      </c>
      <c r="D14" s="39"/>
      <c r="E14" s="39"/>
      <c r="F14" s="39"/>
      <c r="G14" s="39"/>
      <c r="H14" s="39"/>
    </row>
    <row r="16" spans="1:8" x14ac:dyDescent="0.3">
      <c r="A16" t="s">
        <v>63</v>
      </c>
    </row>
    <row r="19" spans="1:8" x14ac:dyDescent="0.3">
      <c r="A19" s="39" t="s">
        <v>57</v>
      </c>
      <c r="B19" s="39"/>
      <c r="C19" s="40"/>
      <c r="D19" s="40">
        <f>-D10*$C47</f>
        <v>-226800</v>
      </c>
      <c r="E19" s="40">
        <f t="shared" ref="E19:H19" si="1">-E10*$C47</f>
        <v>-913500</v>
      </c>
      <c r="F19" s="40">
        <f t="shared" si="1"/>
        <v>-1146600</v>
      </c>
      <c r="G19" s="40">
        <f t="shared" si="1"/>
        <v>-1253700</v>
      </c>
      <c r="H19" s="40">
        <f t="shared" si="1"/>
        <v>-1272600</v>
      </c>
    </row>
    <row r="20" spans="1:8" x14ac:dyDescent="0.3">
      <c r="A20" s="39" t="s">
        <v>58</v>
      </c>
      <c r="B20" s="39"/>
      <c r="C20" s="40"/>
      <c r="D20" s="44">
        <f>-C44</f>
        <v>-300000</v>
      </c>
      <c r="E20" s="40">
        <f>+D20*(100%+$C45)</f>
        <v>-307500</v>
      </c>
      <c r="F20" s="40">
        <f t="shared" ref="F20:H20" si="2">+E20*(100%+$C45)</f>
        <v>-315187.5</v>
      </c>
      <c r="G20" s="40">
        <f t="shared" si="2"/>
        <v>-323067.1875</v>
      </c>
      <c r="H20" s="40">
        <f t="shared" si="2"/>
        <v>-331143.8671875</v>
      </c>
    </row>
    <row r="21" spans="1:8" x14ac:dyDescent="0.3">
      <c r="A21" t="s">
        <v>59</v>
      </c>
      <c r="D21" s="34">
        <f>-D11*$C51</f>
        <v>-58527.5</v>
      </c>
      <c r="E21" s="34">
        <f t="shared" ref="E21:H21" si="3">-E11*$C51</f>
        <v>-222690</v>
      </c>
      <c r="F21" s="34">
        <f t="shared" si="3"/>
        <v>-291210</v>
      </c>
      <c r="G21" s="34">
        <f t="shared" si="3"/>
        <v>-351165</v>
      </c>
      <c r="H21" s="34">
        <f t="shared" si="3"/>
        <v>-351165</v>
      </c>
    </row>
    <row r="23" spans="1:8" x14ac:dyDescent="0.3">
      <c r="A23" s="39" t="s">
        <v>65</v>
      </c>
      <c r="B23" s="39"/>
      <c r="C23" s="40"/>
      <c r="D23" s="45">
        <f>+D8+D10+D19+D20</f>
        <v>1093200</v>
      </c>
      <c r="E23" s="45">
        <f t="shared" ref="E23:H23" si="4">+E8+E10+E19+E20</f>
        <v>5304000</v>
      </c>
      <c r="F23" s="45">
        <f t="shared" si="4"/>
        <v>6728212.5</v>
      </c>
      <c r="G23" s="45">
        <f t="shared" si="4"/>
        <v>7378232.8125</v>
      </c>
      <c r="H23" s="45">
        <f t="shared" si="4"/>
        <v>7486256.1328125</v>
      </c>
    </row>
    <row r="24" spans="1:8" x14ac:dyDescent="0.3">
      <c r="A24" s="43" t="s">
        <v>66</v>
      </c>
      <c r="D24" s="42">
        <f>+D9+D11+D21</f>
        <v>667582.5</v>
      </c>
      <c r="E24" s="42">
        <f t="shared" ref="E24:H24" si="5">+E9+E11+E21</f>
        <v>2540070</v>
      </c>
      <c r="F24" s="42">
        <f t="shared" si="5"/>
        <v>3321630</v>
      </c>
      <c r="G24" s="42">
        <f t="shared" si="5"/>
        <v>4005495</v>
      </c>
      <c r="H24" s="42">
        <f t="shared" si="5"/>
        <v>4005495</v>
      </c>
    </row>
    <row r="25" spans="1:8" x14ac:dyDescent="0.3">
      <c r="A25" s="39" t="s">
        <v>69</v>
      </c>
      <c r="B25" s="39"/>
      <c r="C25" s="40"/>
      <c r="D25" s="40">
        <f>-D23*$C48</f>
        <v>-273300</v>
      </c>
      <c r="E25" s="40">
        <f t="shared" ref="E25:H25" si="6">-E23*$C48</f>
        <v>-1326000</v>
      </c>
      <c r="F25" s="40">
        <f t="shared" si="6"/>
        <v>-1682053.125</v>
      </c>
      <c r="G25" s="40">
        <f t="shared" si="6"/>
        <v>-1844558.203125</v>
      </c>
      <c r="H25" s="40">
        <f>-H23*$C48+H13</f>
        <v>-1851564.033203125</v>
      </c>
    </row>
    <row r="26" spans="1:8" x14ac:dyDescent="0.3">
      <c r="A26" s="43" t="s">
        <v>70</v>
      </c>
      <c r="D26" s="34">
        <f>-D24*$C48</f>
        <v>-166895.625</v>
      </c>
      <c r="E26" s="34">
        <f>-E24*$C48</f>
        <v>-635017.5</v>
      </c>
      <c r="F26" s="34">
        <f>-F24*$C48</f>
        <v>-830407.5</v>
      </c>
      <c r="G26" s="34">
        <f>-G24*$C48</f>
        <v>-1001373.75</v>
      </c>
      <c r="H26" s="34">
        <f>-H24*$C48</f>
        <v>-1001373.75</v>
      </c>
    </row>
    <row r="29" spans="1:8" x14ac:dyDescent="0.3">
      <c r="A29" s="39" t="s">
        <v>67</v>
      </c>
      <c r="B29" s="39"/>
      <c r="C29" s="40"/>
      <c r="D29" s="45">
        <f>+D23+D25</f>
        <v>819900</v>
      </c>
      <c r="E29" s="45">
        <f>+E23+E25</f>
        <v>3978000</v>
      </c>
      <c r="F29" s="45">
        <f t="shared" ref="F29:H29" si="7">+F23+F25</f>
        <v>5046159.375</v>
      </c>
      <c r="G29" s="45">
        <f t="shared" si="7"/>
        <v>5533674.609375</v>
      </c>
      <c r="H29" s="45">
        <f>+H23+H25</f>
        <v>5634692.099609375</v>
      </c>
    </row>
    <row r="30" spans="1:8" x14ac:dyDescent="0.3">
      <c r="A30" s="43" t="s">
        <v>68</v>
      </c>
      <c r="D30" s="42">
        <f>+D24+D26</f>
        <v>500686.875</v>
      </c>
      <c r="E30" s="42">
        <f t="shared" ref="E30:H30" si="8">+E24+E26</f>
        <v>1905052.5</v>
      </c>
      <c r="F30" s="42">
        <f t="shared" si="8"/>
        <v>2491222.5</v>
      </c>
      <c r="G30" s="42">
        <f t="shared" si="8"/>
        <v>3004121.25</v>
      </c>
      <c r="H30" s="42">
        <f t="shared" si="8"/>
        <v>3004121.25</v>
      </c>
    </row>
    <row r="32" spans="1:8" x14ac:dyDescent="0.3">
      <c r="A32" t="s">
        <v>71</v>
      </c>
      <c r="C32" s="34">
        <f>+NPV(B37,D29:H29)+C12+C13+C14</f>
        <v>13832495.857630109</v>
      </c>
    </row>
    <row r="33" spans="1:4" x14ac:dyDescent="0.3">
      <c r="A33" t="s">
        <v>72</v>
      </c>
      <c r="C33" s="46">
        <f>+NPV(B37,D30:H30)</f>
        <v>7818463.9531499315</v>
      </c>
    </row>
    <row r="34" spans="1:4" x14ac:dyDescent="0.3">
      <c r="A34" t="s">
        <v>73</v>
      </c>
      <c r="D34" s="47">
        <f>+C32-C33</f>
        <v>6014031.9044801779</v>
      </c>
    </row>
    <row r="37" spans="1:4" x14ac:dyDescent="0.3">
      <c r="A37" t="s">
        <v>35</v>
      </c>
      <c r="B37" s="33">
        <v>0.1</v>
      </c>
    </row>
    <row r="38" spans="1:4" x14ac:dyDescent="0.3">
      <c r="A38" t="s">
        <v>34</v>
      </c>
      <c r="B38">
        <v>5</v>
      </c>
    </row>
    <row r="39" spans="1:4" x14ac:dyDescent="0.3">
      <c r="A39" t="s">
        <v>36</v>
      </c>
      <c r="C39" s="2">
        <f>250-180</f>
        <v>70</v>
      </c>
    </row>
    <row r="40" spans="1:4" x14ac:dyDescent="0.3">
      <c r="A40" t="s">
        <v>44</v>
      </c>
      <c r="C40" s="2">
        <f>12+12</f>
        <v>24</v>
      </c>
    </row>
    <row r="41" spans="1:4" x14ac:dyDescent="0.3">
      <c r="A41" t="s">
        <v>38</v>
      </c>
      <c r="B41" s="33">
        <v>0.2</v>
      </c>
    </row>
    <row r="42" spans="1:4" x14ac:dyDescent="0.3">
      <c r="A42" t="s">
        <v>40</v>
      </c>
      <c r="B42">
        <v>2</v>
      </c>
    </row>
    <row r="43" spans="1:4" x14ac:dyDescent="0.3">
      <c r="A43" t="s">
        <v>41</v>
      </c>
      <c r="B43">
        <v>2</v>
      </c>
    </row>
    <row r="44" spans="1:4" x14ac:dyDescent="0.3">
      <c r="A44" t="s">
        <v>45</v>
      </c>
      <c r="C44" s="34">
        <v>300000</v>
      </c>
    </row>
    <row r="45" spans="1:4" x14ac:dyDescent="0.3">
      <c r="A45" t="s">
        <v>46</v>
      </c>
      <c r="C45" s="35">
        <v>2.5000000000000001E-2</v>
      </c>
    </row>
    <row r="46" spans="1:4" x14ac:dyDescent="0.3">
      <c r="A46" t="s">
        <v>47</v>
      </c>
      <c r="C46" s="34">
        <v>21</v>
      </c>
    </row>
    <row r="47" spans="1:4" x14ac:dyDescent="0.3">
      <c r="A47" t="s">
        <v>48</v>
      </c>
      <c r="C47" s="36">
        <v>0.3</v>
      </c>
    </row>
    <row r="48" spans="1:4" x14ac:dyDescent="0.3">
      <c r="A48" t="s">
        <v>52</v>
      </c>
      <c r="C48" s="36">
        <v>0.25</v>
      </c>
    </row>
    <row r="49" spans="1:3" x14ac:dyDescent="0.3">
      <c r="A49" t="s">
        <v>60</v>
      </c>
      <c r="C49" s="34">
        <v>12</v>
      </c>
    </row>
    <row r="50" spans="1:3" x14ac:dyDescent="0.3">
      <c r="A50" t="s">
        <v>61</v>
      </c>
      <c r="C50" s="34">
        <v>5.71</v>
      </c>
    </row>
    <row r="51" spans="1:3" x14ac:dyDescent="0.3">
      <c r="A51" t="s">
        <v>64</v>
      </c>
      <c r="C51" s="36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6CE2-45B8-423D-8076-9A4AAF8456F1}">
  <dimension ref="A2:K34"/>
  <sheetViews>
    <sheetView workbookViewId="0">
      <selection activeCell="J26" sqref="J26"/>
    </sheetView>
  </sheetViews>
  <sheetFormatPr baseColWidth="10" defaultRowHeight="14.4" x14ac:dyDescent="0.3"/>
  <cols>
    <col min="1" max="1" width="33.88671875" bestFit="1" customWidth="1"/>
    <col min="2" max="2" width="13.77734375" bestFit="1" customWidth="1"/>
    <col min="3" max="7" width="14.77734375" bestFit="1" customWidth="1"/>
    <col min="11" max="11" width="13.33203125" bestFit="1" customWidth="1"/>
  </cols>
  <sheetData>
    <row r="2" spans="1:11" x14ac:dyDescent="0.3">
      <c r="B2">
        <v>2025</v>
      </c>
      <c r="C2">
        <v>2026</v>
      </c>
      <c r="D2">
        <v>2027</v>
      </c>
      <c r="E2">
        <v>2028</v>
      </c>
      <c r="F2">
        <v>2029</v>
      </c>
      <c r="G2">
        <v>2030</v>
      </c>
    </row>
    <row r="5" spans="1:11" x14ac:dyDescent="0.3">
      <c r="A5" t="s">
        <v>74</v>
      </c>
      <c r="B5" s="34">
        <v>-7000000</v>
      </c>
    </row>
    <row r="6" spans="1:11" x14ac:dyDescent="0.3">
      <c r="A6" t="s">
        <v>75</v>
      </c>
      <c r="B6" s="34">
        <v>-352000</v>
      </c>
    </row>
    <row r="7" spans="1:11" x14ac:dyDescent="0.3">
      <c r="A7" t="s">
        <v>88</v>
      </c>
      <c r="B7" s="34">
        <f>-(B5*C34*B32)/(B31+B32)</f>
        <v>1400000</v>
      </c>
    </row>
    <row r="8" spans="1:11" x14ac:dyDescent="0.3">
      <c r="B8" s="34"/>
    </row>
    <row r="9" spans="1:11" x14ac:dyDescent="0.3">
      <c r="A9" t="s">
        <v>43</v>
      </c>
      <c r="B9" s="34"/>
    </row>
    <row r="10" spans="1:11" x14ac:dyDescent="0.3">
      <c r="A10" t="s">
        <v>76</v>
      </c>
      <c r="B10" s="34"/>
      <c r="C10" s="34">
        <v>2982000</v>
      </c>
      <c r="D10" s="34">
        <f>+C10*(100%+4%)</f>
        <v>3101280</v>
      </c>
      <c r="E10" s="34">
        <f>+D10*(100%+4%)</f>
        <v>3225331.2</v>
      </c>
      <c r="F10" s="34">
        <f>+E10*(100%+3%)</f>
        <v>3322091.1360000004</v>
      </c>
      <c r="G10" s="34">
        <f>+F10*(100%+3%)</f>
        <v>3421753.8700800007</v>
      </c>
      <c r="H10" s="34"/>
      <c r="I10" s="34"/>
      <c r="J10" s="34"/>
      <c r="K10" s="34"/>
    </row>
    <row r="11" spans="1:11" x14ac:dyDescent="0.3">
      <c r="A11" t="s">
        <v>77</v>
      </c>
      <c r="B11" s="34"/>
      <c r="C11" s="34">
        <v>4351000</v>
      </c>
      <c r="D11" s="34">
        <f t="shared" ref="D11:E12" si="0">+C11*(100%+4%)</f>
        <v>4525040</v>
      </c>
      <c r="E11" s="34">
        <f t="shared" si="0"/>
        <v>4706041.6000000006</v>
      </c>
      <c r="F11" s="34">
        <f t="shared" ref="F11:G12" si="1">+E11*(100%+3%)</f>
        <v>4847222.8480000012</v>
      </c>
      <c r="G11" s="34">
        <f t="shared" si="1"/>
        <v>4992639.5334400013</v>
      </c>
      <c r="H11" s="34"/>
      <c r="I11" s="34"/>
      <c r="J11" s="34"/>
      <c r="K11" s="34"/>
    </row>
    <row r="12" spans="1:11" x14ac:dyDescent="0.3">
      <c r="A12" t="s">
        <v>78</v>
      </c>
      <c r="B12" s="34"/>
      <c r="C12" s="34">
        <v>350000</v>
      </c>
      <c r="D12" s="34">
        <f t="shared" si="0"/>
        <v>364000</v>
      </c>
      <c r="E12" s="34">
        <f t="shared" si="0"/>
        <v>378560</v>
      </c>
      <c r="F12" s="34">
        <f t="shared" si="1"/>
        <v>389916.8</v>
      </c>
      <c r="G12" s="34">
        <f t="shared" si="1"/>
        <v>401614.304</v>
      </c>
      <c r="H12" s="34"/>
      <c r="I12" s="34"/>
      <c r="J12" s="34"/>
      <c r="K12" s="34"/>
    </row>
    <row r="13" spans="1:11" x14ac:dyDescent="0.3">
      <c r="A13" s="39" t="s">
        <v>86</v>
      </c>
      <c r="B13" s="40"/>
      <c r="C13" s="40">
        <f>+SUM(C10:C12)</f>
        <v>7683000</v>
      </c>
      <c r="D13" s="40">
        <f t="shared" ref="D13:G13" si="2">+SUM(D10:D12)</f>
        <v>7990320</v>
      </c>
      <c r="E13" s="40">
        <f t="shared" si="2"/>
        <v>8309932.8000000007</v>
      </c>
      <c r="F13" s="40">
        <f t="shared" si="2"/>
        <v>8559230.7840000018</v>
      </c>
      <c r="G13" s="40">
        <f t="shared" si="2"/>
        <v>8816007.7075200025</v>
      </c>
      <c r="H13" s="48"/>
      <c r="I13" s="48"/>
      <c r="J13" s="48"/>
      <c r="K13" s="48"/>
    </row>
    <row r="14" spans="1:11" x14ac:dyDescent="0.3">
      <c r="A14" t="s">
        <v>80</v>
      </c>
      <c r="B14" s="34"/>
    </row>
    <row r="15" spans="1:11" x14ac:dyDescent="0.3">
      <c r="A15" t="s">
        <v>81</v>
      </c>
      <c r="B15" s="34"/>
      <c r="C15" s="42">
        <f>-22%*C10</f>
        <v>-656040</v>
      </c>
      <c r="D15" s="42">
        <f>-22%*D10</f>
        <v>-682281.6</v>
      </c>
      <c r="E15" s="42">
        <f>-22%*E10</f>
        <v>-709572.86400000006</v>
      </c>
      <c r="F15" s="42">
        <f t="shared" ref="F15:G15" si="3">-22%*F10</f>
        <v>-730860.04992000014</v>
      </c>
      <c r="G15" s="42">
        <f t="shared" si="3"/>
        <v>-752785.85141760018</v>
      </c>
      <c r="H15" s="42">
        <f t="shared" ref="H15:K15" si="4">-22%*H10</f>
        <v>0</v>
      </c>
      <c r="I15" s="42">
        <f t="shared" si="4"/>
        <v>0</v>
      </c>
      <c r="J15" s="42">
        <f t="shared" si="4"/>
        <v>0</v>
      </c>
      <c r="K15" s="42">
        <f t="shared" si="4"/>
        <v>0</v>
      </c>
    </row>
    <row r="16" spans="1:11" x14ac:dyDescent="0.3">
      <c r="A16" t="s">
        <v>82</v>
      </c>
      <c r="B16" s="34"/>
      <c r="C16" s="42">
        <f>-16%*C11</f>
        <v>-696160</v>
      </c>
      <c r="D16" s="42">
        <f t="shared" ref="D16:G16" si="5">-16%*D11</f>
        <v>-724006.40000000002</v>
      </c>
      <c r="E16" s="42">
        <f t="shared" si="5"/>
        <v>-752966.65600000008</v>
      </c>
      <c r="F16" s="42">
        <f t="shared" si="5"/>
        <v>-775555.6556800002</v>
      </c>
      <c r="G16" s="42">
        <f t="shared" si="5"/>
        <v>-798822.32535040018</v>
      </c>
    </row>
    <row r="17" spans="1:11" ht="15" customHeight="1" x14ac:dyDescent="0.3">
      <c r="A17" t="s">
        <v>83</v>
      </c>
      <c r="C17" s="42">
        <f>-21%*C13</f>
        <v>-1613430</v>
      </c>
      <c r="D17" s="42">
        <f t="shared" ref="D17:G17" si="6">-21%*D13</f>
        <v>-1677967.2</v>
      </c>
      <c r="E17" s="42">
        <f t="shared" si="6"/>
        <v>-1745085.888</v>
      </c>
      <c r="F17" s="42">
        <f t="shared" si="6"/>
        <v>-1797438.4646400004</v>
      </c>
      <c r="G17" s="42">
        <f t="shared" si="6"/>
        <v>-1851361.6185792005</v>
      </c>
      <c r="K17" s="40"/>
    </row>
    <row r="18" spans="1:11" ht="15" customHeight="1" x14ac:dyDescent="0.3">
      <c r="A18" t="s">
        <v>84</v>
      </c>
      <c r="C18" s="34">
        <v>-540000</v>
      </c>
      <c r="D18" s="34">
        <f>+C18*(100%+2.5%)</f>
        <v>-553500</v>
      </c>
      <c r="E18" s="34">
        <f>+D18*(100%+2.5%)</f>
        <v>-567337.5</v>
      </c>
      <c r="F18" s="34">
        <f>+E18*(100%+2.5%)</f>
        <v>-581520.9375</v>
      </c>
      <c r="G18" s="34">
        <f>+F18*(100%+2.5%)</f>
        <v>-596058.9609375</v>
      </c>
      <c r="K18" s="40"/>
    </row>
    <row r="19" spans="1:11" ht="15" customHeight="1" x14ac:dyDescent="0.3">
      <c r="A19" t="s">
        <v>85</v>
      </c>
      <c r="C19" s="34">
        <v>-1965000</v>
      </c>
      <c r="D19" s="34">
        <f>+C19*(100%+2.5%)</f>
        <v>-2014124.9999999998</v>
      </c>
      <c r="E19" s="34">
        <f t="shared" ref="E19:G19" si="7">+D19*(100%+2.5%)</f>
        <v>-2064478.1249999995</v>
      </c>
      <c r="F19" s="34">
        <f t="shared" si="7"/>
        <v>-2116090.0781249995</v>
      </c>
      <c r="G19" s="34">
        <f t="shared" si="7"/>
        <v>-2168992.3300781245</v>
      </c>
      <c r="K19" s="34"/>
    </row>
    <row r="20" spans="1:11" ht="15" customHeight="1" x14ac:dyDescent="0.3">
      <c r="A20" t="s">
        <v>90</v>
      </c>
      <c r="C20" s="34">
        <f>+C13+SUM(C15:C19)</f>
        <v>2212370</v>
      </c>
      <c r="D20" s="34">
        <f t="shared" ref="D20:G20" si="8">+D13+SUM(D15:D19)</f>
        <v>2338439.7999999998</v>
      </c>
      <c r="E20" s="34">
        <f t="shared" si="8"/>
        <v>2470491.7670000009</v>
      </c>
      <c r="F20" s="34">
        <f t="shared" si="8"/>
        <v>2557765.598135002</v>
      </c>
      <c r="G20" s="34">
        <f t="shared" si="8"/>
        <v>2647986.6211571768</v>
      </c>
      <c r="K20" s="34"/>
    </row>
    <row r="21" spans="1:11" x14ac:dyDescent="0.3">
      <c r="A21" t="s">
        <v>91</v>
      </c>
      <c r="C21" s="34">
        <f>-C20*$C34</f>
        <v>-553092.5</v>
      </c>
      <c r="D21" s="34">
        <f t="shared" ref="D21:G21" si="9">-D20*$C34</f>
        <v>-584609.94999999995</v>
      </c>
      <c r="E21" s="34">
        <f t="shared" si="9"/>
        <v>-617622.94175000023</v>
      </c>
      <c r="F21" s="34">
        <f t="shared" si="9"/>
        <v>-639441.39953375049</v>
      </c>
      <c r="G21" s="34">
        <f t="shared" si="9"/>
        <v>-661996.6552892942</v>
      </c>
      <c r="K21" s="37"/>
    </row>
    <row r="22" spans="1:11" x14ac:dyDescent="0.3">
      <c r="A22" t="s">
        <v>89</v>
      </c>
      <c r="G22" s="34">
        <f>-(20000*C34*B32)/(B31+B32)</f>
        <v>-4000</v>
      </c>
    </row>
    <row r="23" spans="1:11" x14ac:dyDescent="0.3">
      <c r="A23" t="s">
        <v>92</v>
      </c>
      <c r="C23" s="42">
        <f>+C20+C21</f>
        <v>1659277.5</v>
      </c>
      <c r="D23" s="42">
        <f t="shared" ref="D23:G23" si="10">+D20+D21</f>
        <v>1753829.8499999999</v>
      </c>
      <c r="E23" s="42">
        <f t="shared" si="10"/>
        <v>1852868.8252500007</v>
      </c>
      <c r="F23" s="42">
        <f t="shared" si="10"/>
        <v>1918324.1986012515</v>
      </c>
      <c r="G23" s="42">
        <f t="shared" si="10"/>
        <v>1985989.9658678826</v>
      </c>
    </row>
    <row r="25" spans="1:11" x14ac:dyDescent="0.3">
      <c r="K25" s="34"/>
    </row>
    <row r="27" spans="1:11" x14ac:dyDescent="0.3">
      <c r="A27" t="s">
        <v>93</v>
      </c>
      <c r="C27" s="45">
        <f>+NPV(B31,C23:G23)+B5+B6+B7</f>
        <v>941352.77705928963</v>
      </c>
    </row>
    <row r="29" spans="1:11" x14ac:dyDescent="0.3">
      <c r="A29" t="s">
        <v>87</v>
      </c>
      <c r="C29" s="33">
        <v>0.03</v>
      </c>
    </row>
    <row r="30" spans="1:11" x14ac:dyDescent="0.3">
      <c r="A30" t="s">
        <v>79</v>
      </c>
      <c r="B30" s="33">
        <v>0.04</v>
      </c>
    </row>
    <row r="31" spans="1:11" x14ac:dyDescent="0.3">
      <c r="A31" t="s">
        <v>35</v>
      </c>
      <c r="B31" s="33">
        <v>0.1</v>
      </c>
      <c r="C31" s="34"/>
    </row>
    <row r="32" spans="1:11" x14ac:dyDescent="0.3">
      <c r="A32" t="s">
        <v>38</v>
      </c>
      <c r="B32" s="33">
        <v>0.4</v>
      </c>
      <c r="C32" s="34"/>
    </row>
    <row r="33" spans="1:3" x14ac:dyDescent="0.3">
      <c r="A33" t="s">
        <v>46</v>
      </c>
      <c r="C33" s="35">
        <v>2.5000000000000001E-2</v>
      </c>
    </row>
    <row r="34" spans="1:3" x14ac:dyDescent="0.3">
      <c r="A34" t="s">
        <v>52</v>
      </c>
      <c r="C34" s="36">
        <v>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8465-7756-4974-893E-4C41BA0A428F}">
  <dimension ref="A3:B5"/>
  <sheetViews>
    <sheetView tabSelected="1" workbookViewId="0">
      <selection activeCell="B5" sqref="B5"/>
    </sheetView>
  </sheetViews>
  <sheetFormatPr baseColWidth="10" defaultRowHeight="14.4" x14ac:dyDescent="0.3"/>
  <cols>
    <col min="1" max="1" width="18.5546875" bestFit="1" customWidth="1"/>
    <col min="2" max="2" width="12.77734375" style="34" bestFit="1" customWidth="1"/>
  </cols>
  <sheetData>
    <row r="3" spans="1:2" x14ac:dyDescent="0.3">
      <c r="A3" t="s">
        <v>94</v>
      </c>
      <c r="B3" s="34">
        <f>8000000*6%*75%</f>
        <v>360000</v>
      </c>
    </row>
    <row r="5" spans="1:2" x14ac:dyDescent="0.3">
      <c r="B5" s="34">
        <f>2350000*0.25</f>
        <v>587500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FFPM</vt:lpstr>
      <vt:lpstr>FCS</vt:lpstr>
      <vt:lpstr>Amélioration de l'experience Ci</vt:lpstr>
      <vt:lpstr>ACP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2015-06-05T18:19:34Z</dcterms:created>
  <dcterms:modified xsi:type="dcterms:W3CDTF">2025-02-26T16:55:07Z</dcterms:modified>
</cp:coreProperties>
</file>