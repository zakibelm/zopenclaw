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cmtl-my.sharepoint.com/personal/marie-eve_quenneville_hec_ca/Documents/40937/Séance 03/exercice complémentaire/"/>
    </mc:Choice>
  </mc:AlternateContent>
  <xr:revisionPtr revIDLastSave="2" documentId="13_ncr:1_{AB2A8EB8-A0F8-4EC4-BC93-52C969F836F3}" xr6:coauthVersionLast="47" xr6:coauthVersionMax="47" xr10:uidLastSave="{7E30EE16-9635-4268-B2F5-B3B7E3F3C47B}"/>
  <bookViews>
    <workbookView xWindow="-110" yWindow="-110" windowWidth="19420" windowHeight="10420" xr2:uid="{00000000-000D-0000-FFFF-FFFF00000000}"/>
  </bookViews>
  <sheets>
    <sheet name="Au bon soleil solution &lt;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" l="1"/>
  <c r="H60" i="2" l="1"/>
  <c r="G60" i="2"/>
  <c r="F60" i="2"/>
  <c r="E60" i="2"/>
  <c r="D60" i="2"/>
  <c r="D61" i="2" s="1"/>
  <c r="C60" i="2"/>
  <c r="B60" i="2"/>
  <c r="D21" i="2"/>
  <c r="F21" i="2" s="1"/>
  <c r="K81" i="2"/>
  <c r="F22" i="2" s="1"/>
  <c r="K80" i="2"/>
  <c r="F23" i="2" s="1"/>
  <c r="N79" i="2"/>
  <c r="O79" i="2" s="1"/>
  <c r="K78" i="2"/>
  <c r="N77" i="2"/>
  <c r="O77" i="2" s="1"/>
  <c r="Q76" i="2"/>
  <c r="N76" i="2"/>
  <c r="F7" i="2"/>
  <c r="B44" i="2"/>
  <c r="D20" i="2" s="1"/>
  <c r="F20" i="2" s="1"/>
  <c r="D6" i="2"/>
  <c r="B70" i="2"/>
  <c r="B69" i="2"/>
  <c r="B71" i="2"/>
  <c r="B68" i="2"/>
  <c r="C64" i="2"/>
  <c r="B19" i="2"/>
  <c r="B5" i="2"/>
  <c r="E61" i="2" l="1"/>
  <c r="D70" i="2"/>
  <c r="G61" i="2"/>
  <c r="D69" i="2"/>
  <c r="B61" i="2"/>
  <c r="F61" i="2"/>
  <c r="D68" i="2"/>
  <c r="C61" i="2"/>
  <c r="H61" i="2"/>
  <c r="D71" i="2"/>
  <c r="P79" i="2"/>
  <c r="Q79" i="2" s="1"/>
  <c r="R79" i="2" s="1"/>
  <c r="S79" i="2" s="1"/>
  <c r="T79" i="2" s="1"/>
  <c r="U79" i="2" s="1"/>
  <c r="F12" i="2"/>
  <c r="P77" i="2"/>
  <c r="Q77" i="2" s="1"/>
  <c r="R77" i="2" s="1"/>
  <c r="S77" i="2" s="1"/>
  <c r="T77" i="2" s="1"/>
  <c r="U77" i="2" s="1"/>
  <c r="R76" i="2"/>
  <c r="S76" i="2" s="1"/>
  <c r="T76" i="2" s="1"/>
  <c r="U76" i="2" s="1"/>
  <c r="F6" i="2"/>
  <c r="B72" i="2"/>
  <c r="D72" i="2" s="1"/>
  <c r="B75" i="2" s="1"/>
  <c r="B10" i="2" l="1"/>
  <c r="F11" i="2"/>
  <c r="D11" i="2"/>
  <c r="C75" i="2"/>
  <c r="D75" i="2" s="1"/>
  <c r="E75" i="2" s="1"/>
  <c r="F75" i="2" s="1"/>
  <c r="G75" i="2" s="1"/>
  <c r="H75" i="2" s="1"/>
  <c r="I75" i="2" s="1"/>
  <c r="J75" i="2" s="1"/>
  <c r="K75" i="2" s="1"/>
  <c r="L75" i="2" s="1"/>
  <c r="M75" i="2" s="1"/>
  <c r="O75" i="2" s="1"/>
  <c r="P75" i="2" s="1"/>
  <c r="Q75" i="2" s="1"/>
  <c r="R75" i="2" s="1"/>
  <c r="S75" i="2" s="1"/>
  <c r="T75" i="2" s="1"/>
  <c r="U75" i="2" s="1"/>
  <c r="B15" i="2" l="1"/>
  <c r="B24" i="2" s="1"/>
  <c r="F16" i="2"/>
  <c r="F24" i="2" s="1"/>
  <c r="D15" i="2"/>
  <c r="D24" i="2" s="1"/>
</calcChain>
</file>

<file path=xl/sharedStrings.xml><?xml version="1.0" encoding="utf-8"?>
<sst xmlns="http://schemas.openxmlformats.org/spreadsheetml/2006/main" count="84" uniqueCount="70">
  <si>
    <t>Facteur</t>
  </si>
  <si>
    <t>Entretien</t>
  </si>
  <si>
    <t>Services publics</t>
  </si>
  <si>
    <t>Frais de location directs</t>
  </si>
  <si>
    <t>Administration**</t>
  </si>
  <si>
    <t>Dotation à l'amortissement</t>
  </si>
  <si>
    <t>Taxes municipales</t>
  </si>
  <si>
    <t>Total des charges</t>
  </si>
  <si>
    <t>Années</t>
  </si>
  <si>
    <t>Tx d'occupation</t>
  </si>
  <si>
    <t>Taux d'occupation espéré (moyenne pond.)</t>
  </si>
  <si>
    <t>(facteur utilisé pour mettre à jour les calculs)</t>
  </si>
  <si>
    <t>Revenus</t>
  </si>
  <si>
    <t>Année 23</t>
  </si>
  <si>
    <t>C/F nets</t>
  </si>
  <si>
    <t>Année 24 et subséquentes (occupation à 77%)</t>
  </si>
  <si>
    <t>Taux d'actualisation</t>
  </si>
  <si>
    <t>Offre de Constructions Morin</t>
  </si>
  <si>
    <t>hectares</t>
  </si>
  <si>
    <t>Prix d'achat</t>
  </si>
  <si>
    <t>Congé d'impôt foncier</t>
  </si>
  <si>
    <t>ans</t>
  </si>
  <si>
    <t>par hectare pour l'Impôt foncier</t>
  </si>
  <si>
    <t>Revenus de location dans le Petit parc indistriel Aubonsoleil</t>
  </si>
  <si>
    <t>Produits de location</t>
  </si>
  <si>
    <t>Compensation</t>
  </si>
  <si>
    <t># de membres du Conseil</t>
  </si>
  <si>
    <t>par hectare</t>
  </si>
  <si>
    <t>Offre de BSX</t>
  </si>
  <si>
    <t>Option BSX (dans 10 ans)</t>
  </si>
  <si>
    <t>Coût de l'option pour la muni.</t>
  </si>
  <si>
    <t>Impôt foncier - CM</t>
  </si>
  <si>
    <t>Impôt foncier - BSX</t>
  </si>
  <si>
    <t>Sorties de fonds</t>
  </si>
  <si>
    <t>Coût d'aménagement</t>
  </si>
  <si>
    <t>Coût d'amé. non-pertinents</t>
  </si>
  <si>
    <t>Couts net d'amé.</t>
  </si>
  <si>
    <t>Taxe de tranfert</t>
  </si>
  <si>
    <t>Impôt foncier - BSX (option)</t>
  </si>
  <si>
    <t>Option d'achat - BSX</t>
  </si>
  <si>
    <t xml:space="preserve">Destruction des immeubles </t>
  </si>
  <si>
    <t>dans dix ans</t>
  </si>
  <si>
    <t>Dest. des immeubles (option)</t>
  </si>
  <si>
    <t>Taxe de transfert (option)</t>
  </si>
  <si>
    <t>CM: 12,5 hectares</t>
  </si>
  <si>
    <t>BSX: 11 hectares</t>
  </si>
  <si>
    <t>BSX: option 14 hectares (dans 10 ans)</t>
  </si>
  <si>
    <t>Impôt foncier</t>
  </si>
  <si>
    <t>Vente à CM</t>
  </si>
  <si>
    <t>Entrées de fonds</t>
  </si>
  <si>
    <t>Produits de location dans le petit parc</t>
  </si>
  <si>
    <t>CM: Compensation</t>
  </si>
  <si>
    <t>(sans option)</t>
  </si>
  <si>
    <t xml:space="preserve">Vente BSX </t>
  </si>
  <si>
    <t>BSX: Années 36 à 43 (VA)</t>
  </si>
  <si>
    <t>BSX (option): Années 36 à 43 (VA)</t>
  </si>
  <si>
    <t>Années 24 à 35 inclusivement VA)</t>
  </si>
  <si>
    <t>Années 24 à 33 incl. (VA, si exercice option)</t>
  </si>
  <si>
    <t>BSX:Taxe de transfert (11 hectares) (VA)</t>
  </si>
  <si>
    <t>BSX: Taxe de transfert (14 hectares) (VA)</t>
  </si>
  <si>
    <t>BSX: Destruction des immeubles (VA)</t>
  </si>
  <si>
    <t>Valeur actuelle nette des offres</t>
  </si>
  <si>
    <t>(si exercice de l'option)</t>
  </si>
  <si>
    <t>CM: Années 39 à 43 (VA*)</t>
  </si>
  <si>
    <t>BSX: Aménagement**</t>
  </si>
  <si>
    <t>Calculs de support</t>
  </si>
  <si>
    <t>Taux d'occupation</t>
  </si>
  <si>
    <t>Excédent</t>
  </si>
  <si>
    <t>Charges:</t>
  </si>
  <si>
    <t>Entrées de fonds pertinentes associés à la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</si>
</sst>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3" fontId="0" fillId="0" borderId="0" xfId="0" applyNumberFormat="1"/>
    <xf numFmtId="0" fontId="3" fillId="0" borderId="0" xfId="0" applyFont="1"/>
    <xf numFmtId="9" fontId="2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2" fillId="0" borderId="0" xfId="0" applyNumberFormat="1" applyFont="1"/>
    <xf numFmtId="4" fontId="2" fillId="0" borderId="0" xfId="0" applyNumberFormat="1" applyFont="1"/>
    <xf numFmtId="3" fontId="2" fillId="0" borderId="1" xfId="0" applyNumberFormat="1" applyFont="1" applyBorder="1"/>
    <xf numFmtId="3" fontId="2" fillId="0" borderId="2" xfId="0" applyNumberFormat="1" applyFont="1" applyBorder="1"/>
    <xf numFmtId="0" fontId="2" fillId="0" borderId="4" xfId="0" applyFont="1" applyBorder="1"/>
    <xf numFmtId="0" fontId="2" fillId="0" borderId="3" xfId="0" applyFont="1" applyBorder="1"/>
    <xf numFmtId="10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9"/>
  <sheetViews>
    <sheetView tabSelected="1" workbookViewId="0">
      <selection activeCell="H12" sqref="H12"/>
    </sheetView>
  </sheetViews>
  <sheetFormatPr baseColWidth="10" defaultRowHeight="14.5" x14ac:dyDescent="0.35"/>
  <cols>
    <col min="1" max="1" width="40.54296875" style="1" customWidth="1"/>
    <col min="2" max="2" width="11.453125" style="1"/>
    <col min="3" max="3" width="8.7265625" style="1" customWidth="1"/>
    <col min="4" max="4" width="11.453125" style="1"/>
    <col min="5" max="5" width="8.26953125" style="1" customWidth="1"/>
    <col min="6" max="6" width="22.81640625" style="1" customWidth="1"/>
    <col min="7" max="8" width="11.453125" style="1"/>
    <col min="9" max="9" width="11.54296875" style="1" customWidth="1"/>
    <col min="10" max="17" width="11.453125" style="1"/>
  </cols>
  <sheetData>
    <row r="1" spans="1:7" x14ac:dyDescent="0.35">
      <c r="B1" s="15"/>
      <c r="C1" s="15"/>
      <c r="D1" s="15"/>
      <c r="E1" s="15"/>
      <c r="F1" s="15"/>
      <c r="G1" s="15"/>
    </row>
    <row r="2" spans="1:7" x14ac:dyDescent="0.35">
      <c r="B2" s="6" t="s">
        <v>48</v>
      </c>
      <c r="C2" s="6"/>
      <c r="D2" s="6" t="s">
        <v>53</v>
      </c>
      <c r="E2" s="6"/>
      <c r="F2" s="7" t="s">
        <v>53</v>
      </c>
      <c r="G2" s="6"/>
    </row>
    <row r="3" spans="1:7" x14ac:dyDescent="0.35">
      <c r="A3" s="4" t="s">
        <v>49</v>
      </c>
      <c r="B3" s="6"/>
      <c r="C3" s="6"/>
      <c r="D3" s="6" t="s">
        <v>52</v>
      </c>
      <c r="E3" s="6"/>
      <c r="F3" s="6" t="s">
        <v>62</v>
      </c>
      <c r="G3" s="6"/>
    </row>
    <row r="4" spans="1:7" x14ac:dyDescent="0.35">
      <c r="A4" s="4" t="s">
        <v>19</v>
      </c>
    </row>
    <row r="5" spans="1:7" x14ac:dyDescent="0.35">
      <c r="A5" s="1" t="s">
        <v>44</v>
      </c>
      <c r="B5" s="8">
        <f>+B32*D32</f>
        <v>3750000</v>
      </c>
      <c r="F5" s="8"/>
    </row>
    <row r="6" spans="1:7" x14ac:dyDescent="0.35">
      <c r="A6" s="1" t="s">
        <v>45</v>
      </c>
      <c r="B6" s="8"/>
      <c r="D6" s="8">
        <f>+B37*D37</f>
        <v>6160000</v>
      </c>
      <c r="F6" s="8">
        <f>+B37*D37</f>
        <v>6160000</v>
      </c>
    </row>
    <row r="7" spans="1:7" x14ac:dyDescent="0.35">
      <c r="A7" s="1" t="s">
        <v>46</v>
      </c>
      <c r="B7" s="8"/>
      <c r="F7" s="8">
        <f>NPV($B$30,B78:U78)</f>
        <v>3609809.9308196637</v>
      </c>
    </row>
    <row r="8" spans="1:7" x14ac:dyDescent="0.35">
      <c r="B8" s="8"/>
      <c r="F8" s="8"/>
    </row>
    <row r="9" spans="1:7" x14ac:dyDescent="0.35">
      <c r="A9" s="4" t="s">
        <v>47</v>
      </c>
      <c r="B9" s="8"/>
      <c r="F9" s="8"/>
    </row>
    <row r="10" spans="1:7" x14ac:dyDescent="0.35">
      <c r="A10" s="1" t="s">
        <v>63</v>
      </c>
      <c r="B10" s="8">
        <f>NPV(B30,B76:U76)</f>
        <v>41651.046087187809</v>
      </c>
      <c r="F10" s="8"/>
    </row>
    <row r="11" spans="1:7" x14ac:dyDescent="0.35">
      <c r="A11" s="1" t="s">
        <v>54</v>
      </c>
      <c r="B11" s="8"/>
      <c r="D11" s="8">
        <f>NPV($B$30,B77:U77)</f>
        <v>158354.18306801163</v>
      </c>
      <c r="F11" s="8">
        <f>NPV($B$30,B77:U77)</f>
        <v>158354.18306801163</v>
      </c>
    </row>
    <row r="12" spans="1:7" x14ac:dyDescent="0.35">
      <c r="A12" s="1" t="s">
        <v>55</v>
      </c>
      <c r="B12" s="8"/>
      <c r="F12" s="8">
        <f>NPV($B$30,B79:U79)</f>
        <v>201541.68754110573</v>
      </c>
    </row>
    <row r="13" spans="1:7" x14ac:dyDescent="0.35">
      <c r="B13" s="8"/>
      <c r="F13" s="8"/>
    </row>
    <row r="14" spans="1:7" x14ac:dyDescent="0.35">
      <c r="A14" s="4" t="s">
        <v>50</v>
      </c>
    </row>
    <row r="15" spans="1:7" x14ac:dyDescent="0.35">
      <c r="A15" s="1" t="s">
        <v>56</v>
      </c>
      <c r="B15" s="8">
        <f>NPV(B30,B75:M75)</f>
        <v>5778249.1835221928</v>
      </c>
      <c r="D15" s="8">
        <f>NPV($B$30,B75:M75)</f>
        <v>5778249.1835221928</v>
      </c>
    </row>
    <row r="16" spans="1:7" x14ac:dyDescent="0.35">
      <c r="A16" s="1" t="s">
        <v>57</v>
      </c>
      <c r="B16" s="8"/>
      <c r="F16" s="8">
        <f>NPV($B$30,B75:K75)</f>
        <v>5034056.3914998854</v>
      </c>
    </row>
    <row r="18" spans="1:7" x14ac:dyDescent="0.35">
      <c r="A18" s="4" t="s">
        <v>33</v>
      </c>
    </row>
    <row r="19" spans="1:7" x14ac:dyDescent="0.35">
      <c r="A19" s="1" t="s">
        <v>51</v>
      </c>
      <c r="B19" s="8">
        <f>B35</f>
        <v>250000</v>
      </c>
    </row>
    <row r="20" spans="1:7" x14ac:dyDescent="0.35">
      <c r="A20" s="1" t="s">
        <v>64</v>
      </c>
      <c r="D20" s="8">
        <f>+B44</f>
        <v>2740000</v>
      </c>
      <c r="F20" s="8">
        <f>+D20</f>
        <v>2740000</v>
      </c>
    </row>
    <row r="21" spans="1:7" x14ac:dyDescent="0.35">
      <c r="A21" s="1" t="s">
        <v>58</v>
      </c>
      <c r="D21" s="8">
        <f>B45*B37</f>
        <v>88000</v>
      </c>
      <c r="F21" s="8">
        <f>+D21</f>
        <v>88000</v>
      </c>
    </row>
    <row r="22" spans="1:7" x14ac:dyDescent="0.35">
      <c r="A22" s="1" t="s">
        <v>59</v>
      </c>
      <c r="F22" s="8">
        <f>NPV($B$30,B81:U81)</f>
        <v>68758.284396565025</v>
      </c>
      <c r="G22" s="8"/>
    </row>
    <row r="23" spans="1:7" x14ac:dyDescent="0.35">
      <c r="A23" s="1" t="s">
        <v>60</v>
      </c>
      <c r="F23" s="10">
        <f>NPV($B$30,B80:U80)</f>
        <v>429739.27747853135</v>
      </c>
      <c r="G23" s="8"/>
    </row>
    <row r="24" spans="1:7" ht="15" thickBot="1" x14ac:dyDescent="0.4">
      <c r="A24" s="4" t="s">
        <v>61</v>
      </c>
      <c r="B24" s="11">
        <f>+B5+B10+B15-B19</f>
        <v>9319900.2296093814</v>
      </c>
      <c r="D24" s="11">
        <f>+D6+D11+D15-D20-D21</f>
        <v>9268603.3665902056</v>
      </c>
      <c r="F24" s="11">
        <f>+F6+F7+F11+F12+F16-F20-F23-F21-F22</f>
        <v>11837264.631053569</v>
      </c>
    </row>
    <row r="25" spans="1:7" ht="15" thickTop="1" x14ac:dyDescent="0.35">
      <c r="A25" s="4"/>
      <c r="B25" s="8"/>
      <c r="D25" s="8"/>
      <c r="F25" s="8"/>
    </row>
    <row r="26" spans="1:7" ht="17.5" x14ac:dyDescent="0.35">
      <c r="A26" s="16" t="s">
        <v>65</v>
      </c>
      <c r="B26" s="16"/>
      <c r="C26" s="16"/>
      <c r="D26" s="16"/>
      <c r="E26" s="16"/>
      <c r="F26" s="16"/>
    </row>
    <row r="28" spans="1:7" x14ac:dyDescent="0.35">
      <c r="A28" s="4" t="s">
        <v>9</v>
      </c>
      <c r="B28" s="5">
        <v>0.5</v>
      </c>
      <c r="C28" s="5">
        <v>0.65</v>
      </c>
      <c r="D28" s="5">
        <v>0.85</v>
      </c>
      <c r="E28" s="5">
        <v>0.92</v>
      </c>
      <c r="F28" s="5">
        <v>0.94</v>
      </c>
    </row>
    <row r="29" spans="1:7" x14ac:dyDescent="0.35">
      <c r="A29" s="4" t="s">
        <v>26</v>
      </c>
      <c r="B29" s="1">
        <v>2</v>
      </c>
      <c r="C29" s="1">
        <v>6</v>
      </c>
      <c r="D29" s="1">
        <v>8</v>
      </c>
      <c r="E29" s="1">
        <v>3</v>
      </c>
      <c r="F29" s="1">
        <v>1</v>
      </c>
    </row>
    <row r="30" spans="1:7" x14ac:dyDescent="0.35">
      <c r="A30" s="4" t="s">
        <v>16</v>
      </c>
      <c r="B30" s="5">
        <v>0.05</v>
      </c>
    </row>
    <row r="32" spans="1:7" x14ac:dyDescent="0.35">
      <c r="A32" s="4" t="s">
        <v>17</v>
      </c>
      <c r="B32" s="9">
        <v>12.5</v>
      </c>
      <c r="C32" s="9" t="s">
        <v>18</v>
      </c>
      <c r="D32" s="9">
        <v>300000</v>
      </c>
      <c r="E32" s="1" t="s">
        <v>27</v>
      </c>
    </row>
    <row r="33" spans="1:5" x14ac:dyDescent="0.35">
      <c r="B33" s="9">
        <v>1600</v>
      </c>
      <c r="C33" s="9" t="s">
        <v>22</v>
      </c>
      <c r="D33" s="9"/>
    </row>
    <row r="34" spans="1:5" x14ac:dyDescent="0.35">
      <c r="A34" s="1" t="s">
        <v>20</v>
      </c>
      <c r="B34" s="9">
        <v>15</v>
      </c>
      <c r="C34" s="9" t="s">
        <v>21</v>
      </c>
      <c r="D34" s="9"/>
    </row>
    <row r="35" spans="1:5" x14ac:dyDescent="0.35">
      <c r="A35" s="1" t="s">
        <v>25</v>
      </c>
      <c r="B35" s="9">
        <v>250000</v>
      </c>
      <c r="C35" s="9"/>
      <c r="D35" s="9"/>
    </row>
    <row r="37" spans="1:5" x14ac:dyDescent="0.35">
      <c r="A37" s="4" t="s">
        <v>28</v>
      </c>
      <c r="B37" s="9">
        <v>11</v>
      </c>
      <c r="C37" s="9" t="s">
        <v>18</v>
      </c>
      <c r="D37" s="1">
        <v>560000</v>
      </c>
      <c r="E37" s="1" t="s">
        <v>27</v>
      </c>
    </row>
    <row r="38" spans="1:5" x14ac:dyDescent="0.35">
      <c r="A38" s="1" t="s">
        <v>29</v>
      </c>
      <c r="B38" s="9">
        <v>14</v>
      </c>
      <c r="C38" s="9" t="s">
        <v>18</v>
      </c>
      <c r="D38" s="1">
        <v>420000</v>
      </c>
      <c r="E38" s="1" t="s">
        <v>27</v>
      </c>
    </row>
    <row r="39" spans="1:5" x14ac:dyDescent="0.35">
      <c r="B39" s="9">
        <v>4000</v>
      </c>
      <c r="C39" s="9" t="s">
        <v>22</v>
      </c>
      <c r="D39" s="9"/>
    </row>
    <row r="40" spans="1:5" x14ac:dyDescent="0.35">
      <c r="A40" s="1" t="s">
        <v>20</v>
      </c>
      <c r="B40" s="9">
        <v>12</v>
      </c>
      <c r="C40" s="9" t="s">
        <v>21</v>
      </c>
    </row>
    <row r="41" spans="1:5" x14ac:dyDescent="0.35">
      <c r="A41" s="1" t="s">
        <v>30</v>
      </c>
      <c r="B41" s="9">
        <v>700000</v>
      </c>
    </row>
    <row r="42" spans="1:5" x14ac:dyDescent="0.35">
      <c r="A42" s="1" t="s">
        <v>34</v>
      </c>
      <c r="B42" s="9">
        <f>660000+875000+715000+990000</f>
        <v>3240000</v>
      </c>
    </row>
    <row r="43" spans="1:5" x14ac:dyDescent="0.35">
      <c r="A43" s="1" t="s">
        <v>35</v>
      </c>
      <c r="B43" s="9">
        <v>500000</v>
      </c>
    </row>
    <row r="44" spans="1:5" x14ac:dyDescent="0.35">
      <c r="A44" s="1" t="s">
        <v>36</v>
      </c>
      <c r="B44" s="9">
        <f>+B42-B43</f>
        <v>2740000</v>
      </c>
    </row>
    <row r="45" spans="1:5" x14ac:dyDescent="0.35">
      <c r="A45" s="1" t="s">
        <v>37</v>
      </c>
      <c r="B45" s="9">
        <v>8000</v>
      </c>
      <c r="C45" s="1" t="s">
        <v>27</v>
      </c>
    </row>
    <row r="46" spans="1:5" x14ac:dyDescent="0.35">
      <c r="A46" s="1" t="s">
        <v>40</v>
      </c>
      <c r="B46" s="9">
        <v>700000</v>
      </c>
      <c r="C46" s="1" t="s">
        <v>41</v>
      </c>
    </row>
    <row r="47" spans="1:5" x14ac:dyDescent="0.35">
      <c r="B47" s="9"/>
    </row>
    <row r="48" spans="1:5" x14ac:dyDescent="0.35">
      <c r="A48" s="4" t="s">
        <v>0</v>
      </c>
      <c r="B48" s="4">
        <v>2</v>
      </c>
      <c r="C48" s="1" t="s">
        <v>11</v>
      </c>
    </row>
    <row r="49" spans="1:8" x14ac:dyDescent="0.35">
      <c r="B49" s="15" t="s">
        <v>23</v>
      </c>
      <c r="C49" s="15"/>
      <c r="D49" s="15"/>
      <c r="E49" s="15"/>
      <c r="F49" s="15"/>
      <c r="G49" s="15"/>
      <c r="H49" s="15"/>
    </row>
    <row r="50" spans="1:8" x14ac:dyDescent="0.35">
      <c r="A50" s="4" t="s">
        <v>8</v>
      </c>
      <c r="B50" s="4">
        <v>17</v>
      </c>
      <c r="C50" s="1">
        <v>18</v>
      </c>
      <c r="D50" s="1">
        <v>19</v>
      </c>
      <c r="E50" s="1">
        <v>20</v>
      </c>
      <c r="F50" s="1">
        <v>21</v>
      </c>
      <c r="G50" s="1">
        <v>22</v>
      </c>
      <c r="H50" s="1">
        <v>23</v>
      </c>
    </row>
    <row r="51" spans="1:8" x14ac:dyDescent="0.35">
      <c r="A51" s="1" t="s">
        <v>12</v>
      </c>
      <c r="B51" s="1">
        <v>1300</v>
      </c>
      <c r="C51" s="1">
        <v>1400</v>
      </c>
      <c r="D51" s="1">
        <v>1500</v>
      </c>
      <c r="E51" s="1">
        <v>1600</v>
      </c>
      <c r="F51" s="1">
        <v>1800</v>
      </c>
      <c r="G51" s="1">
        <v>1480</v>
      </c>
      <c r="H51" s="1">
        <v>1270</v>
      </c>
    </row>
    <row r="53" spans="1:8" x14ac:dyDescent="0.35">
      <c r="A53" s="1" t="s">
        <v>68</v>
      </c>
    </row>
    <row r="54" spans="1:8" x14ac:dyDescent="0.35">
      <c r="A54" s="1" t="s">
        <v>1</v>
      </c>
      <c r="B54" s="1">
        <v>130</v>
      </c>
      <c r="C54" s="1">
        <v>140</v>
      </c>
      <c r="D54" s="1">
        <v>150</v>
      </c>
      <c r="E54" s="1">
        <v>160</v>
      </c>
      <c r="F54" s="1">
        <v>180</v>
      </c>
      <c r="G54" s="1">
        <v>148</v>
      </c>
      <c r="H54" s="1">
        <v>128</v>
      </c>
    </row>
    <row r="55" spans="1:8" x14ac:dyDescent="0.35">
      <c r="A55" s="1" t="s">
        <v>2</v>
      </c>
      <c r="B55" s="1">
        <v>390</v>
      </c>
      <c r="C55" s="1">
        <v>420</v>
      </c>
      <c r="D55" s="1">
        <v>450</v>
      </c>
      <c r="E55" s="1">
        <v>480</v>
      </c>
      <c r="F55" s="1">
        <v>540</v>
      </c>
      <c r="G55" s="1">
        <v>444</v>
      </c>
      <c r="H55" s="1">
        <v>380</v>
      </c>
    </row>
    <row r="56" spans="1:8" x14ac:dyDescent="0.35">
      <c r="A56" s="1" t="s">
        <v>3</v>
      </c>
      <c r="B56" s="1">
        <v>260</v>
      </c>
      <c r="C56" s="1">
        <v>280</v>
      </c>
      <c r="D56" s="1">
        <v>300</v>
      </c>
      <c r="E56" s="1">
        <v>320</v>
      </c>
      <c r="F56" s="1">
        <v>360</v>
      </c>
      <c r="G56" s="1">
        <v>296</v>
      </c>
      <c r="H56" s="1">
        <v>254</v>
      </c>
    </row>
    <row r="57" spans="1:8" x14ac:dyDescent="0.35">
      <c r="A57" s="1" t="s">
        <v>4</v>
      </c>
      <c r="B57" s="1">
        <v>100</v>
      </c>
      <c r="C57" s="1">
        <v>100</v>
      </c>
      <c r="D57" s="1">
        <v>100</v>
      </c>
      <c r="E57" s="1">
        <v>200</v>
      </c>
      <c r="F57" s="1">
        <v>200</v>
      </c>
      <c r="G57" s="1">
        <v>200</v>
      </c>
      <c r="H57" s="1">
        <v>200</v>
      </c>
    </row>
    <row r="58" spans="1:8" x14ac:dyDescent="0.35">
      <c r="A58" s="1" t="s">
        <v>5</v>
      </c>
      <c r="B58" s="1">
        <v>250</v>
      </c>
      <c r="C58" s="1">
        <v>250</v>
      </c>
      <c r="D58" s="1">
        <v>250</v>
      </c>
      <c r="E58" s="1">
        <v>250</v>
      </c>
      <c r="F58" s="1">
        <v>250</v>
      </c>
      <c r="G58" s="1">
        <v>250</v>
      </c>
      <c r="H58" s="1">
        <v>250</v>
      </c>
    </row>
    <row r="59" spans="1:8" x14ac:dyDescent="0.35">
      <c r="A59" s="1" t="s">
        <v>6</v>
      </c>
      <c r="B59" s="1">
        <v>100</v>
      </c>
      <c r="C59" s="1">
        <v>100</v>
      </c>
      <c r="D59" s="1">
        <v>100</v>
      </c>
      <c r="E59" s="1">
        <v>160</v>
      </c>
      <c r="F59" s="1">
        <v>160</v>
      </c>
      <c r="G59" s="1">
        <v>160</v>
      </c>
      <c r="H59" s="1">
        <v>160</v>
      </c>
    </row>
    <row r="60" spans="1:8" x14ac:dyDescent="0.35">
      <c r="A60" s="1" t="s">
        <v>7</v>
      </c>
      <c r="B60" s="12">
        <f>SUM(B54:B59)</f>
        <v>1230</v>
      </c>
      <c r="C60" s="12">
        <f t="shared" ref="C60:H60" si="0">SUM(C54:C59)</f>
        <v>1290</v>
      </c>
      <c r="D60" s="12">
        <f t="shared" si="0"/>
        <v>1350</v>
      </c>
      <c r="E60" s="12">
        <f t="shared" si="0"/>
        <v>1570</v>
      </c>
      <c r="F60" s="12">
        <f t="shared" si="0"/>
        <v>1690</v>
      </c>
      <c r="G60" s="12">
        <f t="shared" si="0"/>
        <v>1498</v>
      </c>
      <c r="H60" s="12">
        <f t="shared" si="0"/>
        <v>1372</v>
      </c>
    </row>
    <row r="61" spans="1:8" ht="15" thickBot="1" x14ac:dyDescent="0.4">
      <c r="A61" s="1" t="s">
        <v>67</v>
      </c>
      <c r="B61" s="13">
        <f t="shared" ref="B61:H61" si="1">+B51-B60</f>
        <v>70</v>
      </c>
      <c r="C61" s="13">
        <f t="shared" si="1"/>
        <v>110</v>
      </c>
      <c r="D61" s="13">
        <f t="shared" si="1"/>
        <v>150</v>
      </c>
      <c r="E61" s="13">
        <f t="shared" si="1"/>
        <v>30</v>
      </c>
      <c r="F61" s="13">
        <f t="shared" si="1"/>
        <v>110</v>
      </c>
      <c r="G61" s="13">
        <f t="shared" si="1"/>
        <v>-18</v>
      </c>
      <c r="H61" s="13">
        <f t="shared" si="1"/>
        <v>-102</v>
      </c>
    </row>
    <row r="62" spans="1:8" ht="15" thickTop="1" x14ac:dyDescent="0.35">
      <c r="A62" s="1" t="s">
        <v>66</v>
      </c>
      <c r="B62" s="5">
        <v>0.85</v>
      </c>
      <c r="C62" s="5">
        <v>0.85</v>
      </c>
      <c r="D62" s="5">
        <v>0.85</v>
      </c>
      <c r="E62" s="5">
        <v>0.85</v>
      </c>
      <c r="F62" s="5">
        <v>0.85</v>
      </c>
      <c r="G62" s="5">
        <v>0.7</v>
      </c>
      <c r="H62" s="5">
        <v>0.6</v>
      </c>
    </row>
    <row r="64" spans="1:8" x14ac:dyDescent="0.35">
      <c r="A64" s="1" t="s">
        <v>10</v>
      </c>
      <c r="C64" s="14">
        <f>(+B29*B28+C29*C28+D29*D28+E29*E28+F29*F28)/SUM(B29:F29)</f>
        <v>0.76999999999999991</v>
      </c>
    </row>
    <row r="65" spans="1:36" x14ac:dyDescent="0.35">
      <c r="K65" s="14"/>
    </row>
    <row r="66" spans="1:36" x14ac:dyDescent="0.35">
      <c r="A66" s="4" t="s">
        <v>69</v>
      </c>
      <c r="J66"/>
      <c r="K66"/>
      <c r="L66"/>
      <c r="M66"/>
      <c r="N66"/>
      <c r="O66"/>
      <c r="P66"/>
      <c r="Q66"/>
    </row>
    <row r="67" spans="1:36" x14ac:dyDescent="0.35">
      <c r="B67" s="1" t="s">
        <v>13</v>
      </c>
      <c r="D67" s="1" t="s">
        <v>15</v>
      </c>
      <c r="J67"/>
      <c r="K67"/>
      <c r="L67"/>
      <c r="M67"/>
      <c r="N67"/>
      <c r="O67"/>
      <c r="P67"/>
      <c r="Q67"/>
    </row>
    <row r="68" spans="1:36" x14ac:dyDescent="0.35">
      <c r="A68" s="1" t="s">
        <v>12</v>
      </c>
      <c r="B68" s="8">
        <f>+H51*1000</f>
        <v>1270000</v>
      </c>
      <c r="C68" s="8"/>
      <c r="D68" s="8">
        <f>+B68/$H$62*$C$64</f>
        <v>1629833.3333333335</v>
      </c>
      <c r="J68"/>
      <c r="K68"/>
      <c r="L68"/>
      <c r="M68"/>
      <c r="N68"/>
      <c r="O68"/>
      <c r="P68"/>
      <c r="Q68"/>
    </row>
    <row r="69" spans="1:36" x14ac:dyDescent="0.35">
      <c r="A69" s="1" t="s">
        <v>1</v>
      </c>
      <c r="B69" s="8">
        <f>+H54*1000</f>
        <v>128000</v>
      </c>
      <c r="C69" s="8"/>
      <c r="D69" s="8">
        <f>+B69/$H$62*$C$64</f>
        <v>164266.66666666666</v>
      </c>
      <c r="J69"/>
      <c r="K69"/>
      <c r="L69"/>
      <c r="M69"/>
      <c r="N69"/>
      <c r="O69"/>
      <c r="P69"/>
      <c r="Q69"/>
    </row>
    <row r="70" spans="1:36" x14ac:dyDescent="0.35">
      <c r="A70" s="1" t="s">
        <v>2</v>
      </c>
      <c r="B70" s="8">
        <f>+H55*1000</f>
        <v>380000</v>
      </c>
      <c r="C70" s="8"/>
      <c r="D70" s="8">
        <f>+B70/$H$62*$C$64</f>
        <v>487666.66666666663</v>
      </c>
      <c r="J70"/>
      <c r="K70"/>
      <c r="L70"/>
      <c r="M70"/>
      <c r="N70"/>
      <c r="O70"/>
      <c r="P70"/>
      <c r="Q70"/>
    </row>
    <row r="71" spans="1:36" x14ac:dyDescent="0.35">
      <c r="A71" s="1" t="s">
        <v>3</v>
      </c>
      <c r="B71" s="10">
        <f>+H56*1000</f>
        <v>254000</v>
      </c>
      <c r="C71" s="8"/>
      <c r="D71" s="10">
        <f>+B71/$H$62*$C$64</f>
        <v>325966.66666666669</v>
      </c>
      <c r="J71"/>
      <c r="K71"/>
      <c r="L71"/>
      <c r="M71"/>
      <c r="N71"/>
      <c r="O71"/>
      <c r="P71"/>
      <c r="Q71"/>
    </row>
    <row r="72" spans="1:36" ht="15" thickBot="1" x14ac:dyDescent="0.4">
      <c r="A72" s="1" t="s">
        <v>14</v>
      </c>
      <c r="B72" s="11">
        <f>+B68-B69-B70-B71</f>
        <v>508000</v>
      </c>
      <c r="C72" s="8"/>
      <c r="D72" s="11">
        <f>+B72/$H$62*$C$64</f>
        <v>651933.33333333337</v>
      </c>
      <c r="J72"/>
      <c r="K72"/>
      <c r="L72"/>
      <c r="M72"/>
      <c r="N72"/>
      <c r="O72"/>
      <c r="P72"/>
      <c r="Q72"/>
    </row>
    <row r="73" spans="1:36" ht="15" thickTop="1" x14ac:dyDescent="0.35">
      <c r="J73"/>
      <c r="K73"/>
      <c r="L73"/>
      <c r="M73"/>
      <c r="N73"/>
      <c r="O73"/>
      <c r="P73"/>
      <c r="Q73"/>
    </row>
    <row r="74" spans="1:36" x14ac:dyDescent="0.35">
      <c r="A74" s="4" t="s">
        <v>8</v>
      </c>
      <c r="B74" s="4">
        <v>24</v>
      </c>
      <c r="C74" s="4">
        <v>25</v>
      </c>
      <c r="D74" s="4">
        <v>26</v>
      </c>
      <c r="E74" s="4">
        <v>27</v>
      </c>
      <c r="F74" s="4">
        <v>28</v>
      </c>
      <c r="G74" s="4">
        <v>29</v>
      </c>
      <c r="H74" s="4">
        <v>30</v>
      </c>
      <c r="I74" s="4">
        <v>31</v>
      </c>
      <c r="J74" s="2">
        <v>32</v>
      </c>
      <c r="K74" s="2">
        <v>33</v>
      </c>
      <c r="L74" s="2">
        <v>34</v>
      </c>
      <c r="M74" s="2">
        <v>35</v>
      </c>
      <c r="N74" s="2">
        <v>36</v>
      </c>
      <c r="O74" s="2">
        <v>37</v>
      </c>
      <c r="P74" s="2">
        <v>38</v>
      </c>
      <c r="Q74" s="2">
        <v>39</v>
      </c>
      <c r="R74" s="2">
        <v>40</v>
      </c>
      <c r="S74" s="2">
        <v>41</v>
      </c>
      <c r="T74" s="2">
        <v>42</v>
      </c>
      <c r="U74" s="2">
        <v>43</v>
      </c>
      <c r="V74" s="2"/>
      <c r="AE74" s="2"/>
      <c r="AF74" s="2"/>
      <c r="AG74" s="2"/>
      <c r="AH74" s="2"/>
      <c r="AI74" s="2"/>
      <c r="AJ74" s="2"/>
    </row>
    <row r="75" spans="1:36" x14ac:dyDescent="0.35">
      <c r="A75" s="1" t="s">
        <v>24</v>
      </c>
      <c r="B75" s="8">
        <f>+D72</f>
        <v>651933.33333333337</v>
      </c>
      <c r="C75" s="8">
        <f>+B75</f>
        <v>651933.33333333337</v>
      </c>
      <c r="D75" s="8">
        <f t="shared" ref="D75:U76" si="2">+C75</f>
        <v>651933.33333333337</v>
      </c>
      <c r="E75" s="8">
        <f t="shared" si="2"/>
        <v>651933.33333333337</v>
      </c>
      <c r="F75" s="8">
        <f t="shared" si="2"/>
        <v>651933.33333333337</v>
      </c>
      <c r="G75" s="8">
        <f t="shared" si="2"/>
        <v>651933.33333333337</v>
      </c>
      <c r="H75" s="8">
        <f t="shared" si="2"/>
        <v>651933.33333333337</v>
      </c>
      <c r="I75" s="8">
        <f t="shared" si="2"/>
        <v>651933.33333333337</v>
      </c>
      <c r="J75" s="3">
        <f t="shared" si="2"/>
        <v>651933.33333333337</v>
      </c>
      <c r="K75" s="3">
        <f t="shared" si="2"/>
        <v>651933.33333333337</v>
      </c>
      <c r="L75" s="3">
        <f t="shared" si="2"/>
        <v>651933.33333333337</v>
      </c>
      <c r="M75" s="3">
        <f t="shared" si="2"/>
        <v>651933.33333333337</v>
      </c>
      <c r="N75" s="3">
        <v>0</v>
      </c>
      <c r="O75" s="3">
        <f t="shared" si="2"/>
        <v>0</v>
      </c>
      <c r="P75" s="3">
        <f t="shared" si="2"/>
        <v>0</v>
      </c>
      <c r="Q75" s="3">
        <f t="shared" si="2"/>
        <v>0</v>
      </c>
      <c r="R75" s="3">
        <f t="shared" si="2"/>
        <v>0</v>
      </c>
      <c r="S75" s="3">
        <f t="shared" si="2"/>
        <v>0</v>
      </c>
      <c r="T75" s="3">
        <f t="shared" si="2"/>
        <v>0</v>
      </c>
      <c r="U75" s="3">
        <f t="shared" si="2"/>
        <v>0</v>
      </c>
    </row>
    <row r="76" spans="1:36" x14ac:dyDescent="0.35">
      <c r="A76" s="1" t="s">
        <v>31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3">
        <v>0</v>
      </c>
      <c r="K76" s="3">
        <v>0</v>
      </c>
      <c r="L76" s="3">
        <v>0</v>
      </c>
      <c r="M76" s="3">
        <v>0</v>
      </c>
      <c r="N76" s="3">
        <f t="shared" si="2"/>
        <v>0</v>
      </c>
      <c r="O76">
        <v>0</v>
      </c>
      <c r="P76">
        <v>0</v>
      </c>
      <c r="Q76" s="3">
        <f>+B33*B32</f>
        <v>20000</v>
      </c>
      <c r="R76" s="3">
        <f>+Q76</f>
        <v>20000</v>
      </c>
      <c r="S76" s="3">
        <f>+R76</f>
        <v>20000</v>
      </c>
      <c r="T76" s="3">
        <f>+S76</f>
        <v>20000</v>
      </c>
      <c r="U76" s="3">
        <f>+T76</f>
        <v>20000</v>
      </c>
    </row>
    <row r="77" spans="1:36" x14ac:dyDescent="0.35">
      <c r="A77" s="1" t="s">
        <v>32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3">
        <v>0</v>
      </c>
      <c r="K77" s="3">
        <v>0</v>
      </c>
      <c r="L77" s="3">
        <v>0</v>
      </c>
      <c r="M77" s="3">
        <v>0</v>
      </c>
      <c r="N77" s="3">
        <f>+B37*B39</f>
        <v>44000</v>
      </c>
      <c r="O77" s="3">
        <f>+N77</f>
        <v>44000</v>
      </c>
      <c r="P77" s="3">
        <f t="shared" ref="P77:U77" si="3">+O77</f>
        <v>44000</v>
      </c>
      <c r="Q77" s="3">
        <f t="shared" si="3"/>
        <v>44000</v>
      </c>
      <c r="R77" s="3">
        <f t="shared" si="3"/>
        <v>44000</v>
      </c>
      <c r="S77" s="3">
        <f t="shared" si="3"/>
        <v>44000</v>
      </c>
      <c r="T77" s="3">
        <f t="shared" si="3"/>
        <v>44000</v>
      </c>
      <c r="U77" s="3">
        <f t="shared" si="3"/>
        <v>44000</v>
      </c>
    </row>
    <row r="78" spans="1:36" x14ac:dyDescent="0.35">
      <c r="A78" s="1" t="s">
        <v>39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3">
        <v>0</v>
      </c>
      <c r="K78" s="3">
        <f>+B38*D38</f>
        <v>5880000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</row>
    <row r="79" spans="1:36" x14ac:dyDescent="0.35">
      <c r="A79" s="1" t="s">
        <v>38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3">
        <v>0</v>
      </c>
      <c r="K79" s="3">
        <v>0</v>
      </c>
      <c r="L79" s="3">
        <v>0</v>
      </c>
      <c r="M79" s="3">
        <v>0</v>
      </c>
      <c r="N79" s="3">
        <f>+B38*B39</f>
        <v>56000</v>
      </c>
      <c r="O79" s="3">
        <f t="shared" ref="O79:U79" si="4">+N79</f>
        <v>56000</v>
      </c>
      <c r="P79" s="3">
        <f t="shared" si="4"/>
        <v>56000</v>
      </c>
      <c r="Q79" s="3">
        <f t="shared" si="4"/>
        <v>56000</v>
      </c>
      <c r="R79" s="3">
        <f t="shared" si="4"/>
        <v>56000</v>
      </c>
      <c r="S79" s="3">
        <f t="shared" si="4"/>
        <v>56000</v>
      </c>
      <c r="T79" s="3">
        <f t="shared" si="4"/>
        <v>56000</v>
      </c>
      <c r="U79" s="3">
        <f t="shared" si="4"/>
        <v>56000</v>
      </c>
    </row>
    <row r="80" spans="1:36" x14ac:dyDescent="0.35">
      <c r="A80" s="1" t="s">
        <v>42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3">
        <v>0</v>
      </c>
      <c r="K80" s="3">
        <f>+B46</f>
        <v>700000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</row>
    <row r="81" spans="1:21" x14ac:dyDescent="0.35">
      <c r="A81" s="1" t="s">
        <v>43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3">
        <v>0</v>
      </c>
      <c r="K81" s="3">
        <f>+B38*B45</f>
        <v>112000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</row>
    <row r="82" spans="1:21" x14ac:dyDescent="0.35">
      <c r="J82"/>
      <c r="K82"/>
      <c r="L82"/>
      <c r="M82"/>
      <c r="N82"/>
      <c r="O82"/>
      <c r="P82"/>
      <c r="Q82"/>
    </row>
    <row r="83" spans="1:21" x14ac:dyDescent="0.35">
      <c r="J83"/>
      <c r="K83"/>
      <c r="L83"/>
      <c r="M83"/>
      <c r="N83"/>
      <c r="O83"/>
      <c r="P83"/>
      <c r="Q83"/>
    </row>
    <row r="84" spans="1:21" x14ac:dyDescent="0.35">
      <c r="J84"/>
      <c r="K84"/>
      <c r="L84"/>
      <c r="M84"/>
      <c r="N84" s="3"/>
      <c r="O84"/>
      <c r="P84"/>
      <c r="Q84"/>
    </row>
    <row r="85" spans="1:21" x14ac:dyDescent="0.35">
      <c r="J85"/>
      <c r="K85"/>
      <c r="L85"/>
      <c r="M85"/>
      <c r="N85"/>
      <c r="O85"/>
      <c r="P85"/>
      <c r="Q85"/>
    </row>
    <row r="86" spans="1:21" x14ac:dyDescent="0.35">
      <c r="J86"/>
      <c r="K86"/>
      <c r="L86"/>
      <c r="M86"/>
      <c r="N86"/>
      <c r="O86"/>
      <c r="P86"/>
      <c r="Q86"/>
    </row>
    <row r="87" spans="1:21" x14ac:dyDescent="0.35">
      <c r="J87"/>
      <c r="K87"/>
      <c r="L87"/>
      <c r="M87"/>
      <c r="N87"/>
      <c r="O87"/>
      <c r="P87"/>
      <c r="Q87"/>
    </row>
    <row r="88" spans="1:21" x14ac:dyDescent="0.35">
      <c r="J88"/>
      <c r="K88"/>
      <c r="L88"/>
      <c r="M88"/>
      <c r="N88"/>
      <c r="O88"/>
      <c r="P88"/>
      <c r="Q88"/>
    </row>
    <row r="89" spans="1:21" x14ac:dyDescent="0.35">
      <c r="J89"/>
      <c r="K89"/>
      <c r="L89"/>
      <c r="M89"/>
      <c r="N89"/>
      <c r="O89"/>
      <c r="P89"/>
      <c r="Q89"/>
    </row>
    <row r="90" spans="1:21" x14ac:dyDescent="0.35">
      <c r="J90"/>
      <c r="K90"/>
      <c r="L90"/>
      <c r="M90"/>
      <c r="N90"/>
      <c r="O90"/>
      <c r="P90"/>
      <c r="Q90"/>
    </row>
    <row r="91" spans="1:21" x14ac:dyDescent="0.35">
      <c r="J91"/>
      <c r="K91"/>
      <c r="L91"/>
      <c r="M91"/>
      <c r="N91"/>
      <c r="O91"/>
      <c r="P91"/>
      <c r="Q91"/>
    </row>
    <row r="92" spans="1:21" x14ac:dyDescent="0.35">
      <c r="J92"/>
      <c r="K92"/>
      <c r="L92"/>
      <c r="M92"/>
      <c r="N92"/>
      <c r="O92"/>
      <c r="P92"/>
      <c r="Q92"/>
    </row>
    <row r="93" spans="1:21" x14ac:dyDescent="0.35">
      <c r="J93"/>
      <c r="K93"/>
      <c r="L93"/>
      <c r="M93"/>
      <c r="N93"/>
      <c r="O93"/>
      <c r="P93"/>
      <c r="Q93"/>
    </row>
    <row r="94" spans="1:21" x14ac:dyDescent="0.35">
      <c r="J94"/>
      <c r="K94"/>
      <c r="L94"/>
      <c r="M94"/>
      <c r="N94"/>
      <c r="O94"/>
      <c r="P94"/>
      <c r="Q94"/>
    </row>
    <row r="95" spans="1:21" x14ac:dyDescent="0.35">
      <c r="J95"/>
      <c r="K95"/>
      <c r="L95"/>
      <c r="M95"/>
      <c r="N95"/>
      <c r="O95"/>
      <c r="P95"/>
      <c r="Q95"/>
    </row>
    <row r="96" spans="1:21" x14ac:dyDescent="0.35">
      <c r="J96"/>
      <c r="K96"/>
      <c r="L96"/>
      <c r="M96"/>
      <c r="N96"/>
      <c r="O96"/>
      <c r="P96"/>
      <c r="Q96"/>
    </row>
    <row r="97" spans="10:17" x14ac:dyDescent="0.35">
      <c r="J97"/>
      <c r="K97"/>
      <c r="L97"/>
      <c r="M97"/>
      <c r="N97"/>
      <c r="O97"/>
      <c r="P97"/>
      <c r="Q97"/>
    </row>
    <row r="98" spans="10:17" x14ac:dyDescent="0.35">
      <c r="J98"/>
      <c r="K98"/>
      <c r="L98"/>
      <c r="M98"/>
      <c r="N98"/>
      <c r="O98"/>
      <c r="P98"/>
      <c r="Q98"/>
    </row>
    <row r="99" spans="10:17" x14ac:dyDescent="0.35">
      <c r="J99"/>
      <c r="K99"/>
      <c r="L99"/>
      <c r="M99"/>
      <c r="N99"/>
      <c r="O99"/>
      <c r="P99"/>
      <c r="Q99"/>
    </row>
    <row r="100" spans="10:17" x14ac:dyDescent="0.35">
      <c r="J100"/>
      <c r="K100"/>
      <c r="L100"/>
      <c r="M100"/>
      <c r="N100"/>
      <c r="O100"/>
      <c r="P100"/>
      <c r="Q100"/>
    </row>
    <row r="127" spans="2:4" x14ac:dyDescent="0.35">
      <c r="D127" s="8"/>
    </row>
    <row r="128" spans="2:4" x14ac:dyDescent="0.35">
      <c r="B128" s="8"/>
    </row>
    <row r="140" spans="4:7" x14ac:dyDescent="0.35">
      <c r="D140" s="8"/>
      <c r="E140" s="8"/>
      <c r="F140" s="8"/>
      <c r="G140" s="8"/>
    </row>
    <row r="141" spans="4:7" x14ac:dyDescent="0.35">
      <c r="D141" s="8"/>
      <c r="E141" s="8"/>
      <c r="F141" s="8"/>
      <c r="G141" s="8"/>
    </row>
    <row r="150" spans="3:3" x14ac:dyDescent="0.35">
      <c r="C150" s="8"/>
    </row>
    <row r="159" spans="3:3" x14ac:dyDescent="0.35">
      <c r="C159" s="8"/>
    </row>
  </sheetData>
  <mergeCells count="3">
    <mergeCell ref="B1:G1"/>
    <mergeCell ref="B49:H49"/>
    <mergeCell ref="A26:F2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 bon soleil solution &lt;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cp:lastModifiedBy>Marie-Ève Quenneville</cp:lastModifiedBy>
  <dcterms:created xsi:type="dcterms:W3CDTF">2019-06-15T15:03:51Z</dcterms:created>
  <dcterms:modified xsi:type="dcterms:W3CDTF">2024-10-17T13:02:12Z</dcterms:modified>
</cp:coreProperties>
</file>