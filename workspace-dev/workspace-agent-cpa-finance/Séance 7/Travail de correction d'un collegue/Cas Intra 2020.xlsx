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C:\Users\cabin\Dropbox\CANADA\HEC\Session Hiver 2025\Info Fin intégrité et conformité\Séance 7\Résolution Cas Intra A2020\"/>
    </mc:Choice>
  </mc:AlternateContent>
  <xr:revisionPtr revIDLastSave="0" documentId="8_{5717C9E4-008A-4A9E-BA21-CFC69DE55206}" xr6:coauthVersionLast="47" xr6:coauthVersionMax="47" xr10:uidLastSave="{00000000-0000-0000-0000-000000000000}"/>
  <bookViews>
    <workbookView xWindow="-108" yWindow="-108" windowWidth="23256" windowHeight="12456" xr2:uid="{2ADAC2F3-5EE0-4AD3-BDFD-4A5BAEB7AE1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" l="1"/>
  <c r="B21" i="1"/>
  <c r="B54" i="1"/>
  <c r="C55" i="1" s="1"/>
  <c r="C54" i="1"/>
  <c r="D55" i="1" s="1"/>
  <c r="D54" i="1"/>
  <c r="E55" i="1" s="1"/>
  <c r="E54" i="1"/>
  <c r="F55" i="1" s="1"/>
  <c r="A54" i="1"/>
  <c r="C59" i="1" s="1"/>
  <c r="C60" i="1" s="1"/>
  <c r="B55" i="1" l="1"/>
  <c r="F40" i="1"/>
  <c r="B40" i="1"/>
  <c r="B47" i="1" s="1"/>
  <c r="C48" i="1" s="1"/>
  <c r="F39" i="1"/>
  <c r="B39" i="1"/>
  <c r="C40" i="1" s="1"/>
  <c r="C39" i="1"/>
  <c r="D40" i="1" s="1"/>
  <c r="D39" i="1"/>
  <c r="E40" i="1" s="1"/>
  <c r="E39" i="1"/>
  <c r="A39" i="1"/>
  <c r="C43" i="1" s="1"/>
  <c r="C44" i="1" s="1"/>
  <c r="E33" i="1"/>
  <c r="C33" i="1"/>
  <c r="C30" i="1"/>
  <c r="C32" i="1" s="1"/>
  <c r="C34" i="1" s="1"/>
  <c r="B28" i="1"/>
  <c r="C16" i="1"/>
  <c r="E5" i="1"/>
</calcChain>
</file>

<file path=xl/sharedStrings.xml><?xml version="1.0" encoding="utf-8"?>
<sst xmlns="http://schemas.openxmlformats.org/spreadsheetml/2006/main" count="44" uniqueCount="35">
  <si>
    <t>Achat initial</t>
  </si>
  <si>
    <t>plan fraises</t>
  </si>
  <si>
    <t>Construction de serres</t>
  </si>
  <si>
    <t>Prêt Subvention</t>
  </si>
  <si>
    <t>Lampes</t>
  </si>
  <si>
    <t>Acquisition batiment</t>
  </si>
  <si>
    <t>Prêt jean philippe</t>
  </si>
  <si>
    <t>Production canabis</t>
  </si>
  <si>
    <t>Nature</t>
  </si>
  <si>
    <t>Coûts</t>
  </si>
  <si>
    <t>Directements attribuables à l'actifs</t>
  </si>
  <si>
    <t>Charge</t>
  </si>
  <si>
    <t>Prix d'acquisition</t>
  </si>
  <si>
    <t>son prix d'achat IAS16 par 16</t>
  </si>
  <si>
    <t>Impôt fonciers</t>
  </si>
  <si>
    <t>les frais administratifs et autres frais généraux. IAS16 par 16</t>
  </si>
  <si>
    <t>honoraires du notaire</t>
  </si>
  <si>
    <t>coût directement attribuable au transfert de l'actif , IAS16 par 16</t>
  </si>
  <si>
    <t>Taxe de bienvenue</t>
  </si>
  <si>
    <t>les taxes non remboursables  IAS16 par 16</t>
  </si>
  <si>
    <t>Total actif</t>
  </si>
  <si>
    <t>Valorisation municipale</t>
  </si>
  <si>
    <t>IAS 16 Par 16</t>
  </si>
  <si>
    <t>Coût de la main d'oeuvrenet du coût des lampes</t>
  </si>
  <si>
    <t>Travaux de renforcement de la structure</t>
  </si>
  <si>
    <t>Nouveau système d'aération</t>
  </si>
  <si>
    <t xml:space="preserve">coût de semence </t>
  </si>
  <si>
    <t>Traitement des plants</t>
  </si>
  <si>
    <t>Depôt</t>
  </si>
  <si>
    <t>Encaisse</t>
  </si>
  <si>
    <t>Prêt</t>
  </si>
  <si>
    <t>Subvention différé</t>
  </si>
  <si>
    <t>Après 1 an</t>
  </si>
  <si>
    <t>Frais financiers</t>
  </si>
  <si>
    <t>ICP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</si>
</sst>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 * #,##0.00_ \ [$$-C0C]_ ;_ * \-#,##0.00\ \ [$$-C0C]_ ;_ * &quot;-&quot;??_ \ [$$-C0C]_ ;_ @_ "/>
    <numFmt numFmtId="166" formatCode="_ * #,##0_ \ [$$-C0C]_ ;_ * \-#,##0\ \ [$$-C0C]_ ;_ * &quot;-&quot;??_ \ [$$-C0C]_ ;_ @_ "/>
    <numFmt numFmtId="167" formatCode="_-* #,##0_-;\-* #,##0_-;_-* &quot;-&quot;??_-;_-@_-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56082"/>
      <name val="Aptos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4">
    <xf numFmtId="0" fontId="0" fillId="0" borderId="0" xfId="0"/>
    <xf numFmtId="166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166" fontId="0" fillId="0" borderId="1" xfId="0" applyNumberFormat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6" xfId="0" applyNumberFormat="1" applyBorder="1"/>
    <xf numFmtId="165" fontId="0" fillId="0" borderId="0" xfId="0" applyNumberFormat="1"/>
    <xf numFmtId="165" fontId="0" fillId="0" borderId="7" xfId="0" applyNumberFormat="1" applyBorder="1"/>
    <xf numFmtId="165" fontId="0" fillId="0" borderId="6" xfId="0" applyNumberFormat="1" applyBorder="1"/>
    <xf numFmtId="0" fontId="0" fillId="0" borderId="6" xfId="0" applyBorder="1"/>
    <xf numFmtId="0" fontId="0" fillId="0" borderId="7" xfId="0" applyBorder="1"/>
    <xf numFmtId="0" fontId="1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7" fontId="0" fillId="0" borderId="0" xfId="1" applyNumberFormat="1" applyFont="1"/>
    <xf numFmtId="166" fontId="0" fillId="0" borderId="6" xfId="0" applyNumberFormat="1" applyBorder="1"/>
    <xf numFmtId="166" fontId="0" fillId="0" borderId="7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F8D2-83F1-40D7-A82B-3E44B18225C2}">
  <dimension ref="A1:F68"/>
  <sheetViews>
    <sheetView tabSelected="1" topLeftCell="A58" workbookViewId="0">
      <selection activeCell="C68" sqref="C68"/>
    </sheetView>
  </sheetViews>
  <sheetFormatPr defaultColWidth="11.42578125" defaultRowHeight="14.45"/>
  <cols>
    <col min="1" max="1" width="20.28515625" customWidth="1"/>
    <col min="2" max="2" width="17.7109375" customWidth="1"/>
    <col min="3" max="3" width="12.42578125" customWidth="1"/>
    <col min="4" max="4" width="11.7109375" bestFit="1" customWidth="1"/>
    <col min="5" max="5" width="13.28515625" bestFit="1" customWidth="1"/>
  </cols>
  <sheetData>
    <row r="1" spans="1:5">
      <c r="A1" t="s">
        <v>0</v>
      </c>
      <c r="C1">
        <v>25</v>
      </c>
    </row>
    <row r="2" spans="1:5">
      <c r="A2" t="s">
        <v>1</v>
      </c>
      <c r="C2">
        <v>25</v>
      </c>
    </row>
    <row r="3" spans="1:5">
      <c r="A3" t="s">
        <v>2</v>
      </c>
      <c r="C3">
        <v>20</v>
      </c>
    </row>
    <row r="4" spans="1:5">
      <c r="B4" t="s">
        <v>3</v>
      </c>
      <c r="C4">
        <v>15</v>
      </c>
    </row>
    <row r="5" spans="1:5">
      <c r="A5" t="s">
        <v>4</v>
      </c>
      <c r="C5">
        <v>10</v>
      </c>
      <c r="E5">
        <f>2*60+30</f>
        <v>150</v>
      </c>
    </row>
    <row r="6" spans="1:5">
      <c r="A6" t="s">
        <v>5</v>
      </c>
      <c r="C6">
        <v>15</v>
      </c>
    </row>
    <row r="7" spans="1:5">
      <c r="A7" t="s">
        <v>6</v>
      </c>
      <c r="C7">
        <v>15</v>
      </c>
    </row>
    <row r="8" spans="1:5">
      <c r="A8" t="s">
        <v>7</v>
      </c>
      <c r="C8">
        <v>20</v>
      </c>
    </row>
    <row r="11" spans="1:5" ht="43.15">
      <c r="A11" s="2" t="s">
        <v>8</v>
      </c>
      <c r="B11" s="2" t="s">
        <v>9</v>
      </c>
      <c r="C11" s="3" t="s">
        <v>10</v>
      </c>
      <c r="D11" s="2" t="s">
        <v>11</v>
      </c>
    </row>
    <row r="12" spans="1:5">
      <c r="A12" s="4" t="s">
        <v>12</v>
      </c>
      <c r="B12" s="5">
        <v>2500000</v>
      </c>
      <c r="C12" s="5">
        <v>2500000</v>
      </c>
      <c r="D12" s="5"/>
      <c r="E12" s="7" t="s">
        <v>13</v>
      </c>
    </row>
    <row r="13" spans="1:5">
      <c r="A13" s="4" t="s">
        <v>14</v>
      </c>
      <c r="B13" s="5">
        <v>4000</v>
      </c>
      <c r="C13" s="5"/>
      <c r="D13" s="5">
        <v>4000</v>
      </c>
      <c r="E13" s="7" t="s">
        <v>15</v>
      </c>
    </row>
    <row r="14" spans="1:5">
      <c r="A14" s="4" t="s">
        <v>16</v>
      </c>
      <c r="B14" s="5">
        <v>3000</v>
      </c>
      <c r="C14" s="5">
        <v>3000</v>
      </c>
      <c r="D14" s="5"/>
      <c r="E14" s="7" t="s">
        <v>17</v>
      </c>
    </row>
    <row r="15" spans="1:5">
      <c r="A15" s="4" t="s">
        <v>18</v>
      </c>
      <c r="B15" s="5">
        <v>15000</v>
      </c>
      <c r="C15" s="5">
        <v>15000</v>
      </c>
      <c r="D15" s="5"/>
      <c r="E15" s="7" t="s">
        <v>19</v>
      </c>
    </row>
    <row r="16" spans="1:5">
      <c r="A16" s="6" t="s">
        <v>20</v>
      </c>
      <c r="B16" s="1"/>
      <c r="C16" s="5">
        <f>SUM(C12:C15)</f>
        <v>2518000</v>
      </c>
      <c r="D16" s="1"/>
    </row>
    <row r="17" spans="1:5">
      <c r="B17" s="1"/>
      <c r="C17" s="1"/>
      <c r="D17" s="1"/>
    </row>
    <row r="20" spans="1:5">
      <c r="A20" s="4" t="s">
        <v>21</v>
      </c>
      <c r="B20" s="5">
        <v>225000</v>
      </c>
      <c r="C20" s="5" t="s">
        <v>22</v>
      </c>
      <c r="D20" s="1"/>
      <c r="E20" s="7"/>
    </row>
    <row r="21" spans="1:5">
      <c r="A21" s="4" t="s">
        <v>23</v>
      </c>
      <c r="B21" s="5">
        <f>4500-400</f>
        <v>4100</v>
      </c>
      <c r="C21" s="5" t="s">
        <v>22</v>
      </c>
      <c r="D21" s="1"/>
      <c r="E21" s="7"/>
    </row>
    <row r="22" spans="1:5">
      <c r="A22" s="4" t="s">
        <v>24</v>
      </c>
      <c r="B22" s="5">
        <v>35000</v>
      </c>
      <c r="C22" s="5" t="s">
        <v>22</v>
      </c>
      <c r="D22" s="1"/>
      <c r="E22" s="7"/>
    </row>
    <row r="23" spans="1:5">
      <c r="A23" s="4" t="s">
        <v>25</v>
      </c>
      <c r="B23" s="5">
        <v>15000</v>
      </c>
      <c r="C23" s="5" t="s">
        <v>22</v>
      </c>
      <c r="D23" s="1"/>
      <c r="E23" s="7"/>
    </row>
    <row r="26" spans="1:5">
      <c r="A26" t="s">
        <v>26</v>
      </c>
      <c r="B26" s="1">
        <v>800</v>
      </c>
    </row>
    <row r="27" spans="1:5">
      <c r="A27" t="s">
        <v>27</v>
      </c>
      <c r="B27" s="1">
        <v>6000</v>
      </c>
    </row>
    <row r="28" spans="1:5">
      <c r="A28" t="s">
        <v>20</v>
      </c>
      <c r="B28" s="1">
        <f>SUM(B26:B27)</f>
        <v>6800</v>
      </c>
    </row>
    <row r="29" spans="1:5">
      <c r="B29" s="1"/>
    </row>
    <row r="30" spans="1:5">
      <c r="A30" t="s">
        <v>28</v>
      </c>
      <c r="B30">
        <v>105120</v>
      </c>
      <c r="C30">
        <f>80000</f>
        <v>80000</v>
      </c>
      <c r="E30">
        <v>4500</v>
      </c>
    </row>
    <row r="31" spans="1:5">
      <c r="C31">
        <v>1.3274999999999999</v>
      </c>
      <c r="E31">
        <v>35000</v>
      </c>
    </row>
    <row r="32" spans="1:5">
      <c r="C32" s="21">
        <f>C31*C30</f>
        <v>106199.99999999999</v>
      </c>
      <c r="E32">
        <v>15000</v>
      </c>
    </row>
    <row r="33" spans="1:6">
      <c r="C33" s="21">
        <f>80000*1.314</f>
        <v>105120</v>
      </c>
      <c r="E33">
        <f>SUM(E30:E32)</f>
        <v>54500</v>
      </c>
    </row>
    <row r="34" spans="1:6">
      <c r="C34">
        <f>C32-C33</f>
        <v>1079.9999999999854</v>
      </c>
    </row>
    <row r="36" spans="1:6" ht="15" thickBot="1"/>
    <row r="37" spans="1:6">
      <c r="A37" s="8">
        <v>0</v>
      </c>
      <c r="B37" s="9">
        <v>1</v>
      </c>
      <c r="C37" s="9">
        <v>2</v>
      </c>
      <c r="D37" s="9">
        <v>3</v>
      </c>
      <c r="E37" s="9">
        <v>4</v>
      </c>
      <c r="F37" s="10">
        <v>5</v>
      </c>
    </row>
    <row r="38" spans="1:6">
      <c r="A38" s="11">
        <v>0.06</v>
      </c>
      <c r="B38" s="12">
        <v>0</v>
      </c>
      <c r="C38" s="12">
        <v>0</v>
      </c>
      <c r="D38" s="12">
        <v>0</v>
      </c>
      <c r="E38" s="12">
        <v>0</v>
      </c>
      <c r="F38" s="13">
        <v>40000</v>
      </c>
    </row>
    <row r="39" spans="1:6">
      <c r="A39" s="14">
        <f>NPV($A38,B38:$G38)</f>
        <v>29890.326914642279</v>
      </c>
      <c r="B39" s="12">
        <f>NPV($A38,C38:$G38)</f>
        <v>31683.746529520813</v>
      </c>
      <c r="C39" s="12">
        <f>NPV($A38,D38:$G38)</f>
        <v>33584.771321292072</v>
      </c>
      <c r="D39" s="12">
        <f>NPV($A38,E38:$G38)</f>
        <v>35599.857600569594</v>
      </c>
      <c r="E39" s="12">
        <f>NPV($A38,F38:$G38)</f>
        <v>37735.849056603773</v>
      </c>
      <c r="F39" s="13">
        <f>NPV($A38,G38:$G38)</f>
        <v>0</v>
      </c>
    </row>
    <row r="40" spans="1:6">
      <c r="A40" s="14"/>
      <c r="B40" s="12">
        <f>A39*$A38</f>
        <v>1793.4196148785368</v>
      </c>
      <c r="C40" s="12">
        <f t="shared" ref="C40:F40" si="0">B39*$A38</f>
        <v>1901.0247917712486</v>
      </c>
      <c r="D40" s="12">
        <f t="shared" si="0"/>
        <v>2015.0862792775242</v>
      </c>
      <c r="E40" s="12">
        <f t="shared" si="0"/>
        <v>2135.9914560341754</v>
      </c>
      <c r="F40" s="13">
        <f t="shared" si="0"/>
        <v>2264.1509433962265</v>
      </c>
    </row>
    <row r="41" spans="1:6">
      <c r="A41" s="14"/>
      <c r="B41" s="12"/>
      <c r="C41" s="12"/>
      <c r="D41" s="12"/>
      <c r="E41" s="12"/>
      <c r="F41" s="13"/>
    </row>
    <row r="42" spans="1:6">
      <c r="A42" s="14" t="s">
        <v>29</v>
      </c>
      <c r="B42" s="12">
        <v>40000</v>
      </c>
      <c r="C42" s="12"/>
      <c r="D42" s="12"/>
      <c r="E42" s="12"/>
      <c r="F42" s="13"/>
    </row>
    <row r="43" spans="1:6">
      <c r="A43" s="14"/>
      <c r="B43" s="12" t="s">
        <v>30</v>
      </c>
      <c r="C43" s="12">
        <f>A39</f>
        <v>29890.326914642279</v>
      </c>
      <c r="D43" s="12"/>
      <c r="E43" s="12"/>
      <c r="F43" s="13"/>
    </row>
    <row r="44" spans="1:6">
      <c r="A44" s="15"/>
      <c r="B44" t="s">
        <v>31</v>
      </c>
      <c r="C44" s="12">
        <f>B42-C43</f>
        <v>10109.673085357721</v>
      </c>
      <c r="F44" s="16"/>
    </row>
    <row r="45" spans="1:6">
      <c r="A45" s="15"/>
      <c r="F45" s="16"/>
    </row>
    <row r="46" spans="1:6">
      <c r="A46" s="17" t="s">
        <v>32</v>
      </c>
      <c r="F46" s="16"/>
    </row>
    <row r="47" spans="1:6">
      <c r="A47" s="15" t="s">
        <v>33</v>
      </c>
      <c r="B47" s="12">
        <f>B40</f>
        <v>1793.4196148785368</v>
      </c>
      <c r="F47" s="16"/>
    </row>
    <row r="48" spans="1:6">
      <c r="A48" s="15"/>
      <c r="B48" t="s">
        <v>30</v>
      </c>
      <c r="C48" s="12">
        <f>B47</f>
        <v>1793.4196148785368</v>
      </c>
      <c r="F48" s="16"/>
    </row>
    <row r="49" spans="1:6" ht="15" thickBot="1">
      <c r="A49" s="18"/>
      <c r="B49" s="19"/>
      <c r="C49" s="19"/>
      <c r="D49" s="19"/>
      <c r="E49" s="19"/>
      <c r="F49" s="20"/>
    </row>
    <row r="51" spans="1:6" ht="15" thickBot="1"/>
    <row r="52" spans="1:6">
      <c r="A52" s="8">
        <v>0</v>
      </c>
      <c r="B52" s="9">
        <v>1</v>
      </c>
      <c r="C52" s="9">
        <v>2</v>
      </c>
      <c r="D52" s="9">
        <v>3</v>
      </c>
      <c r="E52" s="9">
        <v>4</v>
      </c>
      <c r="F52" s="10"/>
    </row>
    <row r="53" spans="1:6">
      <c r="A53" s="11">
        <v>0.06</v>
      </c>
      <c r="B53" s="1">
        <v>0</v>
      </c>
      <c r="C53" s="1">
        <v>0</v>
      </c>
      <c r="D53" s="1">
        <v>0</v>
      </c>
      <c r="E53" s="1">
        <v>300000</v>
      </c>
      <c r="F53" s="16"/>
    </row>
    <row r="54" spans="1:6">
      <c r="A54" s="22">
        <f>NPV($A53,B53:$F53)</f>
        <v>237628.09897140611</v>
      </c>
      <c r="B54" s="1">
        <f>NPV($A53,C53:$F53)</f>
        <v>251885.7849096905</v>
      </c>
      <c r="C54" s="1">
        <f>NPV($A53,D53:$F53)</f>
        <v>266998.93200427201</v>
      </c>
      <c r="D54" s="1">
        <f>NPV($A53,E53:$F53)</f>
        <v>283018.86792452831</v>
      </c>
      <c r="E54" s="1">
        <f>NPV($A53,F53:$F53)</f>
        <v>0</v>
      </c>
      <c r="F54" s="16"/>
    </row>
    <row r="55" spans="1:6">
      <c r="A55" s="22"/>
      <c r="B55" s="1">
        <f>A54*$A53</f>
        <v>14257.685938284367</v>
      </c>
      <c r="C55" s="1">
        <f t="shared" ref="C55:F55" si="1">B54*$A53</f>
        <v>15113.147094581429</v>
      </c>
      <c r="D55" s="1">
        <f t="shared" si="1"/>
        <v>16019.935920256319</v>
      </c>
      <c r="E55" s="1">
        <f t="shared" si="1"/>
        <v>16981.132075471698</v>
      </c>
      <c r="F55" s="23">
        <f t="shared" si="1"/>
        <v>0</v>
      </c>
    </row>
    <row r="56" spans="1:6">
      <c r="A56" s="22"/>
      <c r="B56" s="1"/>
      <c r="C56" s="1"/>
      <c r="D56" s="1"/>
      <c r="E56" s="1"/>
      <c r="F56" s="23"/>
    </row>
    <row r="57" spans="1:6">
      <c r="A57" s="22"/>
      <c r="B57" s="1"/>
      <c r="C57" s="1"/>
      <c r="D57" s="1"/>
      <c r="E57" s="1"/>
      <c r="F57" s="16"/>
    </row>
    <row r="58" spans="1:6">
      <c r="A58" s="22" t="s">
        <v>29</v>
      </c>
      <c r="B58" s="1">
        <v>300000</v>
      </c>
      <c r="C58" s="1"/>
      <c r="D58" s="1"/>
      <c r="E58" s="1"/>
      <c r="F58" s="16"/>
    </row>
    <row r="59" spans="1:6">
      <c r="A59" s="22"/>
      <c r="B59" s="1" t="s">
        <v>30</v>
      </c>
      <c r="C59" s="1">
        <f>+A54</f>
        <v>237628.09897140611</v>
      </c>
      <c r="D59" s="1"/>
      <c r="E59" s="1"/>
      <c r="F59" s="16"/>
    </row>
    <row r="60" spans="1:6">
      <c r="A60" s="22"/>
      <c r="B60" t="s">
        <v>34</v>
      </c>
      <c r="C60" s="1">
        <f>B58-C59</f>
        <v>62371.901028593886</v>
      </c>
      <c r="F60" s="16"/>
    </row>
    <row r="61" spans="1:6">
      <c r="A61" s="15"/>
      <c r="F61" s="16"/>
    </row>
    <row r="62" spans="1:6">
      <c r="A62" s="15" t="s">
        <v>34</v>
      </c>
      <c r="B62">
        <v>237628</v>
      </c>
      <c r="F62" s="16"/>
    </row>
    <row r="63" spans="1:6">
      <c r="A63" s="15"/>
      <c r="B63" t="s">
        <v>30</v>
      </c>
      <c r="C63">
        <v>237628</v>
      </c>
      <c r="F63" s="16"/>
    </row>
    <row r="64" spans="1:6" ht="15" thickBot="1">
      <c r="A64" s="18"/>
      <c r="B64" s="19"/>
      <c r="C64" s="19"/>
      <c r="D64" s="19"/>
      <c r="E64" s="19"/>
      <c r="F64" s="20"/>
    </row>
    <row r="65" spans="3:3">
      <c r="C65" s="21"/>
    </row>
    <row r="68" spans="3:3">
      <c r="C68" s="21">
        <f>450*125*4.05*95%</f>
        <v>216421.875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Litche Ange Richard Zidago</dc:creator>
  <cp:keywords/>
  <dc:description/>
  <cp:lastModifiedBy/>
  <cp:revision/>
  <dcterms:created xsi:type="dcterms:W3CDTF">2025-02-17T22:02:50Z</dcterms:created>
  <dcterms:modified xsi:type="dcterms:W3CDTF">2025-02-21T14:11:35Z</dcterms:modified>
  <cp:category/>
  <cp:contentStatus/>
</cp:coreProperties>
</file>