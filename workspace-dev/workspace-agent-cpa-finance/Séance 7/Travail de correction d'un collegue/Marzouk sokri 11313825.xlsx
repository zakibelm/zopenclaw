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a8937e5be247ac/Bureau/"/>
    </mc:Choice>
  </mc:AlternateContent>
  <xr:revisionPtr revIDLastSave="0" documentId="8_{0BDDF396-F9F1-4234-8D10-B420CB54E9BB}" xr6:coauthVersionLast="47" xr6:coauthVersionMax="47" xr10:uidLastSave="{00000000-0000-0000-0000-000000000000}"/>
  <bookViews>
    <workbookView xWindow="-108" yWindow="-108" windowWidth="23256" windowHeight="13896" xr2:uid="{565FDF82-7AD6-4AFC-97E5-AA95BE07822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11" i="1" l="1"/>
  <c r="C8" i="1"/>
  <c r="D8" i="1" s="1"/>
  <c r="C7" i="1"/>
  <c r="D7" i="1" s="1"/>
  <c r="B18" i="1" s="1"/>
  <c r="B20" i="1" s="1"/>
</calcChain>
</file>

<file path=xl/sharedStrings.xml><?xml version="1.0" encoding="utf-8"?>
<sst xmlns="http://schemas.openxmlformats.org/spreadsheetml/2006/main" count="11" uniqueCount="11">
  <si>
    <t>Valeur de l'achat</t>
  </si>
  <si>
    <t>Valeur de terrain</t>
  </si>
  <si>
    <t>Valeur de batiment</t>
  </si>
  <si>
    <t>en %</t>
  </si>
  <si>
    <t>Cout d'acauisition</t>
  </si>
  <si>
    <t>Prix d'acaht</t>
  </si>
  <si>
    <t>honoraire notaire</t>
  </si>
  <si>
    <t>ajutment impot foncier</t>
  </si>
  <si>
    <t>Taxe de bienvenus</t>
  </si>
  <si>
    <t>immeuble de placement</t>
  </si>
  <si>
    <t>Gain sur immeuble de 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</si>
</sst>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)_ ;_ * \(#,##0.00\)_ ;_ * &quot;-&quot;??_)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0" fontId="0" fillId="0" borderId="0" xfId="2" applyNumberFormat="1" applyFont="1"/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C045-F2DE-4B15-870E-3CAC069E9913}">
  <dimension ref="A5:D20"/>
  <sheetViews>
    <sheetView tabSelected="1" workbookViewId="0">
      <selection activeCell="D11" sqref="D11"/>
    </sheetView>
  </sheetViews>
  <sheetFormatPr baseColWidth="10" defaultRowHeight="14.4" x14ac:dyDescent="0.3"/>
  <cols>
    <col min="1" max="1" width="28.21875" style="1" bestFit="1" customWidth="1"/>
    <col min="2" max="2" width="13.44140625" style="1" bestFit="1" customWidth="1"/>
    <col min="4" max="4" width="12.44140625" style="1" bestFit="1" customWidth="1"/>
  </cols>
  <sheetData>
    <row r="5" spans="1:4" x14ac:dyDescent="0.3">
      <c r="C5" t="s">
        <v>3</v>
      </c>
    </row>
    <row r="6" spans="1:4" x14ac:dyDescent="0.3">
      <c r="A6" s="1" t="s">
        <v>0</v>
      </c>
      <c r="B6" s="1">
        <v>25000000</v>
      </c>
    </row>
    <row r="7" spans="1:4" x14ac:dyDescent="0.3">
      <c r="A7" s="1" t="s">
        <v>1</v>
      </c>
      <c r="B7" s="1">
        <f>+B6-B8</f>
        <v>22725000</v>
      </c>
      <c r="C7" s="2">
        <f>+B7/B6</f>
        <v>0.90900000000000003</v>
      </c>
      <c r="D7" s="1">
        <f>+B11*C7</f>
        <v>2292498</v>
      </c>
    </row>
    <row r="8" spans="1:4" x14ac:dyDescent="0.3">
      <c r="A8" s="1" t="s">
        <v>2</v>
      </c>
      <c r="B8" s="1">
        <v>2275000</v>
      </c>
      <c r="C8" s="2">
        <f>+B8/B6</f>
        <v>9.0999999999999998E-2</v>
      </c>
      <c r="D8" s="1">
        <f>+C8*B11</f>
        <v>229502</v>
      </c>
    </row>
    <row r="11" spans="1:4" x14ac:dyDescent="0.3">
      <c r="A11" s="1" t="s">
        <v>4</v>
      </c>
      <c r="B11" s="1">
        <f>+SUM(B12:B15)</f>
        <v>2522000</v>
      </c>
    </row>
    <row r="12" spans="1:4" x14ac:dyDescent="0.3">
      <c r="A12" s="1" t="s">
        <v>5</v>
      </c>
      <c r="B12" s="1">
        <v>2500000</v>
      </c>
    </row>
    <row r="13" spans="1:4" x14ac:dyDescent="0.3">
      <c r="A13" s="1" t="s">
        <v>6</v>
      </c>
      <c r="B13" s="1">
        <v>3000</v>
      </c>
    </row>
    <row r="14" spans="1:4" x14ac:dyDescent="0.3">
      <c r="A14" s="1" t="s">
        <v>7</v>
      </c>
      <c r="B14" s="1">
        <v>4000</v>
      </c>
    </row>
    <row r="15" spans="1:4" x14ac:dyDescent="0.3">
      <c r="A15" s="1" t="s">
        <v>8</v>
      </c>
      <c r="B15" s="1">
        <v>15000</v>
      </c>
    </row>
    <row r="18" spans="1:2" x14ac:dyDescent="0.3">
      <c r="A18" s="1" t="s">
        <v>9</v>
      </c>
      <c r="B18" s="1">
        <f>75%*D7</f>
        <v>1719373.5</v>
      </c>
    </row>
    <row r="20" spans="1:2" x14ac:dyDescent="0.3">
      <c r="A20" s="1" t="s">
        <v>10</v>
      </c>
      <c r="B20" s="1">
        <f>6%*B18</f>
        <v>103162.40999999999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SOKRI Marzouk</dc:creator>
  <cp:lastModifiedBy>SOKRI Marzouk</cp:lastModifiedBy>
  <dcterms:created xsi:type="dcterms:W3CDTF">2025-02-17T14:16:09Z</dcterms:created>
  <dcterms:modified xsi:type="dcterms:W3CDTF">2025-02-21T01:35:33Z</dcterms:modified>
</cp:coreProperties>
</file>