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louise_overbeek_hec_ca/Documents/cours HEC/40938-16 info fin intégrité et conformité/2024 Aut/Séance 5/Doc séance 5/Cas Cerises/"/>
    </mc:Choice>
  </mc:AlternateContent>
  <xr:revisionPtr revIDLastSave="0" documentId="14_{CFF302DF-4156-4A62-B172-3147FCF346B2}" xr6:coauthVersionLast="47" xr6:coauthVersionMax="47" xr10:uidLastSave="{00000000-0000-0000-0000-000000000000}"/>
  <bookViews>
    <workbookView xWindow="-110" yWindow="-110" windowWidth="19420" windowHeight="11620" xr2:uid="{2FFFDDEB-9B59-9242-A9A5-4C5522422A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1" l="1"/>
  <c r="I62" i="1"/>
  <c r="I64" i="1" s="1"/>
  <c r="I58" i="1"/>
  <c r="I57" i="1"/>
  <c r="I59" i="1" s="1"/>
  <c r="I66" i="1" s="1"/>
  <c r="E34" i="1"/>
  <c r="I9" i="1"/>
  <c r="I19" i="1" s="1"/>
  <c r="E26" i="1" l="1"/>
  <c r="E28" i="1" s="1"/>
  <c r="E30" i="1" s="1"/>
  <c r="I20" i="1"/>
  <c r="E33" i="1"/>
  <c r="E35" i="1" s="1"/>
  <c r="E37" i="1" s="1"/>
  <c r="H40" i="1" s="1"/>
  <c r="H42" i="1" l="1"/>
  <c r="H41" i="1"/>
  <c r="H51" i="1" s="1"/>
  <c r="H52" i="1" s="1"/>
  <c r="H46" i="1" l="1"/>
  <c r="H48" i="1" s="1"/>
  <c r="H49" i="1" s="1"/>
</calcChain>
</file>

<file path=xl/sharedStrings.xml><?xml version="1.0" encoding="utf-8"?>
<sst xmlns="http://schemas.openxmlformats.org/spreadsheetml/2006/main" count="69" uniqueCount="50">
  <si>
    <t>Les cerises de Zoé</t>
  </si>
  <si>
    <t>Les cerisiers</t>
  </si>
  <si>
    <t>Éléments capitalisables</t>
  </si>
  <si>
    <t>Coût unitaire d'acquisition</t>
  </si>
  <si>
    <t>Oui</t>
  </si>
  <si>
    <t>Essence</t>
  </si>
  <si>
    <t>Frais de transport directement attribuable pour amener les cerisiers à l'endroit et dans l'état où ils se trouvent pour leur utilisation</t>
  </si>
  <si>
    <t>Frais de repas et de logement</t>
  </si>
  <si>
    <t>Vérifier s'il n'y aurait pas eu d'excès</t>
  </si>
  <si>
    <t>Contravention</t>
  </si>
  <si>
    <t>Non</t>
  </si>
  <si>
    <t>Pas directement attribuable pour amener les cerisiers à l'endroit et dans l'état où ils se trouvent pour leur utilisaiton</t>
  </si>
  <si>
    <t>Clignotant</t>
  </si>
  <si>
    <t>Taillage des branches</t>
  </si>
  <si>
    <t>Frais de préparation directement attribuable pour amener les cerisiers à l'endroit et dans l'état où ils se trouvent pour leur utilisation</t>
  </si>
  <si>
    <t>Taillage des branches 1 an plus tard</t>
  </si>
  <si>
    <t>Engrais biologique</t>
  </si>
  <si>
    <t>Plaques</t>
  </si>
  <si>
    <t>Taillage des branches en mars 2018</t>
  </si>
  <si>
    <t>Les cerisers sont déjà à l'endroit et dans l'état où ils se trouvent pour leur utilisation, la production est dejà commencée</t>
  </si>
  <si>
    <t>Amortissement</t>
  </si>
  <si>
    <t xml:space="preserve">--&gt; Le plus élevé entre a et b </t>
  </si>
  <si>
    <t xml:space="preserve">a) </t>
  </si>
  <si>
    <t>Coût</t>
  </si>
  <si>
    <t>Valeur de récupération</t>
  </si>
  <si>
    <t>Si l'on peut encore vendre le bois des cerisiers pour 1$</t>
  </si>
  <si>
    <t>Durée de vie</t>
  </si>
  <si>
    <t>ans</t>
  </si>
  <si>
    <t>b)</t>
  </si>
  <si>
    <t>Valeur résiduelle</t>
  </si>
  <si>
    <t>Durée de vie utile</t>
  </si>
  <si>
    <t>Montant le plus élevé</t>
  </si>
  <si>
    <t>Charge d'amortissement annuelle</t>
  </si>
  <si>
    <t>1 an et 6 mois</t>
  </si>
  <si>
    <t>Cerisiers gelés</t>
  </si>
  <si>
    <t>Charge d'amortissement unitaire annuelle</t>
  </si>
  <si>
    <t>Coût unitaire</t>
  </si>
  <si>
    <t>Valeur comptable des cerisiers au moment du gel</t>
  </si>
  <si>
    <t>Différence unitaire</t>
  </si>
  <si>
    <t>Différence globale</t>
  </si>
  <si>
    <t>Charge d'amortissement pour 6 mois</t>
  </si>
  <si>
    <t>Charge d'amortissement globale</t>
  </si>
  <si>
    <t>Les éoliennes</t>
  </si>
  <si>
    <t>Traitement actuel</t>
  </si>
  <si>
    <t>Dépôt</t>
  </si>
  <si>
    <t>Solde</t>
  </si>
  <si>
    <t>Traitement adéquat</t>
  </si>
  <si>
    <t>Écart</t>
  </si>
  <si>
    <t>excluant le 2 ans période "construction"</t>
  </si>
  <si>
    <t>Charge d'amortissement depuis que les cerisiers sont prêts (mars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</si>
</sst>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Times New Roman"/>
      <family val="1"/>
    </font>
    <font>
      <u/>
      <sz val="18"/>
      <color theme="1"/>
      <name val="Calibri (Corps)"/>
    </font>
    <font>
      <i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164" fontId="0" fillId="0" borderId="0" xfId="1" applyFont="1"/>
    <xf numFmtId="0" fontId="6" fillId="0" borderId="0" xfId="0" applyFont="1"/>
    <xf numFmtId="0" fontId="2" fillId="0" borderId="0" xfId="0" applyFont="1"/>
    <xf numFmtId="164" fontId="0" fillId="0" borderId="1" xfId="1" applyFont="1" applyBorder="1"/>
    <xf numFmtId="164" fontId="0" fillId="0" borderId="0" xfId="0" applyNumberFormat="1"/>
    <xf numFmtId="164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right"/>
    </xf>
    <xf numFmtId="164" fontId="7" fillId="0" borderId="0" xfId="0" applyNumberFormat="1" applyFont="1"/>
    <xf numFmtId="164" fontId="0" fillId="0" borderId="1" xfId="0" applyNumberFormat="1" applyBorder="1"/>
    <xf numFmtId="164" fontId="7" fillId="0" borderId="0" xfId="1" applyFont="1"/>
    <xf numFmtId="0" fontId="8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71FE-43D2-F54B-821D-25059868546F}">
  <sheetPr>
    <pageSetUpPr fitToPage="1"/>
  </sheetPr>
  <dimension ref="B3:V66"/>
  <sheetViews>
    <sheetView tabSelected="1" workbookViewId="0">
      <selection activeCell="E6" sqref="E6"/>
    </sheetView>
  </sheetViews>
  <sheetFormatPr baseColWidth="10" defaultRowHeight="15.5"/>
  <cols>
    <col min="5" max="5" width="12.33203125" bestFit="1" customWidth="1"/>
    <col min="6" max="6" width="11.33203125" bestFit="1" customWidth="1"/>
    <col min="8" max="8" width="11.33203125" bestFit="1" customWidth="1"/>
    <col min="9" max="9" width="12.33203125" bestFit="1" customWidth="1"/>
  </cols>
  <sheetData>
    <row r="3" spans="2:22" ht="30.5">
      <c r="B3" s="1" t="s">
        <v>0</v>
      </c>
    </row>
    <row r="6" spans="2:22" ht="22.5">
      <c r="B6" s="2" t="s">
        <v>1</v>
      </c>
    </row>
    <row r="7" spans="2:22">
      <c r="B7" s="14" t="s">
        <v>2</v>
      </c>
    </row>
    <row r="9" spans="2:22">
      <c r="B9" t="s">
        <v>3</v>
      </c>
      <c r="F9" t="s">
        <v>4</v>
      </c>
      <c r="I9" s="3">
        <f>7.98*2000</f>
        <v>15960</v>
      </c>
    </row>
    <row r="10" spans="2:22">
      <c r="B10" t="s">
        <v>5</v>
      </c>
      <c r="F10" t="s">
        <v>4</v>
      </c>
      <c r="I10" s="3">
        <v>454</v>
      </c>
      <c r="K10" s="4" t="s">
        <v>6</v>
      </c>
    </row>
    <row r="11" spans="2:22">
      <c r="B11" t="s">
        <v>7</v>
      </c>
      <c r="F11" t="s">
        <v>4</v>
      </c>
      <c r="I11" s="3">
        <v>424</v>
      </c>
      <c r="K11" s="4" t="s">
        <v>6</v>
      </c>
      <c r="V11" s="5" t="s">
        <v>8</v>
      </c>
    </row>
    <row r="12" spans="2:22">
      <c r="B12" t="s">
        <v>9</v>
      </c>
      <c r="F12" t="s">
        <v>10</v>
      </c>
      <c r="I12" s="3">
        <v>0</v>
      </c>
      <c r="K12" s="4" t="s">
        <v>11</v>
      </c>
    </row>
    <row r="13" spans="2:22">
      <c r="B13" t="s">
        <v>12</v>
      </c>
      <c r="F13" t="s">
        <v>10</v>
      </c>
      <c r="I13" s="3">
        <v>0</v>
      </c>
      <c r="K13" s="4" t="s">
        <v>11</v>
      </c>
    </row>
    <row r="14" spans="2:22">
      <c r="B14" t="s">
        <v>13</v>
      </c>
      <c r="F14" t="s">
        <v>4</v>
      </c>
      <c r="I14" s="3">
        <v>9540</v>
      </c>
      <c r="K14" s="4" t="s">
        <v>14</v>
      </c>
    </row>
    <row r="15" spans="2:22">
      <c r="B15" t="s">
        <v>15</v>
      </c>
      <c r="F15" t="s">
        <v>4</v>
      </c>
      <c r="I15" s="3">
        <v>3200</v>
      </c>
      <c r="K15" s="4" t="s">
        <v>14</v>
      </c>
    </row>
    <row r="16" spans="2:22">
      <c r="B16" t="s">
        <v>16</v>
      </c>
      <c r="F16" t="s">
        <v>4</v>
      </c>
      <c r="I16" s="3">
        <v>800</v>
      </c>
      <c r="K16" s="4" t="s">
        <v>14</v>
      </c>
    </row>
    <row r="17" spans="2:11">
      <c r="B17" t="s">
        <v>17</v>
      </c>
      <c r="F17" t="s">
        <v>10</v>
      </c>
      <c r="I17" s="3">
        <v>0</v>
      </c>
      <c r="K17" s="4" t="s">
        <v>11</v>
      </c>
    </row>
    <row r="18" spans="2:11">
      <c r="B18" t="s">
        <v>18</v>
      </c>
      <c r="F18" t="s">
        <v>10</v>
      </c>
      <c r="I18" s="6">
        <v>0</v>
      </c>
      <c r="K18" s="4" t="s">
        <v>19</v>
      </c>
    </row>
    <row r="19" spans="2:11">
      <c r="I19" s="8">
        <f>I9+I10+I11+I12+I13+I14+I15+I16+I17+I18</f>
        <v>30378</v>
      </c>
    </row>
    <row r="20" spans="2:11">
      <c r="I20" s="7">
        <f>I19/2000</f>
        <v>15.189</v>
      </c>
      <c r="K20" t="s">
        <v>36</v>
      </c>
    </row>
    <row r="21" spans="2:11">
      <c r="K21" s="4"/>
    </row>
    <row r="23" spans="2:11">
      <c r="B23" s="14" t="s">
        <v>20</v>
      </c>
    </row>
    <row r="24" spans="2:11">
      <c r="B24" s="9" t="s">
        <v>21</v>
      </c>
    </row>
    <row r="25" spans="2:11">
      <c r="B25" s="9"/>
    </row>
    <row r="26" spans="2:11">
      <c r="B26" t="s">
        <v>22</v>
      </c>
      <c r="C26" t="s">
        <v>23</v>
      </c>
      <c r="E26" s="7">
        <f>I19</f>
        <v>30378</v>
      </c>
    </row>
    <row r="27" spans="2:11">
      <c r="C27" t="s">
        <v>24</v>
      </c>
      <c r="E27" s="6">
        <v>2000</v>
      </c>
      <c r="G27" s="4" t="s">
        <v>25</v>
      </c>
    </row>
    <row r="28" spans="2:11">
      <c r="E28" s="7">
        <f>E26-E27</f>
        <v>28378</v>
      </c>
    </row>
    <row r="29" spans="2:11">
      <c r="C29" t="s">
        <v>26</v>
      </c>
      <c r="E29" s="10">
        <v>20</v>
      </c>
      <c r="F29" t="s">
        <v>27</v>
      </c>
    </row>
    <row r="30" spans="2:11">
      <c r="E30" s="7">
        <f>E28/E29</f>
        <v>1418.9</v>
      </c>
    </row>
    <row r="33" spans="2:9">
      <c r="B33" t="s">
        <v>28</v>
      </c>
      <c r="C33" t="s">
        <v>23</v>
      </c>
      <c r="E33" s="7">
        <f>I19</f>
        <v>30378</v>
      </c>
    </row>
    <row r="34" spans="2:9">
      <c r="C34" t="s">
        <v>29</v>
      </c>
      <c r="E34" s="12">
        <f>E27</f>
        <v>2000</v>
      </c>
      <c r="G34" s="4" t="s">
        <v>25</v>
      </c>
    </row>
    <row r="35" spans="2:9">
      <c r="E35" s="7">
        <f>E33-E34</f>
        <v>28378</v>
      </c>
    </row>
    <row r="36" spans="2:9">
      <c r="C36" t="s">
        <v>30</v>
      </c>
      <c r="E36">
        <v>18</v>
      </c>
      <c r="F36" t="s">
        <v>27</v>
      </c>
      <c r="G36" s="5" t="s">
        <v>48</v>
      </c>
    </row>
    <row r="37" spans="2:9">
      <c r="E37" s="7">
        <f>E35/E36</f>
        <v>1576.5555555555557</v>
      </c>
      <c r="G37" t="s">
        <v>31</v>
      </c>
    </row>
    <row r="40" spans="2:9">
      <c r="B40" t="s">
        <v>32</v>
      </c>
      <c r="F40" s="7"/>
      <c r="H40" s="7">
        <f>E37</f>
        <v>1576.5555555555557</v>
      </c>
    </row>
    <row r="41" spans="2:9">
      <c r="B41" t="s">
        <v>35</v>
      </c>
      <c r="F41" s="7"/>
      <c r="H41" s="7">
        <f>H40/2000</f>
        <v>0.78827777777777785</v>
      </c>
    </row>
    <row r="42" spans="2:9">
      <c r="B42" t="s">
        <v>49</v>
      </c>
      <c r="H42" s="8">
        <f>((H40)+(H40/12)*6)</f>
        <v>2364.8333333333335</v>
      </c>
      <c r="I42" s="4" t="s">
        <v>33</v>
      </c>
    </row>
    <row r="45" spans="2:9">
      <c r="B45" s="14" t="s">
        <v>34</v>
      </c>
    </row>
    <row r="46" spans="2:9">
      <c r="B46" t="s">
        <v>37</v>
      </c>
      <c r="H46" s="7">
        <f>I20-H41</f>
        <v>14.400722222222223</v>
      </c>
    </row>
    <row r="47" spans="2:9" ht="18.5">
      <c r="B47" t="s">
        <v>29</v>
      </c>
      <c r="H47" s="13">
        <v>1</v>
      </c>
    </row>
    <row r="48" spans="2:9">
      <c r="B48" t="s">
        <v>38</v>
      </c>
      <c r="H48" s="7">
        <f>H46-H47</f>
        <v>13.400722222222223</v>
      </c>
    </row>
    <row r="49" spans="2:9">
      <c r="B49" t="s">
        <v>39</v>
      </c>
      <c r="H49" s="8">
        <f>H48*100</f>
        <v>1340.0722222222223</v>
      </c>
    </row>
    <row r="51" spans="2:9">
      <c r="B51" t="s">
        <v>40</v>
      </c>
      <c r="H51" s="7">
        <f>(H41/12)*6</f>
        <v>0.39413888888888893</v>
      </c>
    </row>
    <row r="52" spans="2:9">
      <c r="B52" t="s">
        <v>41</v>
      </c>
      <c r="H52" s="8">
        <f>H51*100</f>
        <v>39.413888888888891</v>
      </c>
    </row>
    <row r="55" spans="2:9">
      <c r="B55" s="14" t="s">
        <v>42</v>
      </c>
    </row>
    <row r="56" spans="2:9">
      <c r="B56" t="s">
        <v>43</v>
      </c>
    </row>
    <row r="57" spans="2:9">
      <c r="C57" t="s">
        <v>44</v>
      </c>
      <c r="E57" s="3">
        <v>10000</v>
      </c>
      <c r="G57">
        <v>1.32</v>
      </c>
      <c r="I57" s="7">
        <f>E57*G57</f>
        <v>13200</v>
      </c>
    </row>
    <row r="58" spans="2:9" ht="18.5">
      <c r="C58" t="s">
        <v>45</v>
      </c>
      <c r="E58" s="3">
        <v>15000</v>
      </c>
      <c r="G58">
        <v>1.27</v>
      </c>
      <c r="I58" s="11">
        <f>E58*G58</f>
        <v>19050</v>
      </c>
    </row>
    <row r="59" spans="2:9">
      <c r="I59" s="7">
        <f>I57+I58</f>
        <v>32250</v>
      </c>
    </row>
    <row r="61" spans="2:9">
      <c r="B61" t="s">
        <v>46</v>
      </c>
    </row>
    <row r="62" spans="2:9">
      <c r="C62" t="s">
        <v>44</v>
      </c>
      <c r="E62" s="3">
        <v>10000</v>
      </c>
      <c r="G62">
        <v>1.27</v>
      </c>
      <c r="I62" s="7">
        <f>E62*G62</f>
        <v>12700</v>
      </c>
    </row>
    <row r="63" spans="2:9" ht="18.5">
      <c r="C63" t="s">
        <v>45</v>
      </c>
      <c r="E63" s="3">
        <v>15000</v>
      </c>
      <c r="G63">
        <v>1.27</v>
      </c>
      <c r="I63" s="11">
        <f>E63*G63</f>
        <v>19050</v>
      </c>
    </row>
    <row r="64" spans="2:9">
      <c r="I64" s="7">
        <f>I62+I63</f>
        <v>31750</v>
      </c>
    </row>
    <row r="66" spans="2:9">
      <c r="B66" t="s">
        <v>47</v>
      </c>
      <c r="I66" s="8">
        <f>I59-I64</f>
        <v>500</v>
      </c>
    </row>
  </sheetData>
  <pageMargins left="0.7" right="0.7" top="0.75" bottom="0.75" header="0.3" footer="0.3"/>
  <pageSetup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Fradet</dc:creator>
  <cp:lastModifiedBy>Louise Overbeek</cp:lastModifiedBy>
  <cp:lastPrinted>2025-01-27T15:52:08Z</cp:lastPrinted>
  <dcterms:created xsi:type="dcterms:W3CDTF">2020-09-27T18:34:20Z</dcterms:created>
  <dcterms:modified xsi:type="dcterms:W3CDTF">2025-01-27T15:52:15Z</dcterms:modified>
</cp:coreProperties>
</file>