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85310481\Documents\cours UQAM\SCO6240\Séance 6\"/>
    </mc:Choice>
  </mc:AlternateContent>
  <xr:revisionPtr revIDLastSave="0" documentId="13_ncr:1_{41109017-E661-4620-A11D-AD86FF18EA0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Base" sheetId="1" r:id="rId1"/>
    <sheet name="Val rés gar" sheetId="2" r:id="rId2"/>
    <sheet name="Val rés non gar" sheetId="3" r:id="rId3"/>
    <sheet name="option ach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G60" i="4"/>
  <c r="F28" i="4"/>
  <c r="F38" i="4" s="1"/>
  <c r="F49" i="4" s="1"/>
  <c r="F56" i="4" s="1"/>
  <c r="G57" i="4" s="1"/>
  <c r="D39" i="4"/>
  <c r="D50" i="4" s="1"/>
  <c r="D57" i="4" s="1"/>
  <c r="C38" i="4"/>
  <c r="C49" i="4" s="1"/>
  <c r="C56" i="4" s="1"/>
  <c r="D54" i="4"/>
  <c r="M6" i="4"/>
  <c r="M7" i="4" s="1"/>
  <c r="G20" i="4"/>
  <c r="F19" i="4" s="1"/>
  <c r="K12" i="4"/>
  <c r="G47" i="4" s="1"/>
  <c r="K7" i="4"/>
  <c r="K9" i="4" s="1"/>
  <c r="L5" i="4"/>
  <c r="C22" i="4"/>
  <c r="C32" i="4" s="1"/>
  <c r="C42" i="4" s="1"/>
  <c r="C46" i="4" s="1"/>
  <c r="C35" i="4"/>
  <c r="C45" i="4" s="1"/>
  <c r="D33" i="4"/>
  <c r="D43" i="4"/>
  <c r="C31" i="4"/>
  <c r="C41" i="4"/>
  <c r="D36" i="4"/>
  <c r="G23" i="4"/>
  <c r="F22" i="4" s="1"/>
  <c r="G20" i="3"/>
  <c r="F19" i="3" s="1"/>
  <c r="D39" i="3"/>
  <c r="D46" i="3" s="1"/>
  <c r="C38" i="3"/>
  <c r="C45" i="3"/>
  <c r="K7" i="3"/>
  <c r="K9" i="3" s="1"/>
  <c r="D33" i="3"/>
  <c r="D43" i="3" s="1"/>
  <c r="M7" i="3"/>
  <c r="L8" i="3" s="1"/>
  <c r="G26" i="3" s="1"/>
  <c r="L5" i="3"/>
  <c r="C22" i="3"/>
  <c r="C32" i="3" s="1"/>
  <c r="C42" i="3" s="1"/>
  <c r="C31" i="3"/>
  <c r="C41" i="3" s="1"/>
  <c r="D36" i="3"/>
  <c r="C35" i="3"/>
  <c r="G23" i="3"/>
  <c r="F22" i="3" s="1"/>
  <c r="F52" i="2"/>
  <c r="G53" i="2" s="1"/>
  <c r="F28" i="2"/>
  <c r="F38" i="2" s="1"/>
  <c r="F49" i="2" s="1"/>
  <c r="D39" i="2"/>
  <c r="D50" i="2"/>
  <c r="C38" i="2"/>
  <c r="C49" i="2" s="1"/>
  <c r="K12" i="2"/>
  <c r="G47" i="2" s="1"/>
  <c r="D47" i="2"/>
  <c r="M6" i="2"/>
  <c r="M7" i="2" s="1"/>
  <c r="K7" i="2"/>
  <c r="K9" i="2" s="1"/>
  <c r="L5" i="2"/>
  <c r="C22" i="2"/>
  <c r="C32" i="2"/>
  <c r="C42" i="2" s="1"/>
  <c r="C46" i="2" s="1"/>
  <c r="C35" i="2"/>
  <c r="C45" i="2" s="1"/>
  <c r="D33" i="2"/>
  <c r="D43" i="2"/>
  <c r="C31" i="2"/>
  <c r="C41" i="2" s="1"/>
  <c r="D36" i="2"/>
  <c r="G23" i="2"/>
  <c r="F22" i="2"/>
  <c r="G58" i="1"/>
  <c r="F27" i="1"/>
  <c r="G28" i="1"/>
  <c r="G38" i="1" s="1"/>
  <c r="G48" i="1" s="1"/>
  <c r="G55" i="1" s="1"/>
  <c r="D38" i="1"/>
  <c r="D48" i="1"/>
  <c r="D55" i="1" s="1"/>
  <c r="F37" i="1"/>
  <c r="F47" i="1"/>
  <c r="F54" i="1" s="1"/>
  <c r="C37" i="1"/>
  <c r="C47" i="1" s="1"/>
  <c r="C54" i="1" s="1"/>
  <c r="J7" i="1"/>
  <c r="J9" i="1" s="1"/>
  <c r="D32" i="1"/>
  <c r="D42" i="1" s="1"/>
  <c r="D52" i="1" s="1"/>
  <c r="L6" i="1"/>
  <c r="L7" i="1" s="1"/>
  <c r="K5" i="1"/>
  <c r="C21" i="1"/>
  <c r="C31" i="1" s="1"/>
  <c r="C41" i="1" s="1"/>
  <c r="C51" i="1" s="1"/>
  <c r="C30" i="1"/>
  <c r="C40" i="1"/>
  <c r="C50" i="1"/>
  <c r="D35" i="1"/>
  <c r="D45" i="1"/>
  <c r="C34" i="1"/>
  <c r="C44" i="1"/>
  <c r="F31" i="3" l="1"/>
  <c r="F25" i="3"/>
  <c r="G33" i="4"/>
  <c r="K11" i="4"/>
  <c r="G43" i="4" s="1"/>
  <c r="L8" i="2"/>
  <c r="G26" i="2" s="1"/>
  <c r="M8" i="2"/>
  <c r="M9" i="2" s="1"/>
  <c r="F52" i="4"/>
  <c r="K11" i="3"/>
  <c r="G43" i="3" s="1"/>
  <c r="G33" i="3"/>
  <c r="F32" i="3" s="1"/>
  <c r="L8" i="4"/>
  <c r="G26" i="4" s="1"/>
  <c r="G33" i="2"/>
  <c r="K11" i="2"/>
  <c r="G43" i="2" s="1"/>
  <c r="K8" i="1"/>
  <c r="G25" i="1" s="1"/>
  <c r="L8" i="1"/>
  <c r="L9" i="1" s="1"/>
  <c r="J11" i="1"/>
  <c r="G32" i="1"/>
  <c r="G49" i="3"/>
  <c r="F28" i="3"/>
  <c r="G29" i="4"/>
  <c r="G39" i="4" s="1"/>
  <c r="G50" i="4" s="1"/>
  <c r="G20" i="2"/>
  <c r="F19" i="2" s="1"/>
  <c r="G29" i="2"/>
  <c r="G39" i="2" s="1"/>
  <c r="G50" i="2" s="1"/>
  <c r="G19" i="1"/>
  <c r="F18" i="1" s="1"/>
  <c r="G22" i="1"/>
  <c r="F21" i="1" s="1"/>
  <c r="M8" i="3"/>
  <c r="M9" i="3" s="1"/>
  <c r="L10" i="2" l="1"/>
  <c r="G36" i="2" s="1"/>
  <c r="G29" i="3"/>
  <c r="G39" i="3" s="1"/>
  <c r="G46" i="3" s="1"/>
  <c r="F38" i="3"/>
  <c r="F45" i="3" s="1"/>
  <c r="F48" i="3" s="1"/>
  <c r="F24" i="1"/>
  <c r="F30" i="1"/>
  <c r="F31" i="1" s="1"/>
  <c r="F31" i="2"/>
  <c r="F25" i="2"/>
  <c r="F32" i="2"/>
  <c r="K10" i="1"/>
  <c r="G35" i="1" s="1"/>
  <c r="L10" i="1"/>
  <c r="L11" i="1" s="1"/>
  <c r="F32" i="4"/>
  <c r="L10" i="3"/>
  <c r="G36" i="3" s="1"/>
  <c r="F31" i="4"/>
  <c r="F25" i="4"/>
  <c r="G42" i="1"/>
  <c r="J13" i="1"/>
  <c r="G52" i="1" s="1"/>
  <c r="M8" i="4"/>
  <c r="M9" i="4" s="1"/>
  <c r="F41" i="3" l="1"/>
  <c r="F42" i="3" s="1"/>
  <c r="F35" i="3"/>
  <c r="L10" i="4"/>
  <c r="G36" i="4" s="1"/>
  <c r="M10" i="4"/>
  <c r="M11" i="4" s="1"/>
  <c r="F40" i="1"/>
  <c r="F41" i="1" s="1"/>
  <c r="F34" i="1"/>
  <c r="F41" i="2"/>
  <c r="F42" i="2" s="1"/>
  <c r="F35" i="2"/>
  <c r="K12" i="1"/>
  <c r="G45" i="1" s="1"/>
  <c r="L12" i="1"/>
  <c r="L13" i="1" s="1"/>
  <c r="M10" i="2"/>
  <c r="M11" i="2" s="1"/>
  <c r="M10" i="3"/>
  <c r="M11" i="3" s="1"/>
  <c r="L12" i="4" l="1"/>
  <c r="F45" i="4" s="1"/>
  <c r="F46" i="4" s="1"/>
  <c r="M12" i="2"/>
  <c r="L12" i="2"/>
  <c r="F45" i="2" s="1"/>
  <c r="F46" i="2" s="1"/>
  <c r="F35" i="4"/>
  <c r="F41" i="4"/>
  <c r="F42" i="4" s="1"/>
  <c r="F50" i="1"/>
  <c r="F51" i="1" s="1"/>
  <c r="F44" i="1"/>
  <c r="M12" i="4" l="1"/>
</calcChain>
</file>

<file path=xl/sharedStrings.xml><?xml version="1.0" encoding="utf-8"?>
<sst xmlns="http://schemas.openxmlformats.org/spreadsheetml/2006/main" count="143" uniqueCount="34">
  <si>
    <t>Contrats de location</t>
  </si>
  <si>
    <t>Base</t>
  </si>
  <si>
    <t>Juste valeur de l'actif</t>
  </si>
  <si>
    <t>Amortissement linéaire</t>
  </si>
  <si>
    <t>Durée de vie utile</t>
  </si>
  <si>
    <t>ans</t>
  </si>
  <si>
    <t xml:space="preserve">Valeur résiduelle </t>
  </si>
  <si>
    <t>Contrat de location</t>
  </si>
  <si>
    <t>Durée</t>
  </si>
  <si>
    <t>Taux exigé par le bailleur</t>
  </si>
  <si>
    <t>Paiements annuels début de période</t>
  </si>
  <si>
    <t>doit être capable de calculer</t>
  </si>
  <si>
    <t>Comptabilisation pour le preneur</t>
  </si>
  <si>
    <t>1er janv. X1</t>
  </si>
  <si>
    <t>Équipement loué</t>
  </si>
  <si>
    <t>Dette locative</t>
  </si>
  <si>
    <t>Encaisse</t>
  </si>
  <si>
    <t>31 déc. X1</t>
  </si>
  <si>
    <t>Charge d'intérêts</t>
  </si>
  <si>
    <t>Intérêts à payer</t>
  </si>
  <si>
    <t>Amortissement</t>
  </si>
  <si>
    <t>Amortissement cumulé</t>
  </si>
  <si>
    <t>1er janv. X2</t>
  </si>
  <si>
    <t>31 déc. X2</t>
  </si>
  <si>
    <t>1er janv. X3</t>
  </si>
  <si>
    <t>31 déc. X3</t>
  </si>
  <si>
    <t>1er janv. X4</t>
  </si>
  <si>
    <t>31 déc. X4</t>
  </si>
  <si>
    <t>Valeur résiduelle garantie</t>
  </si>
  <si>
    <t>Valeur résiduelle non garantie</t>
  </si>
  <si>
    <t>Valeur résiduelle NON garantie</t>
  </si>
  <si>
    <t>Option d'achat</t>
  </si>
  <si>
    <t>prix de faveur</t>
  </si>
  <si>
    <t>Équipement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</si>
</sst>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"/>
  </numFmts>
  <fonts count="5" x14ac:knownFonts="1">
    <font>
      <sz val="12"/>
      <color indexed="8"/>
      <name val="Verdana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1" fillId="0" borderId="0" xfId="0" applyNumberFormat="1" applyFont="1" applyAlignment="1"/>
    <xf numFmtId="0" fontId="2" fillId="0" borderId="1" xfId="0" applyNumberFormat="1" applyFont="1" applyBorder="1" applyAlignment="1"/>
    <xf numFmtId="0" fontId="1" fillId="0" borderId="1" xfId="0" applyFont="1" applyBorder="1" applyAlignment="1"/>
    <xf numFmtId="0" fontId="3" fillId="0" borderId="1" xfId="0" applyNumberFormat="1" applyFont="1" applyBorder="1" applyAlignment="1"/>
    <xf numFmtId="0" fontId="1" fillId="0" borderId="1" xfId="0" applyNumberFormat="1" applyFont="1" applyBorder="1" applyAlignment="1"/>
    <xf numFmtId="38" fontId="1" fillId="0" borderId="1" xfId="0" applyNumberFormat="1" applyFont="1" applyBorder="1" applyAlignment="1"/>
    <xf numFmtId="9" fontId="1" fillId="0" borderId="1" xfId="0" applyNumberFormat="1" applyFont="1" applyBorder="1" applyAlignment="1"/>
    <xf numFmtId="164" fontId="1" fillId="0" borderId="1" xfId="0" applyNumberFormat="1" applyFont="1" applyBorder="1" applyAlignment="1"/>
    <xf numFmtId="0" fontId="1" fillId="0" borderId="0" xfId="0" applyNumberFormat="1" applyFont="1" applyAlignment="1"/>
    <xf numFmtId="0" fontId="4" fillId="0" borderId="1" xfId="0" applyNumberFormat="1" applyFont="1" applyBorder="1" applyAlignment="1"/>
    <xf numFmtId="0" fontId="1" fillId="0" borderId="0" xfId="0" applyNumberFormat="1" applyFont="1" applyAlignment="1"/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68"/>
  <sheetViews>
    <sheetView showGridLines="0" tabSelected="1" workbookViewId="0">
      <selection activeCell="A2" sqref="A2"/>
    </sheetView>
  </sheetViews>
  <sheetFormatPr baseColWidth="10" defaultColWidth="6.59765625" defaultRowHeight="15" customHeight="1" x14ac:dyDescent="0.35"/>
  <cols>
    <col min="1" max="1" width="8.59765625" style="1" customWidth="1"/>
    <col min="2" max="8" width="6.59765625" style="1" customWidth="1"/>
    <col min="9" max="9" width="7.19921875" style="1" customWidth="1"/>
    <col min="10" max="256" width="6.59765625" style="1" customWidth="1"/>
  </cols>
  <sheetData>
    <row r="1" spans="1:13" ht="18.75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7.149999999999999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7.149999999999999" customHeight="1" x14ac:dyDescent="0.35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7.149999999999999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7.149999999999999" customHeight="1" x14ac:dyDescent="0.35">
      <c r="A5" s="5" t="s">
        <v>2</v>
      </c>
      <c r="B5" s="3"/>
      <c r="C5" s="3"/>
      <c r="D5" s="6">
        <v>100000</v>
      </c>
      <c r="E5" s="5" t="s">
        <v>3</v>
      </c>
      <c r="F5" s="3"/>
      <c r="G5" s="3"/>
      <c r="H5" s="3"/>
      <c r="I5" s="3"/>
      <c r="J5" s="3"/>
      <c r="K5" s="7">
        <f>D11</f>
        <v>0.12</v>
      </c>
      <c r="L5" s="3"/>
      <c r="M5" s="3"/>
    </row>
    <row r="6" spans="1:13" ht="17.149999999999999" customHeight="1" x14ac:dyDescent="0.35">
      <c r="A6" s="5" t="s">
        <v>4</v>
      </c>
      <c r="B6" s="3"/>
      <c r="C6" s="3"/>
      <c r="D6" s="5">
        <v>4</v>
      </c>
      <c r="E6" s="5" t="s">
        <v>5</v>
      </c>
      <c r="F6" s="3"/>
      <c r="G6" s="3"/>
      <c r="H6" s="3"/>
      <c r="I6" s="3"/>
      <c r="J6" s="6"/>
      <c r="K6" s="6"/>
      <c r="L6" s="6">
        <f>D5</f>
        <v>100000</v>
      </c>
      <c r="M6" s="6"/>
    </row>
    <row r="7" spans="1:13" ht="17.149999999999999" customHeight="1" x14ac:dyDescent="0.35">
      <c r="A7" s="5" t="s">
        <v>6</v>
      </c>
      <c r="B7" s="3"/>
      <c r="C7" s="3"/>
      <c r="D7" s="5">
        <v>0</v>
      </c>
      <c r="E7" s="3"/>
      <c r="F7" s="3"/>
      <c r="G7" s="3"/>
      <c r="H7" s="3"/>
      <c r="I7" s="8" t="str">
        <f>+A18</f>
        <v>1er janv. X1</v>
      </c>
      <c r="J7" s="6">
        <f>F$13</f>
        <v>29396</v>
      </c>
      <c r="K7" s="6"/>
      <c r="L7" s="6">
        <f t="shared" ref="L7:L13" si="0">L6-J7+K7</f>
        <v>70604</v>
      </c>
      <c r="M7" s="6"/>
    </row>
    <row r="8" spans="1:13" ht="17.149999999999999" customHeight="1" x14ac:dyDescent="0.35">
      <c r="A8" s="3"/>
      <c r="B8" s="3"/>
      <c r="C8" s="3"/>
      <c r="D8" s="3"/>
      <c r="E8" s="3"/>
      <c r="F8" s="3"/>
      <c r="G8" s="3"/>
      <c r="H8" s="3"/>
      <c r="I8" s="8" t="str">
        <f>+A24</f>
        <v>31 déc. X1</v>
      </c>
      <c r="J8" s="6"/>
      <c r="K8" s="6">
        <f>L7*K$5</f>
        <v>8472.48</v>
      </c>
      <c r="L8" s="6">
        <f t="shared" si="0"/>
        <v>79076.479999999996</v>
      </c>
      <c r="M8" s="6"/>
    </row>
    <row r="9" spans="1:13" ht="17.149999999999999" customHeight="1" x14ac:dyDescent="0.35">
      <c r="A9" s="4" t="s">
        <v>7</v>
      </c>
      <c r="B9" s="3"/>
      <c r="C9" s="3"/>
      <c r="D9" s="3"/>
      <c r="E9" s="3"/>
      <c r="F9" s="3"/>
      <c r="G9" s="3"/>
      <c r="H9" s="3"/>
      <c r="I9" s="8" t="str">
        <f>+A30</f>
        <v>1er janv. X2</v>
      </c>
      <c r="J9" s="6">
        <f>J7</f>
        <v>29396</v>
      </c>
      <c r="K9" s="6"/>
      <c r="L9" s="6">
        <f t="shared" si="0"/>
        <v>49680.479999999996</v>
      </c>
      <c r="M9" s="6"/>
    </row>
    <row r="10" spans="1:13" ht="17.149999999999999" customHeight="1" x14ac:dyDescent="0.35">
      <c r="A10" s="5" t="s">
        <v>8</v>
      </c>
      <c r="B10" s="3"/>
      <c r="C10" s="3"/>
      <c r="D10" s="5">
        <v>4</v>
      </c>
      <c r="E10" s="5" t="s">
        <v>5</v>
      </c>
      <c r="F10" s="3"/>
      <c r="G10" s="3"/>
      <c r="H10" s="3"/>
      <c r="I10" s="8" t="str">
        <f>+A34</f>
        <v>31 déc. X2</v>
      </c>
      <c r="J10" s="6"/>
      <c r="K10" s="6">
        <f>L9*K$5</f>
        <v>5961.6575999999995</v>
      </c>
      <c r="L10" s="6">
        <f t="shared" si="0"/>
        <v>55642.137599999995</v>
      </c>
      <c r="M10" s="6"/>
    </row>
    <row r="11" spans="1:13" ht="17.149999999999999" customHeight="1" x14ac:dyDescent="0.35">
      <c r="A11" s="5" t="s">
        <v>9</v>
      </c>
      <c r="B11" s="3"/>
      <c r="C11" s="3"/>
      <c r="D11" s="7">
        <v>0.12</v>
      </c>
      <c r="E11" s="3"/>
      <c r="F11" s="3"/>
      <c r="G11" s="3"/>
      <c r="H11" s="3"/>
      <c r="I11" s="8" t="str">
        <f>+A40</f>
        <v>1er janv. X3</v>
      </c>
      <c r="J11" s="6">
        <f>J9</f>
        <v>29396</v>
      </c>
      <c r="K11" s="6"/>
      <c r="L11" s="6">
        <f t="shared" si="0"/>
        <v>26246.137599999995</v>
      </c>
      <c r="M11" s="6"/>
    </row>
    <row r="12" spans="1:13" ht="17.149999999999999" customHeight="1" x14ac:dyDescent="0.35">
      <c r="A12" s="5" t="s">
        <v>10</v>
      </c>
      <c r="B12" s="3"/>
      <c r="C12" s="3"/>
      <c r="D12" s="3"/>
      <c r="E12" s="3"/>
      <c r="F12" s="3"/>
      <c r="G12" s="3"/>
      <c r="H12" s="3"/>
      <c r="I12" s="8" t="str">
        <f>+A50</f>
        <v>1er janv. X4</v>
      </c>
      <c r="J12" s="6"/>
      <c r="K12" s="6">
        <f>L11*K$5</f>
        <v>3149.5365119999992</v>
      </c>
      <c r="L12" s="6">
        <f t="shared" si="0"/>
        <v>29395.674111999993</v>
      </c>
      <c r="M12" s="6"/>
    </row>
    <row r="13" spans="1:13" ht="17.149999999999999" customHeight="1" x14ac:dyDescent="0.35">
      <c r="A13" s="3"/>
      <c r="B13" s="5" t="s">
        <v>11</v>
      </c>
      <c r="C13" s="3"/>
      <c r="D13" s="3"/>
      <c r="E13" s="3"/>
      <c r="F13" s="6">
        <v>29396</v>
      </c>
      <c r="G13" s="3"/>
      <c r="H13" s="3"/>
      <c r="I13" s="8" t="str">
        <f>+A54</f>
        <v>31 déc. X4</v>
      </c>
      <c r="J13" s="6">
        <f>J11</f>
        <v>29396</v>
      </c>
      <c r="K13" s="6"/>
      <c r="L13" s="6">
        <f t="shared" si="0"/>
        <v>-0.32588800000667106</v>
      </c>
      <c r="M13" s="6"/>
    </row>
    <row r="14" spans="1:13" ht="17.149999999999999" customHeight="1" x14ac:dyDescent="0.35">
      <c r="A14" s="3"/>
      <c r="B14" s="3"/>
      <c r="C14" s="3"/>
      <c r="D14" s="3"/>
      <c r="E14" s="3"/>
      <c r="F14" s="3"/>
      <c r="G14" s="3"/>
      <c r="H14" s="3"/>
      <c r="I14" s="8"/>
      <c r="J14" s="6"/>
      <c r="K14" s="6"/>
      <c r="L14" s="6"/>
      <c r="M14" s="6"/>
    </row>
    <row r="15" spans="1:13" ht="17.149999999999999" customHeight="1" x14ac:dyDescent="0.35">
      <c r="A15" s="4" t="s">
        <v>12</v>
      </c>
      <c r="B15" s="3"/>
      <c r="C15" s="3"/>
      <c r="D15" s="3"/>
      <c r="E15" s="3"/>
      <c r="F15" s="3"/>
      <c r="G15" s="3"/>
      <c r="H15" s="3"/>
      <c r="I15" s="8"/>
      <c r="J15" s="6"/>
      <c r="K15" s="6"/>
      <c r="L15" s="6"/>
      <c r="M15" s="6"/>
    </row>
    <row r="16" spans="1:13" ht="17.149999999999999" customHeight="1" x14ac:dyDescent="0.35">
      <c r="A16" s="3"/>
      <c r="B16" s="3"/>
      <c r="C16" s="3"/>
      <c r="D16" s="3"/>
      <c r="E16" s="3"/>
      <c r="F16" s="3"/>
      <c r="G16" s="3"/>
      <c r="H16" s="3"/>
      <c r="I16" s="8"/>
      <c r="J16" s="3"/>
      <c r="K16" s="3"/>
      <c r="L16" s="6"/>
      <c r="M16" s="3"/>
    </row>
    <row r="17" spans="1:13" ht="17.149999999999999" customHeight="1" x14ac:dyDescent="0.35">
      <c r="A17" s="3"/>
      <c r="B17" s="3"/>
      <c r="C17" s="3"/>
      <c r="D17" s="3"/>
      <c r="E17" s="3"/>
      <c r="F17" s="3"/>
      <c r="G17" s="3"/>
      <c r="H17" s="3"/>
      <c r="I17" s="8"/>
      <c r="J17" s="3"/>
      <c r="K17" s="3"/>
      <c r="L17" s="6"/>
      <c r="M17" s="3"/>
    </row>
    <row r="18" spans="1:13" ht="17.149999999999999" customHeight="1" x14ac:dyDescent="0.35">
      <c r="A18" s="5" t="s">
        <v>13</v>
      </c>
      <c r="B18" s="3"/>
      <c r="C18" s="5" t="s">
        <v>14</v>
      </c>
      <c r="D18" s="3"/>
      <c r="E18" s="3"/>
      <c r="F18" s="6">
        <f>G19</f>
        <v>100000</v>
      </c>
      <c r="G18" s="3"/>
      <c r="H18" s="3"/>
      <c r="I18" s="3"/>
      <c r="J18" s="3"/>
      <c r="K18" s="3"/>
      <c r="L18" s="6"/>
      <c r="M18" s="3"/>
    </row>
    <row r="19" spans="1:13" ht="17.149999999999999" customHeight="1" x14ac:dyDescent="0.35">
      <c r="A19" s="3"/>
      <c r="B19" s="3"/>
      <c r="C19" s="3"/>
      <c r="D19" s="5" t="s">
        <v>15</v>
      </c>
      <c r="E19" s="3"/>
      <c r="F19" s="3"/>
      <c r="G19" s="6">
        <f>L6</f>
        <v>100000</v>
      </c>
      <c r="H19" s="3"/>
      <c r="I19" s="3"/>
      <c r="J19" s="3"/>
      <c r="K19" s="3"/>
      <c r="L19" s="3"/>
      <c r="M19" s="3"/>
    </row>
    <row r="20" spans="1:13" ht="17.149999999999999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7.149999999999999" customHeight="1" x14ac:dyDescent="0.35">
      <c r="A21" s="3"/>
      <c r="B21" s="3"/>
      <c r="C21" s="5" t="str">
        <f>D19</f>
        <v>Dette locative</v>
      </c>
      <c r="D21" s="3"/>
      <c r="E21" s="3"/>
      <c r="F21" s="6">
        <f>G22</f>
        <v>29396</v>
      </c>
      <c r="G21" s="3"/>
      <c r="H21" s="3"/>
      <c r="I21" s="3"/>
      <c r="J21" s="3"/>
      <c r="K21" s="3"/>
      <c r="L21" s="3"/>
      <c r="M21" s="3"/>
    </row>
    <row r="22" spans="1:13" ht="17.149999999999999" customHeight="1" x14ac:dyDescent="0.35">
      <c r="A22" s="3"/>
      <c r="B22" s="3"/>
      <c r="C22" s="3"/>
      <c r="D22" s="5" t="s">
        <v>16</v>
      </c>
      <c r="E22" s="3"/>
      <c r="F22" s="3"/>
      <c r="G22" s="6">
        <f>J7</f>
        <v>29396</v>
      </c>
      <c r="H22" s="3"/>
      <c r="I22" s="3"/>
      <c r="J22" s="3"/>
      <c r="K22" s="3"/>
      <c r="L22" s="3"/>
      <c r="M22" s="3"/>
    </row>
    <row r="23" spans="1:13" ht="17.149999999999999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7.149999999999999" customHeight="1" x14ac:dyDescent="0.35">
      <c r="A24" s="5" t="s">
        <v>17</v>
      </c>
      <c r="B24" s="3"/>
      <c r="C24" s="5" t="s">
        <v>18</v>
      </c>
      <c r="D24" s="3"/>
      <c r="E24" s="3"/>
      <c r="F24" s="6">
        <f>G25</f>
        <v>8472.48</v>
      </c>
      <c r="G24" s="3"/>
      <c r="H24" s="3"/>
      <c r="I24" s="3"/>
      <c r="J24" s="3"/>
      <c r="K24" s="3"/>
      <c r="L24" s="3"/>
      <c r="M24" s="3"/>
    </row>
    <row r="25" spans="1:13" ht="17.149999999999999" customHeight="1" x14ac:dyDescent="0.35">
      <c r="A25" s="3"/>
      <c r="B25" s="3"/>
      <c r="C25" s="3"/>
      <c r="D25" s="5" t="s">
        <v>19</v>
      </c>
      <c r="E25" s="3"/>
      <c r="F25" s="3"/>
      <c r="G25" s="6">
        <f>K8</f>
        <v>8472.48</v>
      </c>
      <c r="H25" s="3"/>
      <c r="I25" s="3"/>
      <c r="J25" s="3"/>
      <c r="K25" s="3"/>
      <c r="L25" s="3"/>
      <c r="M25" s="3"/>
    </row>
    <row r="26" spans="1:13" ht="17.149999999999999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7.149999999999999" customHeight="1" x14ac:dyDescent="0.35">
      <c r="A27" s="3"/>
      <c r="B27" s="3"/>
      <c r="C27" s="5" t="s">
        <v>20</v>
      </c>
      <c r="D27" s="3"/>
      <c r="E27" s="3"/>
      <c r="F27" s="6">
        <f>(D5-D7)/D10</f>
        <v>25000</v>
      </c>
      <c r="G27" s="6"/>
      <c r="H27" s="3"/>
      <c r="I27" s="3"/>
      <c r="J27" s="3"/>
      <c r="K27" s="3"/>
      <c r="L27" s="3"/>
      <c r="M27" s="3"/>
    </row>
    <row r="28" spans="1:13" ht="17.149999999999999" customHeight="1" x14ac:dyDescent="0.35">
      <c r="A28" s="3"/>
      <c r="B28" s="3"/>
      <c r="C28" s="3"/>
      <c r="D28" s="5" t="s">
        <v>21</v>
      </c>
      <c r="E28" s="3"/>
      <c r="F28" s="6"/>
      <c r="G28" s="6">
        <f>F27</f>
        <v>25000</v>
      </c>
      <c r="H28" s="3"/>
      <c r="I28" s="3"/>
      <c r="J28" s="3"/>
      <c r="K28" s="3"/>
      <c r="L28" s="3"/>
      <c r="M28" s="3"/>
    </row>
    <row r="29" spans="1:13" ht="17.149999999999999" customHeight="1" x14ac:dyDescent="0.35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  <c r="L29" s="3"/>
      <c r="M29" s="3"/>
    </row>
    <row r="30" spans="1:13" ht="17.149999999999999" customHeight="1" x14ac:dyDescent="0.35">
      <c r="A30" s="5" t="s">
        <v>22</v>
      </c>
      <c r="B30" s="3"/>
      <c r="C30" s="5" t="str">
        <f>D25</f>
        <v>Intérêts à payer</v>
      </c>
      <c r="D30" s="3"/>
      <c r="E30" s="3"/>
      <c r="F30" s="6">
        <f>G25</f>
        <v>8472.48</v>
      </c>
      <c r="G30" s="6"/>
      <c r="H30" s="3"/>
      <c r="I30" s="3"/>
      <c r="J30" s="3"/>
      <c r="K30" s="3"/>
      <c r="L30" s="3"/>
      <c r="M30" s="3"/>
    </row>
    <row r="31" spans="1:13" ht="17.149999999999999" customHeight="1" x14ac:dyDescent="0.35">
      <c r="A31" s="3"/>
      <c r="B31" s="3"/>
      <c r="C31" s="5" t="str">
        <f>C21</f>
        <v>Dette locative</v>
      </c>
      <c r="D31" s="3"/>
      <c r="E31" s="3"/>
      <c r="F31" s="6">
        <f>G32-F30</f>
        <v>20923.52</v>
      </c>
      <c r="G31" s="6"/>
      <c r="H31" s="3"/>
      <c r="I31" s="3"/>
      <c r="J31" s="3"/>
      <c r="K31" s="3"/>
      <c r="L31" s="3"/>
      <c r="M31" s="3"/>
    </row>
    <row r="32" spans="1:13" ht="17.149999999999999" customHeight="1" x14ac:dyDescent="0.35">
      <c r="A32" s="3"/>
      <c r="B32" s="3"/>
      <c r="C32" s="3"/>
      <c r="D32" s="5" t="str">
        <f>D22</f>
        <v>Encaisse</v>
      </c>
      <c r="E32" s="3"/>
      <c r="F32" s="6"/>
      <c r="G32" s="6">
        <f>J9</f>
        <v>29396</v>
      </c>
      <c r="H32" s="3"/>
      <c r="I32" s="3"/>
      <c r="J32" s="3"/>
      <c r="K32" s="3"/>
      <c r="L32" s="3"/>
      <c r="M32" s="3"/>
    </row>
    <row r="33" spans="1:13" ht="17.149999999999999" customHeight="1" x14ac:dyDescent="0.35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  <c r="L33" s="3"/>
      <c r="M33" s="3"/>
    </row>
    <row r="34" spans="1:13" ht="17.149999999999999" customHeight="1" x14ac:dyDescent="0.35">
      <c r="A34" s="5" t="s">
        <v>23</v>
      </c>
      <c r="B34" s="3"/>
      <c r="C34" s="5" t="str">
        <f>C24</f>
        <v>Charge d'intérêts</v>
      </c>
      <c r="D34" s="3"/>
      <c r="E34" s="3"/>
      <c r="F34" s="6">
        <f>G35</f>
        <v>5961.6575999999995</v>
      </c>
      <c r="G34" s="6"/>
      <c r="H34" s="3"/>
      <c r="I34" s="3"/>
      <c r="J34" s="3"/>
      <c r="K34" s="3"/>
      <c r="L34" s="3"/>
      <c r="M34" s="3"/>
    </row>
    <row r="35" spans="1:13" ht="17.149999999999999" customHeight="1" x14ac:dyDescent="0.35">
      <c r="A35" s="3"/>
      <c r="B35" s="3"/>
      <c r="C35" s="3"/>
      <c r="D35" s="5" t="str">
        <f>D25</f>
        <v>Intérêts à payer</v>
      </c>
      <c r="E35" s="3"/>
      <c r="F35" s="6"/>
      <c r="G35" s="6">
        <f>K10</f>
        <v>5961.6575999999995</v>
      </c>
      <c r="H35" s="3"/>
      <c r="I35" s="3"/>
      <c r="J35" s="3"/>
      <c r="K35" s="3"/>
      <c r="L35" s="3"/>
      <c r="M35" s="3"/>
    </row>
    <row r="36" spans="1:13" ht="17.149999999999999" customHeight="1" x14ac:dyDescent="0.35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  <c r="L36" s="3"/>
      <c r="M36" s="3"/>
    </row>
    <row r="37" spans="1:13" ht="17.149999999999999" customHeight="1" x14ac:dyDescent="0.35">
      <c r="A37" s="3"/>
      <c r="B37" s="3"/>
      <c r="C37" s="5" t="str">
        <f>C27</f>
        <v>Amortissement</v>
      </c>
      <c r="D37" s="3"/>
      <c r="E37" s="3"/>
      <c r="F37" s="6">
        <f>F27</f>
        <v>25000</v>
      </c>
      <c r="G37" s="6"/>
      <c r="H37" s="3"/>
      <c r="I37" s="3"/>
      <c r="J37" s="3"/>
      <c r="K37" s="3"/>
      <c r="L37" s="3"/>
      <c r="M37" s="3"/>
    </row>
    <row r="38" spans="1:13" ht="17.149999999999999" customHeight="1" x14ac:dyDescent="0.35">
      <c r="A38" s="3"/>
      <c r="B38" s="3"/>
      <c r="C38" s="3"/>
      <c r="D38" s="5" t="str">
        <f>D28</f>
        <v>Amortissement cumulé</v>
      </c>
      <c r="E38" s="3"/>
      <c r="F38" s="6"/>
      <c r="G38" s="6">
        <f>G28</f>
        <v>25000</v>
      </c>
      <c r="H38" s="3"/>
      <c r="I38" s="3"/>
      <c r="J38" s="3"/>
      <c r="K38" s="3"/>
      <c r="L38" s="3"/>
      <c r="M38" s="3"/>
    </row>
    <row r="39" spans="1:13" ht="17.149999999999999" customHeight="1" x14ac:dyDescent="0.35">
      <c r="A39" s="3"/>
      <c r="B39" s="3"/>
      <c r="C39" s="3"/>
      <c r="D39" s="3"/>
      <c r="E39" s="3"/>
      <c r="F39" s="6"/>
      <c r="G39" s="6"/>
      <c r="H39" s="3"/>
      <c r="I39" s="3"/>
      <c r="J39" s="3"/>
      <c r="K39" s="3"/>
      <c r="L39" s="3"/>
      <c r="M39" s="3"/>
    </row>
    <row r="40" spans="1:13" ht="17.149999999999999" customHeight="1" x14ac:dyDescent="0.35">
      <c r="A40" s="5" t="s">
        <v>24</v>
      </c>
      <c r="B40" s="3"/>
      <c r="C40" s="5" t="str">
        <f>C30</f>
        <v>Intérêts à payer</v>
      </c>
      <c r="D40" s="3"/>
      <c r="E40" s="3"/>
      <c r="F40" s="6">
        <f>G35</f>
        <v>5961.6575999999995</v>
      </c>
      <c r="G40" s="6"/>
      <c r="H40" s="3"/>
      <c r="I40" s="3"/>
      <c r="J40" s="3"/>
      <c r="K40" s="3"/>
      <c r="L40" s="3"/>
      <c r="M40" s="3"/>
    </row>
    <row r="41" spans="1:13" ht="17.149999999999999" customHeight="1" x14ac:dyDescent="0.35">
      <c r="A41" s="3"/>
      <c r="B41" s="3"/>
      <c r="C41" s="5" t="str">
        <f>C31</f>
        <v>Dette locative</v>
      </c>
      <c r="D41" s="3"/>
      <c r="E41" s="3"/>
      <c r="F41" s="6">
        <f>G42-F40</f>
        <v>23434.342400000001</v>
      </c>
      <c r="G41" s="6"/>
      <c r="H41" s="3"/>
      <c r="I41" s="3"/>
      <c r="J41" s="3"/>
      <c r="K41" s="3"/>
      <c r="L41" s="3"/>
      <c r="M41" s="3"/>
    </row>
    <row r="42" spans="1:13" ht="17.149999999999999" customHeight="1" x14ac:dyDescent="0.35">
      <c r="A42" s="3"/>
      <c r="B42" s="3"/>
      <c r="C42" s="3"/>
      <c r="D42" s="5" t="str">
        <f>D32</f>
        <v>Encaisse</v>
      </c>
      <c r="E42" s="3"/>
      <c r="F42" s="6"/>
      <c r="G42" s="6">
        <f>J11</f>
        <v>29396</v>
      </c>
      <c r="H42" s="3"/>
      <c r="I42" s="3"/>
      <c r="J42" s="3"/>
      <c r="K42" s="3"/>
      <c r="L42" s="3"/>
      <c r="M42" s="3"/>
    </row>
    <row r="43" spans="1:13" ht="17.149999999999999" customHeight="1" x14ac:dyDescent="0.35">
      <c r="A43" s="3"/>
      <c r="B43" s="3"/>
      <c r="C43" s="3"/>
      <c r="D43" s="3"/>
      <c r="E43" s="3"/>
      <c r="F43" s="6"/>
      <c r="G43" s="6"/>
      <c r="H43" s="3"/>
      <c r="I43" s="3"/>
      <c r="J43" s="3"/>
      <c r="K43" s="3"/>
      <c r="L43" s="3"/>
      <c r="M43" s="3"/>
    </row>
    <row r="44" spans="1:13" ht="17.149999999999999" customHeight="1" x14ac:dyDescent="0.35">
      <c r="A44" s="5" t="s">
        <v>25</v>
      </c>
      <c r="B44" s="3"/>
      <c r="C44" s="5" t="str">
        <f>C34</f>
        <v>Charge d'intérêts</v>
      </c>
      <c r="D44" s="3"/>
      <c r="E44" s="3"/>
      <c r="F44" s="6">
        <f>G45</f>
        <v>3149.5365119999992</v>
      </c>
      <c r="G44" s="6"/>
      <c r="H44" s="3"/>
      <c r="I44" s="3"/>
      <c r="J44" s="3"/>
      <c r="K44" s="3"/>
      <c r="L44" s="3"/>
      <c r="M44" s="3"/>
    </row>
    <row r="45" spans="1:13" ht="17.149999999999999" customHeight="1" x14ac:dyDescent="0.35">
      <c r="A45" s="3"/>
      <c r="B45" s="3"/>
      <c r="C45" s="3"/>
      <c r="D45" s="5" t="str">
        <f>D35</f>
        <v>Intérêts à payer</v>
      </c>
      <c r="E45" s="3"/>
      <c r="F45" s="6"/>
      <c r="G45" s="6">
        <f>K12</f>
        <v>3149.5365119999992</v>
      </c>
      <c r="H45" s="3"/>
      <c r="I45" s="3"/>
      <c r="J45" s="3"/>
      <c r="K45" s="3"/>
      <c r="L45" s="3"/>
      <c r="M45" s="3"/>
    </row>
    <row r="46" spans="1:13" ht="17.149999999999999" customHeight="1" x14ac:dyDescent="0.35">
      <c r="A46" s="3"/>
      <c r="B46" s="3"/>
      <c r="C46" s="3"/>
      <c r="D46" s="3"/>
      <c r="E46" s="3"/>
      <c r="F46" s="6"/>
      <c r="G46" s="6"/>
      <c r="H46" s="3"/>
      <c r="I46" s="3"/>
      <c r="J46" s="3"/>
      <c r="K46" s="3"/>
      <c r="L46" s="3"/>
      <c r="M46" s="3"/>
    </row>
    <row r="47" spans="1:13" ht="17.149999999999999" customHeight="1" x14ac:dyDescent="0.35">
      <c r="A47" s="3"/>
      <c r="B47" s="3"/>
      <c r="C47" s="5" t="str">
        <f>C37</f>
        <v>Amortissement</v>
      </c>
      <c r="D47" s="3"/>
      <c r="E47" s="3"/>
      <c r="F47" s="6">
        <f>F37</f>
        <v>25000</v>
      </c>
      <c r="G47" s="6"/>
      <c r="H47" s="3"/>
      <c r="I47" s="3"/>
      <c r="J47" s="3"/>
      <c r="K47" s="3"/>
      <c r="L47" s="3"/>
      <c r="M47" s="3"/>
    </row>
    <row r="48" spans="1:13" ht="17.149999999999999" customHeight="1" x14ac:dyDescent="0.35">
      <c r="A48" s="3"/>
      <c r="B48" s="3"/>
      <c r="C48" s="3"/>
      <c r="D48" s="5" t="str">
        <f>D38</f>
        <v>Amortissement cumulé</v>
      </c>
      <c r="E48" s="3"/>
      <c r="F48" s="6"/>
      <c r="G48" s="6">
        <f>G38</f>
        <v>25000</v>
      </c>
      <c r="H48" s="3"/>
      <c r="I48" s="3"/>
      <c r="J48" s="3"/>
      <c r="K48" s="3"/>
      <c r="L48" s="3"/>
      <c r="M48" s="3"/>
    </row>
    <row r="49" spans="1:13" ht="17.149999999999999" customHeight="1" x14ac:dyDescent="0.35">
      <c r="A49" s="3"/>
      <c r="B49" s="3"/>
      <c r="C49" s="3"/>
      <c r="D49" s="3"/>
      <c r="E49" s="3"/>
      <c r="F49" s="6"/>
      <c r="G49" s="6"/>
      <c r="H49" s="3"/>
      <c r="I49" s="3"/>
      <c r="J49" s="3"/>
      <c r="K49" s="3"/>
      <c r="L49" s="3"/>
      <c r="M49" s="3"/>
    </row>
    <row r="50" spans="1:13" ht="17.149999999999999" customHeight="1" x14ac:dyDescent="0.35">
      <c r="A50" s="5" t="s">
        <v>26</v>
      </c>
      <c r="B50" s="3"/>
      <c r="C50" s="5" t="str">
        <f>C40</f>
        <v>Intérêts à payer</v>
      </c>
      <c r="D50" s="3"/>
      <c r="E50" s="3"/>
      <c r="F50" s="6">
        <f>G45</f>
        <v>3149.5365119999992</v>
      </c>
      <c r="G50" s="6"/>
      <c r="H50" s="3"/>
      <c r="I50" s="3"/>
      <c r="J50" s="3"/>
      <c r="K50" s="3"/>
      <c r="L50" s="3"/>
      <c r="M50" s="3"/>
    </row>
    <row r="51" spans="1:13" ht="17.149999999999999" customHeight="1" x14ac:dyDescent="0.35">
      <c r="A51" s="3"/>
      <c r="B51" s="3"/>
      <c r="C51" s="5" t="str">
        <f>C41</f>
        <v>Dette locative</v>
      </c>
      <c r="D51" s="3"/>
      <c r="E51" s="3"/>
      <c r="F51" s="6">
        <f>G52-F50</f>
        <v>26246.463488000001</v>
      </c>
      <c r="G51" s="6"/>
      <c r="H51" s="3"/>
      <c r="I51" s="3"/>
      <c r="J51" s="3"/>
      <c r="K51" s="3"/>
      <c r="L51" s="3"/>
      <c r="M51" s="3"/>
    </row>
    <row r="52" spans="1:13" ht="17.149999999999999" customHeight="1" x14ac:dyDescent="0.35">
      <c r="A52" s="3"/>
      <c r="B52" s="3"/>
      <c r="C52" s="3"/>
      <c r="D52" s="5" t="str">
        <f>D42</f>
        <v>Encaisse</v>
      </c>
      <c r="E52" s="3"/>
      <c r="F52" s="6"/>
      <c r="G52" s="6">
        <f>J13</f>
        <v>29396</v>
      </c>
      <c r="H52" s="3"/>
      <c r="I52" s="3"/>
      <c r="J52" s="3"/>
      <c r="K52" s="3"/>
      <c r="L52" s="3"/>
      <c r="M52" s="3"/>
    </row>
    <row r="53" spans="1:13" ht="17.149999999999999" customHeight="1" x14ac:dyDescent="0.35">
      <c r="A53" s="3"/>
      <c r="B53" s="3"/>
      <c r="C53" s="3"/>
      <c r="D53" s="3"/>
      <c r="E53" s="3"/>
      <c r="F53" s="6"/>
      <c r="G53" s="6"/>
      <c r="H53" s="3"/>
      <c r="I53" s="3"/>
      <c r="J53" s="3"/>
      <c r="K53" s="3"/>
      <c r="L53" s="3"/>
      <c r="M53" s="3"/>
    </row>
    <row r="54" spans="1:13" ht="17.149999999999999" customHeight="1" x14ac:dyDescent="0.35">
      <c r="A54" s="5" t="s">
        <v>27</v>
      </c>
      <c r="B54" s="3"/>
      <c r="C54" s="5" t="str">
        <f>C47</f>
        <v>Amortissement</v>
      </c>
      <c r="D54" s="3"/>
      <c r="E54" s="3"/>
      <c r="F54" s="6">
        <f>F47</f>
        <v>25000</v>
      </c>
      <c r="G54" s="6"/>
      <c r="H54" s="3"/>
      <c r="I54" s="3"/>
      <c r="J54" s="3"/>
      <c r="K54" s="3"/>
      <c r="L54" s="3"/>
      <c r="M54" s="3"/>
    </row>
    <row r="55" spans="1:13" ht="17.149999999999999" customHeight="1" x14ac:dyDescent="0.35">
      <c r="A55" s="3"/>
      <c r="B55" s="3"/>
      <c r="C55" s="3"/>
      <c r="D55" s="5" t="str">
        <f>D48</f>
        <v>Amortissement cumulé</v>
      </c>
      <c r="E55" s="3"/>
      <c r="F55" s="6"/>
      <c r="G55" s="6">
        <f>G48</f>
        <v>25000</v>
      </c>
      <c r="H55" s="3"/>
      <c r="I55" s="3"/>
      <c r="J55" s="3"/>
      <c r="K55" s="3"/>
      <c r="L55" s="3"/>
      <c r="M55" s="3"/>
    </row>
    <row r="56" spans="1:13" ht="17.149999999999999" customHeight="1" x14ac:dyDescent="0.35">
      <c r="A56" s="3"/>
      <c r="B56" s="3"/>
      <c r="C56" s="3"/>
      <c r="D56" s="3"/>
      <c r="E56" s="3"/>
      <c r="F56" s="6"/>
      <c r="G56" s="6"/>
      <c r="H56" s="3"/>
      <c r="I56" s="3"/>
      <c r="J56" s="3"/>
      <c r="K56" s="3"/>
      <c r="L56" s="3"/>
      <c r="M56" s="3"/>
    </row>
    <row r="57" spans="1:13" ht="17.149999999999999" customHeight="1" x14ac:dyDescent="0.35">
      <c r="A57" s="3"/>
      <c r="B57" s="3"/>
      <c r="C57" s="5" t="s">
        <v>21</v>
      </c>
      <c r="D57" s="3"/>
      <c r="E57" s="3"/>
      <c r="F57" s="6">
        <v>100000</v>
      </c>
      <c r="G57" s="6"/>
      <c r="H57" s="3"/>
      <c r="I57" s="3"/>
      <c r="J57" s="3"/>
      <c r="K57" s="3"/>
      <c r="L57" s="3"/>
      <c r="M57" s="3"/>
    </row>
    <row r="58" spans="1:13" ht="17.149999999999999" customHeight="1" x14ac:dyDescent="0.35">
      <c r="A58" s="3"/>
      <c r="B58" s="3"/>
      <c r="C58" s="3"/>
      <c r="D58" s="5" t="s">
        <v>14</v>
      </c>
      <c r="E58" s="3"/>
      <c r="F58" s="6"/>
      <c r="G58" s="6">
        <f>F57</f>
        <v>100000</v>
      </c>
      <c r="H58" s="3"/>
      <c r="I58" s="3"/>
      <c r="J58" s="3"/>
      <c r="K58" s="3"/>
      <c r="L58" s="3"/>
      <c r="M58" s="3"/>
    </row>
    <row r="59" spans="1:13" ht="17.149999999999999" customHeight="1" x14ac:dyDescent="0.35">
      <c r="A59" s="3"/>
      <c r="B59" s="3"/>
      <c r="C59" s="3"/>
      <c r="D59" s="3"/>
      <c r="E59" s="3"/>
      <c r="F59" s="6"/>
      <c r="G59" s="6"/>
      <c r="H59" s="3"/>
      <c r="I59" s="3"/>
      <c r="J59" s="3"/>
      <c r="K59" s="3"/>
      <c r="L59" s="3"/>
      <c r="M59" s="3"/>
    </row>
    <row r="60" spans="1:13" ht="17.149999999999999" customHeight="1" x14ac:dyDescent="0.35">
      <c r="A60" s="3"/>
      <c r="B60" s="3"/>
      <c r="C60" s="3"/>
      <c r="D60" s="3"/>
      <c r="E60" s="3"/>
      <c r="F60" s="6"/>
      <c r="G60" s="6"/>
      <c r="H60" s="3"/>
      <c r="I60" s="3"/>
      <c r="J60" s="3"/>
      <c r="K60" s="3"/>
      <c r="L60" s="3"/>
      <c r="M60" s="3"/>
    </row>
    <row r="61" spans="1:13" ht="17.149999999999999" customHeight="1" x14ac:dyDescent="0.35">
      <c r="A61" s="3"/>
      <c r="B61" s="3"/>
      <c r="C61" s="3"/>
      <c r="D61" s="3"/>
      <c r="E61" s="3"/>
      <c r="F61" s="6"/>
      <c r="G61" s="6"/>
      <c r="H61" s="3"/>
      <c r="I61" s="3"/>
      <c r="J61" s="3"/>
      <c r="K61" s="3"/>
      <c r="L61" s="3"/>
      <c r="M61" s="3"/>
    </row>
    <row r="62" spans="1:13" ht="17.149999999999999" customHeight="1" x14ac:dyDescent="0.35">
      <c r="A62" s="3"/>
      <c r="B62" s="3"/>
      <c r="C62" s="3"/>
      <c r="D62" s="3"/>
      <c r="E62" s="3"/>
      <c r="F62" s="6"/>
      <c r="G62" s="6"/>
      <c r="H62" s="3"/>
      <c r="I62" s="3"/>
      <c r="J62" s="3"/>
      <c r="K62" s="3"/>
      <c r="L62" s="3"/>
      <c r="M62" s="3"/>
    </row>
    <row r="63" spans="1:13" ht="17.149999999999999" customHeight="1" x14ac:dyDescent="0.35">
      <c r="A63" s="3"/>
      <c r="B63" s="3"/>
      <c r="C63" s="3"/>
      <c r="D63" s="3"/>
      <c r="E63" s="3"/>
      <c r="F63" s="6"/>
      <c r="G63" s="6"/>
      <c r="H63" s="3"/>
      <c r="I63" s="3"/>
      <c r="J63" s="3"/>
      <c r="K63" s="3"/>
      <c r="L63" s="3"/>
      <c r="M63" s="3"/>
    </row>
    <row r="64" spans="1:13" ht="17.149999999999999" customHeight="1" x14ac:dyDescent="0.35">
      <c r="A64" s="3"/>
      <c r="B64" s="3"/>
      <c r="C64" s="3"/>
      <c r="D64" s="3"/>
      <c r="E64" s="3"/>
      <c r="F64" s="6"/>
      <c r="G64" s="6"/>
      <c r="H64" s="3"/>
      <c r="I64" s="3"/>
      <c r="J64" s="3"/>
      <c r="K64" s="3"/>
      <c r="L64" s="3"/>
      <c r="M64" s="3"/>
    </row>
    <row r="65" spans="1:13" ht="17.149999999999999" customHeight="1" x14ac:dyDescent="0.35">
      <c r="A65" s="3"/>
      <c r="B65" s="3"/>
      <c r="C65" s="3"/>
      <c r="D65" s="3"/>
      <c r="E65" s="3"/>
      <c r="F65" s="6"/>
      <c r="G65" s="6"/>
      <c r="H65" s="3"/>
      <c r="I65" s="3"/>
      <c r="J65" s="3"/>
      <c r="K65" s="3"/>
      <c r="L65" s="3"/>
      <c r="M65" s="3"/>
    </row>
    <row r="66" spans="1:13" ht="17.149999999999999" customHeight="1" x14ac:dyDescent="0.35">
      <c r="A66" s="3"/>
      <c r="B66" s="3"/>
      <c r="C66" s="3"/>
      <c r="D66" s="3"/>
      <c r="E66" s="3"/>
      <c r="F66" s="6"/>
      <c r="G66" s="6"/>
      <c r="H66" s="3"/>
      <c r="I66" s="3"/>
      <c r="J66" s="3"/>
      <c r="K66" s="3"/>
      <c r="L66" s="3"/>
      <c r="M66" s="3"/>
    </row>
    <row r="67" spans="1:13" ht="17.149999999999999" customHeight="1" x14ac:dyDescent="0.35">
      <c r="A67" s="3"/>
      <c r="B67" s="3"/>
      <c r="C67" s="3"/>
      <c r="D67" s="3"/>
      <c r="E67" s="3"/>
      <c r="F67" s="6"/>
      <c r="G67" s="6"/>
      <c r="H67" s="3"/>
      <c r="I67" s="3"/>
      <c r="J67" s="3"/>
      <c r="K67" s="3"/>
      <c r="L67" s="3"/>
      <c r="M67" s="3"/>
    </row>
    <row r="68" spans="1:13" ht="17.149999999999999" customHeight="1" x14ac:dyDescent="0.35">
      <c r="A68" s="3"/>
      <c r="B68" s="3"/>
      <c r="C68" s="3"/>
      <c r="D68" s="3"/>
      <c r="E68" s="3"/>
      <c r="F68" s="6"/>
      <c r="G68" s="6"/>
      <c r="H68" s="3"/>
      <c r="I68" s="3"/>
      <c r="J68" s="3"/>
      <c r="K68" s="3"/>
      <c r="L68" s="3"/>
      <c r="M68" s="3"/>
    </row>
  </sheetData>
  <pageMargins left="0.75" right="0.75" top="1" bottom="1" header="0.5" footer="0.5"/>
  <pageSetup scale="54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63"/>
  <sheetViews>
    <sheetView showGridLines="0" workbookViewId="0">
      <selection activeCell="B2" sqref="B2"/>
    </sheetView>
  </sheetViews>
  <sheetFormatPr baseColWidth="10" defaultColWidth="6.59765625" defaultRowHeight="15" customHeight="1" x14ac:dyDescent="0.35"/>
  <cols>
    <col min="1" max="1" width="8.59765625" style="9" customWidth="1"/>
    <col min="2" max="8" width="6.59765625" style="9" customWidth="1"/>
    <col min="9" max="9" width="5.86328125" style="9" customWidth="1"/>
    <col min="10" max="10" width="8.86328125" style="9" customWidth="1"/>
    <col min="11" max="256" width="6.59765625" style="9" customWidth="1"/>
  </cols>
  <sheetData>
    <row r="1" spans="1:14" ht="18.75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7.149999999999999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149999999999999" customHeight="1" x14ac:dyDescent="0.35">
      <c r="A3" s="4" t="s">
        <v>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7.149999999999999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7.149999999999999" customHeight="1" x14ac:dyDescent="0.35">
      <c r="A5" s="5" t="s">
        <v>2</v>
      </c>
      <c r="B5" s="3"/>
      <c r="C5" s="3"/>
      <c r="D5" s="6">
        <v>100000</v>
      </c>
      <c r="E5" s="5" t="s">
        <v>3</v>
      </c>
      <c r="F5" s="3"/>
      <c r="G5" s="3"/>
      <c r="H5" s="3"/>
      <c r="I5" s="3"/>
      <c r="J5" s="3"/>
      <c r="K5" s="3"/>
      <c r="L5" s="7">
        <f>D11</f>
        <v>0.12</v>
      </c>
      <c r="M5" s="3"/>
      <c r="N5" s="3"/>
    </row>
    <row r="6" spans="1:14" ht="17.149999999999999" customHeight="1" x14ac:dyDescent="0.35">
      <c r="A6" s="5" t="s">
        <v>4</v>
      </c>
      <c r="B6" s="3"/>
      <c r="C6" s="3"/>
      <c r="D6" s="5">
        <v>4</v>
      </c>
      <c r="E6" s="5" t="s">
        <v>5</v>
      </c>
      <c r="F6" s="3"/>
      <c r="G6" s="3"/>
      <c r="H6" s="3"/>
      <c r="I6" s="3"/>
      <c r="J6" s="3"/>
      <c r="K6" s="6"/>
      <c r="L6" s="6"/>
      <c r="M6" s="6">
        <f>D5</f>
        <v>100000</v>
      </c>
      <c r="N6" s="6"/>
    </row>
    <row r="7" spans="1:14" ht="17.149999999999999" customHeight="1" x14ac:dyDescent="0.35">
      <c r="A7" s="5" t="s">
        <v>6</v>
      </c>
      <c r="B7" s="3"/>
      <c r="C7" s="3"/>
      <c r="D7" s="5">
        <v>0</v>
      </c>
      <c r="E7" s="3"/>
      <c r="F7" s="3"/>
      <c r="G7" s="3"/>
      <c r="H7" s="3"/>
      <c r="I7" s="3"/>
      <c r="J7" s="5" t="s">
        <v>13</v>
      </c>
      <c r="K7" s="6">
        <f>F$14</f>
        <v>31353</v>
      </c>
      <c r="L7" s="6"/>
      <c r="M7" s="6">
        <f t="shared" ref="M7:M12" si="0">M6-K7+L7</f>
        <v>68647</v>
      </c>
      <c r="N7" s="6"/>
    </row>
    <row r="8" spans="1:14" ht="17.149999999999999" customHeight="1" x14ac:dyDescent="0.35">
      <c r="A8" s="3"/>
      <c r="B8" s="3"/>
      <c r="C8" s="3"/>
      <c r="D8" s="3"/>
      <c r="E8" s="3"/>
      <c r="F8" s="3"/>
      <c r="G8" s="3"/>
      <c r="H8" s="3"/>
      <c r="I8" s="3"/>
      <c r="J8" s="5" t="s">
        <v>17</v>
      </c>
      <c r="K8" s="6"/>
      <c r="L8" s="6">
        <f>M7*L$5</f>
        <v>8237.64</v>
      </c>
      <c r="M8" s="6">
        <f t="shared" si="0"/>
        <v>76884.639999999999</v>
      </c>
      <c r="N8" s="6"/>
    </row>
    <row r="9" spans="1:14" ht="17.149999999999999" customHeight="1" x14ac:dyDescent="0.35">
      <c r="A9" s="4" t="s">
        <v>7</v>
      </c>
      <c r="B9" s="3"/>
      <c r="C9" s="3"/>
      <c r="D9" s="3"/>
      <c r="E9" s="3"/>
      <c r="F9" s="3"/>
      <c r="G9" s="3"/>
      <c r="H9" s="3"/>
      <c r="I9" s="3"/>
      <c r="J9" s="5" t="s">
        <v>22</v>
      </c>
      <c r="K9" s="6">
        <f>K7</f>
        <v>31353</v>
      </c>
      <c r="L9" s="6"/>
      <c r="M9" s="6">
        <f t="shared" si="0"/>
        <v>45531.64</v>
      </c>
      <c r="N9" s="6"/>
    </row>
    <row r="10" spans="1:14" ht="17.149999999999999" customHeight="1" x14ac:dyDescent="0.35">
      <c r="A10" s="5" t="s">
        <v>8</v>
      </c>
      <c r="B10" s="3"/>
      <c r="C10" s="3"/>
      <c r="D10" s="5">
        <v>3</v>
      </c>
      <c r="E10" s="5" t="s">
        <v>5</v>
      </c>
      <c r="F10" s="3"/>
      <c r="G10" s="3"/>
      <c r="H10" s="3"/>
      <c r="I10" s="3"/>
      <c r="J10" s="5" t="s">
        <v>23</v>
      </c>
      <c r="K10" s="6"/>
      <c r="L10" s="6">
        <f>M9*L$5</f>
        <v>5463.7968000000001</v>
      </c>
      <c r="M10" s="6">
        <f t="shared" si="0"/>
        <v>50995.436799999996</v>
      </c>
      <c r="N10" s="6"/>
    </row>
    <row r="11" spans="1:14" ht="17.149999999999999" customHeight="1" x14ac:dyDescent="0.35">
      <c r="A11" s="5" t="s">
        <v>9</v>
      </c>
      <c r="B11" s="3"/>
      <c r="C11" s="3"/>
      <c r="D11" s="7">
        <v>0.12</v>
      </c>
      <c r="E11" s="3"/>
      <c r="F11" s="3"/>
      <c r="G11" s="3"/>
      <c r="H11" s="3"/>
      <c r="I11" s="3"/>
      <c r="J11" s="5" t="s">
        <v>24</v>
      </c>
      <c r="K11" s="6">
        <f>K9</f>
        <v>31353</v>
      </c>
      <c r="L11" s="6"/>
      <c r="M11" s="6">
        <f t="shared" si="0"/>
        <v>19642.436799999996</v>
      </c>
      <c r="N11" s="6"/>
    </row>
    <row r="12" spans="1:14" ht="17.149999999999999" customHeight="1" x14ac:dyDescent="0.35">
      <c r="A12" s="5" t="s">
        <v>28</v>
      </c>
      <c r="B12" s="3"/>
      <c r="C12" s="3"/>
      <c r="D12" s="6">
        <v>22000</v>
      </c>
      <c r="E12" s="3"/>
      <c r="F12" s="3"/>
      <c r="G12" s="3"/>
      <c r="H12" s="3"/>
      <c r="I12" s="3"/>
      <c r="J12" s="5" t="s">
        <v>25</v>
      </c>
      <c r="K12" s="6">
        <f>D12</f>
        <v>22000</v>
      </c>
      <c r="L12" s="6">
        <f>M11*L$5</f>
        <v>2357.0924159999995</v>
      </c>
      <c r="M12" s="6">
        <f t="shared" si="0"/>
        <v>-0.47078400000464171</v>
      </c>
      <c r="N12" s="6"/>
    </row>
    <row r="13" spans="1:14" ht="17.149999999999999" customHeight="1" x14ac:dyDescent="0.35">
      <c r="A13" s="5" t="s">
        <v>10</v>
      </c>
      <c r="B13" s="3"/>
      <c r="C13" s="3"/>
      <c r="D13" s="3"/>
      <c r="E13" s="3"/>
      <c r="F13" s="3"/>
      <c r="G13" s="3"/>
      <c r="H13" s="3"/>
      <c r="I13" s="3"/>
      <c r="J13" s="8"/>
      <c r="K13" s="6"/>
      <c r="L13" s="6"/>
      <c r="M13" s="6"/>
      <c r="N13" s="6"/>
    </row>
    <row r="14" spans="1:14" ht="17.149999999999999" customHeight="1" x14ac:dyDescent="0.35">
      <c r="A14" s="3"/>
      <c r="B14" s="5" t="s">
        <v>11</v>
      </c>
      <c r="C14" s="3"/>
      <c r="D14" s="3"/>
      <c r="E14" s="3"/>
      <c r="F14" s="6">
        <v>31353</v>
      </c>
      <c r="G14" s="3"/>
      <c r="H14" s="3"/>
      <c r="I14" s="3"/>
      <c r="J14" s="3"/>
      <c r="K14" s="3"/>
      <c r="L14" s="3"/>
      <c r="M14" s="3"/>
      <c r="N14" s="6"/>
    </row>
    <row r="15" spans="1:14" ht="17.149999999999999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8"/>
      <c r="K15" s="6"/>
      <c r="L15" s="6"/>
      <c r="M15" s="6"/>
      <c r="N15" s="6"/>
    </row>
    <row r="16" spans="1:14" ht="17.149999999999999" customHeight="1" x14ac:dyDescent="0.35">
      <c r="A16" s="4" t="s">
        <v>12</v>
      </c>
      <c r="B16" s="3"/>
      <c r="C16" s="3"/>
      <c r="D16" s="3"/>
      <c r="E16" s="3"/>
      <c r="F16" s="3"/>
      <c r="G16" s="3"/>
      <c r="H16" s="3"/>
      <c r="I16" s="3"/>
      <c r="J16" s="8"/>
      <c r="K16" s="6"/>
      <c r="L16" s="6"/>
      <c r="M16" s="6"/>
      <c r="N16" s="6"/>
    </row>
    <row r="17" spans="1:14" ht="17.149999999999999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8"/>
      <c r="K17" s="3"/>
      <c r="L17" s="3"/>
      <c r="M17" s="6"/>
      <c r="N17" s="3"/>
    </row>
    <row r="18" spans="1:14" ht="17.149999999999999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8"/>
      <c r="K18" s="3"/>
      <c r="L18" s="3"/>
      <c r="M18" s="6"/>
      <c r="N18" s="3"/>
    </row>
    <row r="19" spans="1:14" ht="17.149999999999999" customHeight="1" x14ac:dyDescent="0.35">
      <c r="A19" s="5" t="s">
        <v>13</v>
      </c>
      <c r="B19" s="3"/>
      <c r="C19" s="5" t="s">
        <v>14</v>
      </c>
      <c r="D19" s="3"/>
      <c r="E19" s="3"/>
      <c r="F19" s="6">
        <f>G20</f>
        <v>100000</v>
      </c>
      <c r="G19" s="3"/>
      <c r="H19" s="3"/>
      <c r="I19" s="3"/>
      <c r="J19" s="3"/>
      <c r="K19" s="3"/>
      <c r="L19" s="3"/>
      <c r="M19" s="6"/>
      <c r="N19" s="3"/>
    </row>
    <row r="20" spans="1:14" ht="17.149999999999999" customHeight="1" x14ac:dyDescent="0.35">
      <c r="A20" s="3"/>
      <c r="B20" s="3"/>
      <c r="C20" s="3"/>
      <c r="D20" s="5" t="s">
        <v>15</v>
      </c>
      <c r="E20" s="3"/>
      <c r="F20" s="3"/>
      <c r="G20" s="6">
        <f>M6</f>
        <v>100000</v>
      </c>
      <c r="H20" s="3"/>
      <c r="I20" s="3"/>
      <c r="J20" s="3"/>
      <c r="K20" s="3"/>
      <c r="L20" s="3"/>
      <c r="M20" s="3"/>
      <c r="N20" s="3"/>
    </row>
    <row r="21" spans="1:14" ht="17.149999999999999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7.149999999999999" customHeight="1" x14ac:dyDescent="0.35">
      <c r="A22" s="3"/>
      <c r="B22" s="3"/>
      <c r="C22" s="5" t="str">
        <f>D20</f>
        <v>Dette locative</v>
      </c>
      <c r="D22" s="3"/>
      <c r="E22" s="3"/>
      <c r="F22" s="6">
        <f>G23</f>
        <v>31353</v>
      </c>
      <c r="G22" s="3"/>
      <c r="H22" s="3"/>
      <c r="I22" s="3"/>
      <c r="J22" s="3"/>
      <c r="K22" s="3"/>
      <c r="L22" s="3"/>
      <c r="M22" s="3"/>
      <c r="N22" s="3"/>
    </row>
    <row r="23" spans="1:14" ht="17.149999999999999" customHeight="1" x14ac:dyDescent="0.35">
      <c r="A23" s="3"/>
      <c r="B23" s="3"/>
      <c r="C23" s="3"/>
      <c r="D23" s="5" t="s">
        <v>16</v>
      </c>
      <c r="E23" s="3"/>
      <c r="F23" s="3"/>
      <c r="G23" s="6">
        <f>K7</f>
        <v>31353</v>
      </c>
      <c r="H23" s="3"/>
      <c r="I23" s="3"/>
      <c r="J23" s="3"/>
      <c r="K23" s="3"/>
      <c r="L23" s="3"/>
      <c r="M23" s="3"/>
      <c r="N23" s="3"/>
    </row>
    <row r="24" spans="1:14" ht="17.149999999999999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7.149999999999999" customHeight="1" x14ac:dyDescent="0.35">
      <c r="A25" s="5" t="s">
        <v>17</v>
      </c>
      <c r="B25" s="3"/>
      <c r="C25" s="5" t="s">
        <v>18</v>
      </c>
      <c r="D25" s="3"/>
      <c r="E25" s="3"/>
      <c r="F25" s="6">
        <f>G26</f>
        <v>8237.64</v>
      </c>
      <c r="G25" s="3"/>
      <c r="H25" s="3"/>
      <c r="I25" s="3"/>
      <c r="J25" s="3"/>
      <c r="K25" s="3"/>
      <c r="L25" s="3"/>
      <c r="M25" s="3"/>
      <c r="N25" s="3"/>
    </row>
    <row r="26" spans="1:14" ht="17.149999999999999" customHeight="1" x14ac:dyDescent="0.35">
      <c r="A26" s="3"/>
      <c r="B26" s="3"/>
      <c r="C26" s="3"/>
      <c r="D26" s="5" t="s">
        <v>19</v>
      </c>
      <c r="E26" s="3"/>
      <c r="F26" s="3"/>
      <c r="G26" s="6">
        <f>L8</f>
        <v>8237.64</v>
      </c>
      <c r="H26" s="3"/>
      <c r="I26" s="3"/>
      <c r="J26" s="3"/>
      <c r="K26" s="3"/>
      <c r="L26" s="3"/>
      <c r="M26" s="3"/>
      <c r="N26" s="3"/>
    </row>
    <row r="27" spans="1:14" ht="17.149999999999999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7.149999999999999" customHeight="1" x14ac:dyDescent="0.35">
      <c r="A28" s="3"/>
      <c r="B28" s="3"/>
      <c r="C28" s="5" t="s">
        <v>20</v>
      </c>
      <c r="D28" s="3"/>
      <c r="E28" s="3"/>
      <c r="F28" s="6">
        <f>(D5-D12)/D10</f>
        <v>26000</v>
      </c>
      <c r="G28" s="6"/>
      <c r="H28" s="3"/>
      <c r="I28" s="3"/>
      <c r="J28" s="3"/>
      <c r="K28" s="3"/>
      <c r="L28" s="3"/>
      <c r="M28" s="3"/>
      <c r="N28" s="3"/>
    </row>
    <row r="29" spans="1:14" ht="17.149999999999999" customHeight="1" x14ac:dyDescent="0.35">
      <c r="A29" s="3"/>
      <c r="B29" s="3"/>
      <c r="C29" s="3"/>
      <c r="D29" s="5" t="s">
        <v>21</v>
      </c>
      <c r="E29" s="3"/>
      <c r="F29" s="6"/>
      <c r="G29" s="6">
        <f>F28</f>
        <v>26000</v>
      </c>
      <c r="H29" s="3"/>
      <c r="I29" s="3"/>
      <c r="J29" s="3"/>
      <c r="K29" s="3"/>
      <c r="L29" s="3"/>
      <c r="M29" s="3"/>
      <c r="N29" s="3"/>
    </row>
    <row r="30" spans="1:14" ht="17.149999999999999" customHeight="1" x14ac:dyDescent="0.35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  <c r="L30" s="3"/>
      <c r="M30" s="3"/>
      <c r="N30" s="3"/>
    </row>
    <row r="31" spans="1:14" ht="17.149999999999999" customHeight="1" x14ac:dyDescent="0.35">
      <c r="A31" s="5" t="s">
        <v>22</v>
      </c>
      <c r="B31" s="3"/>
      <c r="C31" s="5" t="str">
        <f>D26</f>
        <v>Intérêts à payer</v>
      </c>
      <c r="D31" s="3"/>
      <c r="E31" s="3"/>
      <c r="F31" s="6">
        <f>G26</f>
        <v>8237.64</v>
      </c>
      <c r="G31" s="6"/>
      <c r="H31" s="3"/>
      <c r="I31" s="3"/>
      <c r="J31" s="3"/>
      <c r="K31" s="3"/>
      <c r="L31" s="3"/>
      <c r="M31" s="3"/>
      <c r="N31" s="3"/>
    </row>
    <row r="32" spans="1:14" ht="17.149999999999999" customHeight="1" x14ac:dyDescent="0.35">
      <c r="A32" s="3"/>
      <c r="B32" s="3"/>
      <c r="C32" s="5" t="str">
        <f>C22</f>
        <v>Dette locative</v>
      </c>
      <c r="D32" s="3"/>
      <c r="E32" s="3"/>
      <c r="F32" s="6">
        <f>G33-F31</f>
        <v>23115.360000000001</v>
      </c>
      <c r="G32" s="6"/>
      <c r="H32" s="3"/>
      <c r="I32" s="3"/>
      <c r="J32" s="3"/>
      <c r="K32" s="3"/>
      <c r="L32" s="3"/>
      <c r="M32" s="3"/>
      <c r="N32" s="3"/>
    </row>
    <row r="33" spans="1:14" ht="17.149999999999999" customHeight="1" x14ac:dyDescent="0.35">
      <c r="A33" s="3"/>
      <c r="B33" s="3"/>
      <c r="C33" s="3"/>
      <c r="D33" s="5" t="str">
        <f>D23</f>
        <v>Encaisse</v>
      </c>
      <c r="E33" s="3"/>
      <c r="F33" s="6"/>
      <c r="G33" s="6">
        <f>K9</f>
        <v>31353</v>
      </c>
      <c r="H33" s="3"/>
      <c r="I33" s="3"/>
      <c r="J33" s="3"/>
      <c r="K33" s="3"/>
      <c r="L33" s="3"/>
      <c r="M33" s="3"/>
      <c r="N33" s="3"/>
    </row>
    <row r="34" spans="1:14" ht="17.149999999999999" customHeight="1" x14ac:dyDescent="0.35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  <c r="L34" s="3"/>
      <c r="M34" s="3"/>
      <c r="N34" s="3"/>
    </row>
    <row r="35" spans="1:14" ht="17.149999999999999" customHeight="1" x14ac:dyDescent="0.35">
      <c r="A35" s="5" t="s">
        <v>23</v>
      </c>
      <c r="B35" s="3"/>
      <c r="C35" s="5" t="str">
        <f>C25</f>
        <v>Charge d'intérêts</v>
      </c>
      <c r="D35" s="3"/>
      <c r="E35" s="3"/>
      <c r="F35" s="6">
        <f>G36</f>
        <v>5463.7968000000001</v>
      </c>
      <c r="G35" s="6"/>
      <c r="H35" s="3"/>
      <c r="I35" s="3"/>
      <c r="J35" s="3"/>
      <c r="K35" s="3"/>
      <c r="L35" s="3"/>
      <c r="M35" s="3"/>
      <c r="N35" s="3"/>
    </row>
    <row r="36" spans="1:14" ht="17.149999999999999" customHeight="1" x14ac:dyDescent="0.35">
      <c r="A36" s="3"/>
      <c r="B36" s="3"/>
      <c r="C36" s="3"/>
      <c r="D36" s="5" t="str">
        <f>D26</f>
        <v>Intérêts à payer</v>
      </c>
      <c r="E36" s="3"/>
      <c r="F36" s="6"/>
      <c r="G36" s="6">
        <f>L10</f>
        <v>5463.7968000000001</v>
      </c>
      <c r="H36" s="3"/>
      <c r="I36" s="3"/>
      <c r="J36" s="3"/>
      <c r="K36" s="3"/>
      <c r="L36" s="3"/>
      <c r="M36" s="3"/>
      <c r="N36" s="3"/>
    </row>
    <row r="37" spans="1:14" ht="17.149999999999999" customHeight="1" x14ac:dyDescent="0.35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  <c r="L37" s="3"/>
      <c r="M37" s="3"/>
      <c r="N37" s="3"/>
    </row>
    <row r="38" spans="1:14" ht="17.149999999999999" customHeight="1" x14ac:dyDescent="0.35">
      <c r="A38" s="3"/>
      <c r="B38" s="3"/>
      <c r="C38" s="5" t="str">
        <f>C28</f>
        <v>Amortissement</v>
      </c>
      <c r="D38" s="3"/>
      <c r="E38" s="3"/>
      <c r="F38" s="6">
        <f>F28</f>
        <v>26000</v>
      </c>
      <c r="G38" s="6"/>
      <c r="H38" s="3"/>
      <c r="I38" s="3"/>
      <c r="J38" s="3"/>
      <c r="K38" s="3"/>
      <c r="L38" s="3"/>
      <c r="M38" s="3"/>
      <c r="N38" s="3"/>
    </row>
    <row r="39" spans="1:14" ht="17.149999999999999" customHeight="1" x14ac:dyDescent="0.35">
      <c r="A39" s="3"/>
      <c r="B39" s="3"/>
      <c r="C39" s="3"/>
      <c r="D39" s="5" t="str">
        <f>D29</f>
        <v>Amortissement cumulé</v>
      </c>
      <c r="E39" s="3"/>
      <c r="F39" s="6"/>
      <c r="G39" s="6">
        <f>G29</f>
        <v>26000</v>
      </c>
      <c r="H39" s="3"/>
      <c r="I39" s="3"/>
      <c r="J39" s="3"/>
      <c r="K39" s="3"/>
      <c r="L39" s="3"/>
      <c r="M39" s="3"/>
      <c r="N39" s="3"/>
    </row>
    <row r="40" spans="1:14" ht="17.149999999999999" customHeight="1" x14ac:dyDescent="0.35">
      <c r="A40" s="3"/>
      <c r="B40" s="3"/>
      <c r="C40" s="3"/>
      <c r="D40" s="3"/>
      <c r="E40" s="3"/>
      <c r="F40" s="6"/>
      <c r="G40" s="6"/>
      <c r="H40" s="3"/>
      <c r="I40" s="3"/>
      <c r="J40" s="3"/>
      <c r="K40" s="3"/>
      <c r="L40" s="3"/>
      <c r="M40" s="3"/>
      <c r="N40" s="3"/>
    </row>
    <row r="41" spans="1:14" ht="17.149999999999999" customHeight="1" x14ac:dyDescent="0.35">
      <c r="A41" s="5" t="s">
        <v>24</v>
      </c>
      <c r="B41" s="3"/>
      <c r="C41" s="5" t="str">
        <f>C31</f>
        <v>Intérêts à payer</v>
      </c>
      <c r="D41" s="3"/>
      <c r="E41" s="3"/>
      <c r="F41" s="6">
        <f>G36</f>
        <v>5463.7968000000001</v>
      </c>
      <c r="G41" s="6"/>
      <c r="H41" s="3"/>
      <c r="I41" s="3"/>
      <c r="J41" s="3"/>
      <c r="K41" s="3"/>
      <c r="L41" s="3"/>
      <c r="M41" s="3"/>
      <c r="N41" s="3"/>
    </row>
    <row r="42" spans="1:14" ht="17.149999999999999" customHeight="1" x14ac:dyDescent="0.35">
      <c r="A42" s="3"/>
      <c r="B42" s="3"/>
      <c r="C42" s="5" t="str">
        <f>C32</f>
        <v>Dette locative</v>
      </c>
      <c r="D42" s="3"/>
      <c r="E42" s="3"/>
      <c r="F42" s="6">
        <f>G43-F41</f>
        <v>25889.2032</v>
      </c>
      <c r="G42" s="6"/>
      <c r="H42" s="3"/>
      <c r="I42" s="3"/>
      <c r="J42" s="3"/>
      <c r="K42" s="3"/>
      <c r="L42" s="3"/>
      <c r="M42" s="3"/>
      <c r="N42" s="3"/>
    </row>
    <row r="43" spans="1:14" ht="17.149999999999999" customHeight="1" x14ac:dyDescent="0.35">
      <c r="A43" s="3"/>
      <c r="B43" s="3"/>
      <c r="C43" s="3"/>
      <c r="D43" s="5" t="str">
        <f>D33</f>
        <v>Encaisse</v>
      </c>
      <c r="E43" s="3"/>
      <c r="F43" s="6"/>
      <c r="G43" s="6">
        <f>K11</f>
        <v>31353</v>
      </c>
      <c r="H43" s="3"/>
      <c r="I43" s="3"/>
      <c r="J43" s="3"/>
      <c r="K43" s="3"/>
      <c r="L43" s="3"/>
      <c r="M43" s="3"/>
      <c r="N43" s="3"/>
    </row>
    <row r="44" spans="1:14" ht="17.149999999999999" customHeight="1" x14ac:dyDescent="0.35">
      <c r="A44" s="3"/>
      <c r="B44" s="3"/>
      <c r="C44" s="3"/>
      <c r="D44" s="3"/>
      <c r="E44" s="3"/>
      <c r="F44" s="6"/>
      <c r="G44" s="6"/>
      <c r="H44" s="3"/>
      <c r="I44" s="3"/>
      <c r="J44" s="3"/>
      <c r="K44" s="3"/>
      <c r="L44" s="3"/>
      <c r="M44" s="3"/>
      <c r="N44" s="3"/>
    </row>
    <row r="45" spans="1:14" ht="17.149999999999999" customHeight="1" x14ac:dyDescent="0.35">
      <c r="A45" s="5" t="s">
        <v>25</v>
      </c>
      <c r="B45" s="3"/>
      <c r="C45" s="5" t="str">
        <f>C35</f>
        <v>Charge d'intérêts</v>
      </c>
      <c r="D45" s="3"/>
      <c r="E45" s="3"/>
      <c r="F45" s="6">
        <f>L12</f>
        <v>2357.0924159999995</v>
      </c>
      <c r="G45" s="6"/>
      <c r="H45" s="3"/>
      <c r="I45" s="3"/>
      <c r="J45" s="3"/>
      <c r="K45" s="3"/>
      <c r="L45" s="3"/>
      <c r="M45" s="3"/>
      <c r="N45" s="3"/>
    </row>
    <row r="46" spans="1:14" ht="17.149999999999999" customHeight="1" x14ac:dyDescent="0.35">
      <c r="A46" s="8"/>
      <c r="B46" s="3"/>
      <c r="C46" s="5" t="str">
        <f>C42</f>
        <v>Dette locative</v>
      </c>
      <c r="D46" s="3"/>
      <c r="E46" s="3"/>
      <c r="F46" s="6">
        <f>G47-F45</f>
        <v>19642.907584</v>
      </c>
      <c r="G46" s="6"/>
      <c r="H46" s="3"/>
      <c r="I46" s="3"/>
      <c r="J46" s="3"/>
      <c r="K46" s="3"/>
      <c r="L46" s="3"/>
      <c r="M46" s="3"/>
      <c r="N46" s="3"/>
    </row>
    <row r="47" spans="1:14" ht="17.149999999999999" customHeight="1" x14ac:dyDescent="0.35">
      <c r="A47" s="3"/>
      <c r="B47" s="3"/>
      <c r="C47" s="3"/>
      <c r="D47" s="10" t="str">
        <f>C19</f>
        <v>Équipement loué</v>
      </c>
      <c r="E47" s="3"/>
      <c r="F47" s="6"/>
      <c r="G47" s="6">
        <f>K12</f>
        <v>22000</v>
      </c>
      <c r="H47" s="3"/>
      <c r="I47" s="3"/>
      <c r="J47" s="3"/>
      <c r="K47" s="3"/>
      <c r="L47" s="3"/>
      <c r="M47" s="3"/>
      <c r="N47" s="3"/>
    </row>
    <row r="48" spans="1:14" ht="17.149999999999999" customHeight="1" x14ac:dyDescent="0.35">
      <c r="A48" s="3"/>
      <c r="B48" s="3"/>
      <c r="C48" s="3"/>
      <c r="D48" s="3"/>
      <c r="E48" s="3"/>
      <c r="F48" s="6"/>
      <c r="G48" s="6"/>
      <c r="H48" s="3"/>
      <c r="I48" s="3"/>
      <c r="J48" s="3"/>
      <c r="K48" s="3"/>
      <c r="L48" s="3"/>
      <c r="M48" s="3"/>
      <c r="N48" s="3"/>
    </row>
    <row r="49" spans="1:14" ht="17.149999999999999" customHeight="1" x14ac:dyDescent="0.35">
      <c r="A49" s="3"/>
      <c r="B49" s="3"/>
      <c r="C49" s="5" t="str">
        <f>C38</f>
        <v>Amortissement</v>
      </c>
      <c r="D49" s="3"/>
      <c r="E49" s="3"/>
      <c r="F49" s="6">
        <f>F38</f>
        <v>26000</v>
      </c>
      <c r="G49" s="6"/>
      <c r="H49" s="3"/>
      <c r="I49" s="3"/>
      <c r="J49" s="3"/>
      <c r="K49" s="3"/>
      <c r="L49" s="3"/>
      <c r="M49" s="3"/>
      <c r="N49" s="3"/>
    </row>
    <row r="50" spans="1:14" ht="17.149999999999999" customHeight="1" x14ac:dyDescent="0.35">
      <c r="A50" s="3"/>
      <c r="B50" s="3"/>
      <c r="C50" s="3"/>
      <c r="D50" s="5" t="str">
        <f>D39</f>
        <v>Amortissement cumulé</v>
      </c>
      <c r="E50" s="3"/>
      <c r="F50" s="6"/>
      <c r="G50" s="6">
        <f>G39</f>
        <v>26000</v>
      </c>
      <c r="H50" s="3"/>
      <c r="I50" s="3"/>
      <c r="J50" s="3"/>
      <c r="K50" s="3"/>
      <c r="L50" s="3"/>
      <c r="M50" s="3"/>
      <c r="N50" s="3"/>
    </row>
    <row r="51" spans="1:14" ht="17.149999999999999" customHeight="1" x14ac:dyDescent="0.35">
      <c r="A51" s="3"/>
      <c r="B51" s="3"/>
      <c r="C51" s="3"/>
      <c r="D51" s="3"/>
      <c r="E51" s="3"/>
      <c r="F51" s="6"/>
      <c r="G51" s="6"/>
      <c r="H51" s="3"/>
      <c r="I51" s="3"/>
      <c r="J51" s="3"/>
      <c r="K51" s="3"/>
      <c r="L51" s="3"/>
      <c r="M51" s="3"/>
      <c r="N51" s="3"/>
    </row>
    <row r="52" spans="1:14" ht="17.149999999999999" customHeight="1" x14ac:dyDescent="0.35">
      <c r="A52" s="8"/>
      <c r="B52" s="3"/>
      <c r="C52" s="5" t="s">
        <v>21</v>
      </c>
      <c r="D52" s="3"/>
      <c r="E52" s="3"/>
      <c r="F52" s="6">
        <f>3*26000</f>
        <v>78000</v>
      </c>
      <c r="G52" s="6"/>
      <c r="H52" s="3"/>
      <c r="I52" s="3"/>
      <c r="J52" s="3"/>
      <c r="K52" s="3"/>
      <c r="L52" s="3"/>
      <c r="M52" s="3"/>
      <c r="N52" s="3"/>
    </row>
    <row r="53" spans="1:14" ht="17.149999999999999" customHeight="1" x14ac:dyDescent="0.35">
      <c r="A53" s="3"/>
      <c r="B53" s="3"/>
      <c r="C53" s="3"/>
      <c r="D53" s="5" t="s">
        <v>14</v>
      </c>
      <c r="E53" s="3"/>
      <c r="F53" s="6"/>
      <c r="G53" s="6">
        <f>F52</f>
        <v>78000</v>
      </c>
      <c r="H53" s="3"/>
      <c r="I53" s="3"/>
      <c r="J53" s="3"/>
      <c r="K53" s="3"/>
      <c r="L53" s="3"/>
      <c r="M53" s="3"/>
      <c r="N53" s="3"/>
    </row>
    <row r="54" spans="1:14" ht="17.149999999999999" customHeight="1" x14ac:dyDescent="0.35">
      <c r="A54" s="3"/>
      <c r="B54" s="3"/>
      <c r="C54" s="3"/>
      <c r="D54" s="3"/>
      <c r="E54" s="3"/>
      <c r="F54" s="6"/>
      <c r="G54" s="6"/>
      <c r="H54" s="3"/>
      <c r="I54" s="3"/>
      <c r="J54" s="3"/>
      <c r="K54" s="3"/>
      <c r="L54" s="3"/>
      <c r="M54" s="3"/>
      <c r="N54" s="3"/>
    </row>
    <row r="55" spans="1:14" ht="17.149999999999999" customHeight="1" x14ac:dyDescent="0.35">
      <c r="A55" s="3"/>
      <c r="B55" s="3"/>
      <c r="C55" s="3"/>
      <c r="D55" s="3"/>
      <c r="E55" s="3"/>
      <c r="F55" s="6"/>
      <c r="G55" s="6"/>
      <c r="H55" s="3"/>
      <c r="I55" s="3"/>
      <c r="J55" s="3"/>
      <c r="K55" s="3"/>
      <c r="L55" s="3"/>
      <c r="M55" s="3"/>
      <c r="N55" s="3"/>
    </row>
    <row r="56" spans="1:14" ht="17.149999999999999" customHeight="1" x14ac:dyDescent="0.35">
      <c r="A56" s="8"/>
      <c r="B56" s="3"/>
      <c r="C56" s="3"/>
      <c r="D56" s="3"/>
      <c r="E56" s="3"/>
      <c r="F56" s="6"/>
      <c r="G56" s="6"/>
      <c r="H56" s="3"/>
      <c r="I56" s="3"/>
      <c r="J56" s="3"/>
      <c r="K56" s="3"/>
      <c r="L56" s="3"/>
      <c r="M56" s="3"/>
      <c r="N56" s="3"/>
    </row>
    <row r="57" spans="1:14" ht="17.149999999999999" customHeight="1" x14ac:dyDescent="0.35">
      <c r="A57" s="3"/>
      <c r="B57" s="3"/>
      <c r="C57" s="3"/>
      <c r="D57" s="3"/>
      <c r="E57" s="3"/>
      <c r="F57" s="6"/>
      <c r="G57" s="6"/>
      <c r="H57" s="3"/>
      <c r="I57" s="3"/>
      <c r="J57" s="3"/>
      <c r="K57" s="3"/>
      <c r="L57" s="3"/>
      <c r="M57" s="3"/>
      <c r="N57" s="3"/>
    </row>
    <row r="58" spans="1:14" ht="17.149999999999999" customHeight="1" x14ac:dyDescent="0.35">
      <c r="A58" s="3"/>
      <c r="B58" s="3"/>
      <c r="C58" s="3"/>
      <c r="D58" s="3"/>
      <c r="E58" s="3"/>
      <c r="F58" s="6"/>
      <c r="G58" s="6"/>
      <c r="H58" s="3"/>
      <c r="I58" s="3"/>
      <c r="J58" s="3"/>
      <c r="K58" s="3"/>
      <c r="L58" s="3"/>
      <c r="M58" s="3"/>
      <c r="N58" s="3"/>
    </row>
    <row r="59" spans="1:14" ht="17.149999999999999" customHeight="1" x14ac:dyDescent="0.35">
      <c r="A59" s="3"/>
      <c r="B59" s="3"/>
      <c r="C59" s="3"/>
      <c r="D59" s="3"/>
      <c r="E59" s="3"/>
      <c r="F59" s="6"/>
      <c r="G59" s="6"/>
      <c r="H59" s="3"/>
      <c r="I59" s="3"/>
      <c r="J59" s="3"/>
      <c r="K59" s="3"/>
      <c r="L59" s="3"/>
      <c r="M59" s="3"/>
      <c r="N59" s="3"/>
    </row>
    <row r="60" spans="1:14" ht="17.149999999999999" customHeight="1" x14ac:dyDescent="0.35">
      <c r="A60" s="3"/>
      <c r="B60" s="3"/>
      <c r="C60" s="3"/>
      <c r="D60" s="3"/>
      <c r="E60" s="3"/>
      <c r="F60" s="6"/>
      <c r="G60" s="6"/>
      <c r="H60" s="3"/>
      <c r="I60" s="3"/>
      <c r="J60" s="3"/>
      <c r="K60" s="3"/>
      <c r="L60" s="3"/>
      <c r="M60" s="3"/>
      <c r="N60" s="3"/>
    </row>
    <row r="61" spans="1:14" ht="17.149999999999999" customHeight="1" x14ac:dyDescent="0.35">
      <c r="A61" s="3"/>
      <c r="B61" s="3"/>
      <c r="C61" s="3"/>
      <c r="D61" s="3"/>
      <c r="E61" s="3"/>
      <c r="F61" s="6"/>
      <c r="G61" s="6"/>
      <c r="H61" s="3"/>
      <c r="I61" s="3"/>
      <c r="J61" s="3"/>
      <c r="K61" s="3"/>
      <c r="L61" s="3"/>
      <c r="M61" s="3"/>
      <c r="N61" s="3"/>
    </row>
    <row r="62" spans="1:14" ht="17.149999999999999" customHeight="1" x14ac:dyDescent="0.35">
      <c r="A62" s="3"/>
      <c r="B62" s="3"/>
      <c r="C62" s="3"/>
      <c r="D62" s="3"/>
      <c r="E62" s="3"/>
      <c r="F62" s="6"/>
      <c r="G62" s="6"/>
      <c r="H62" s="3"/>
      <c r="I62" s="3"/>
      <c r="J62" s="3"/>
      <c r="K62" s="3"/>
      <c r="L62" s="3"/>
      <c r="M62" s="3"/>
      <c r="N62" s="3"/>
    </row>
    <row r="63" spans="1:14" ht="17.149999999999999" customHeight="1" x14ac:dyDescent="0.35">
      <c r="A63" s="3"/>
      <c r="B63" s="3"/>
      <c r="C63" s="3"/>
      <c r="D63" s="3"/>
      <c r="E63" s="3"/>
      <c r="F63" s="6"/>
      <c r="G63" s="6"/>
      <c r="H63" s="3"/>
      <c r="I63" s="3"/>
      <c r="J63" s="3"/>
      <c r="K63" s="3"/>
      <c r="L63" s="3"/>
      <c r="M63" s="3"/>
      <c r="N63" s="3"/>
    </row>
  </sheetData>
  <pageMargins left="0.75" right="0.75" top="1" bottom="1" header="0.5" footer="0.5"/>
  <pageSetup scale="58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59"/>
  <sheetViews>
    <sheetView showGridLines="0" workbookViewId="0">
      <selection activeCell="E10" sqref="E10"/>
    </sheetView>
  </sheetViews>
  <sheetFormatPr baseColWidth="10" defaultColWidth="6.59765625" defaultRowHeight="15" customHeight="1" x14ac:dyDescent="0.35"/>
  <cols>
    <col min="1" max="1" width="8.59765625" style="11" customWidth="1"/>
    <col min="2" max="9" width="6.59765625" style="11" customWidth="1"/>
    <col min="10" max="10" width="9.46484375" style="11" customWidth="1"/>
    <col min="11" max="256" width="6.59765625" style="11" customWidth="1"/>
  </cols>
  <sheetData>
    <row r="1" spans="1:14" ht="18.75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7.149999999999999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149999999999999" customHeight="1" x14ac:dyDescent="0.35">
      <c r="A3" s="4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7.149999999999999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7.149999999999999" customHeight="1" x14ac:dyDescent="0.35">
      <c r="A5" s="5" t="s">
        <v>2</v>
      </c>
      <c r="B5" s="3"/>
      <c r="C5" s="3"/>
      <c r="D5" s="6">
        <v>100000</v>
      </c>
      <c r="E5" s="5" t="s">
        <v>3</v>
      </c>
      <c r="F5" s="3"/>
      <c r="G5" s="3"/>
      <c r="H5" s="3"/>
      <c r="I5" s="3"/>
      <c r="J5" s="3"/>
      <c r="K5" s="3"/>
      <c r="L5" s="7">
        <f>D11</f>
        <v>0.12</v>
      </c>
      <c r="M5" s="3"/>
      <c r="N5" s="3"/>
    </row>
    <row r="6" spans="1:14" ht="17.149999999999999" customHeight="1" x14ac:dyDescent="0.35">
      <c r="A6" s="5" t="s">
        <v>4</v>
      </c>
      <c r="B6" s="3"/>
      <c r="C6" s="3"/>
      <c r="D6" s="5">
        <v>4</v>
      </c>
      <c r="E6" s="5" t="s">
        <v>5</v>
      </c>
      <c r="F6" s="3"/>
      <c r="G6" s="3"/>
      <c r="H6" s="3"/>
      <c r="I6" s="3"/>
      <c r="J6" s="3"/>
      <c r="K6" s="6"/>
      <c r="L6" s="6"/>
      <c r="M6" s="6">
        <v>84341</v>
      </c>
      <c r="N6" s="6"/>
    </row>
    <row r="7" spans="1:14" ht="17.149999999999999" customHeight="1" x14ac:dyDescent="0.35">
      <c r="A7" s="5" t="s">
        <v>6</v>
      </c>
      <c r="B7" s="3"/>
      <c r="C7" s="3"/>
      <c r="D7" s="5">
        <v>0</v>
      </c>
      <c r="E7" s="3"/>
      <c r="F7" s="3"/>
      <c r="G7" s="3"/>
      <c r="H7" s="3"/>
      <c r="I7" s="3"/>
      <c r="J7" s="5" t="s">
        <v>13</v>
      </c>
      <c r="K7" s="6">
        <f>F$14</f>
        <v>31353</v>
      </c>
      <c r="L7" s="6"/>
      <c r="M7" s="6">
        <f>M6-K7+L7</f>
        <v>52988</v>
      </c>
      <c r="N7" s="6"/>
    </row>
    <row r="8" spans="1:14" ht="17.149999999999999" customHeight="1" x14ac:dyDescent="0.35">
      <c r="A8" s="3"/>
      <c r="B8" s="3"/>
      <c r="C8" s="3"/>
      <c r="D8" s="3"/>
      <c r="E8" s="3"/>
      <c r="F8" s="3"/>
      <c r="G8" s="3"/>
      <c r="H8" s="3"/>
      <c r="I8" s="3"/>
      <c r="J8" s="5" t="s">
        <v>17</v>
      </c>
      <c r="K8" s="6"/>
      <c r="L8" s="6">
        <f>M7*L$5</f>
        <v>6358.5599999999995</v>
      </c>
      <c r="M8" s="6">
        <f>M7-K8+L8</f>
        <v>59346.559999999998</v>
      </c>
      <c r="N8" s="6"/>
    </row>
    <row r="9" spans="1:14" ht="17.149999999999999" customHeight="1" x14ac:dyDescent="0.35">
      <c r="A9" s="4" t="s">
        <v>7</v>
      </c>
      <c r="B9" s="3"/>
      <c r="C9" s="3"/>
      <c r="D9" s="3"/>
      <c r="E9" s="3"/>
      <c r="F9" s="3"/>
      <c r="G9" s="3"/>
      <c r="H9" s="3"/>
      <c r="I9" s="3"/>
      <c r="J9" s="5" t="s">
        <v>22</v>
      </c>
      <c r="K9" s="6">
        <f>K7</f>
        <v>31353</v>
      </c>
      <c r="L9" s="6"/>
      <c r="M9" s="6">
        <f>M8-K9+L9</f>
        <v>27993.559999999998</v>
      </c>
      <c r="N9" s="6"/>
    </row>
    <row r="10" spans="1:14" ht="17.149999999999999" customHeight="1" x14ac:dyDescent="0.35">
      <c r="A10" s="5" t="s">
        <v>8</v>
      </c>
      <c r="B10" s="3"/>
      <c r="C10" s="3"/>
      <c r="D10" s="5">
        <v>3</v>
      </c>
      <c r="E10" s="5" t="s">
        <v>5</v>
      </c>
      <c r="F10" s="3"/>
      <c r="G10" s="3"/>
      <c r="H10" s="3"/>
      <c r="I10" s="3"/>
      <c r="J10" s="5" t="s">
        <v>23</v>
      </c>
      <c r="K10" s="6"/>
      <c r="L10" s="6">
        <f>M9*L$5</f>
        <v>3359.2271999999998</v>
      </c>
      <c r="M10" s="6">
        <f>M9-K10+L10</f>
        <v>31352.787199999999</v>
      </c>
      <c r="N10" s="6"/>
    </row>
    <row r="11" spans="1:14" ht="17.149999999999999" customHeight="1" x14ac:dyDescent="0.35">
      <c r="A11" s="5" t="s">
        <v>9</v>
      </c>
      <c r="B11" s="3"/>
      <c r="C11" s="3"/>
      <c r="D11" s="7">
        <v>0.12</v>
      </c>
      <c r="E11" s="3"/>
      <c r="F11" s="3"/>
      <c r="G11" s="3"/>
      <c r="H11" s="3"/>
      <c r="I11" s="3"/>
      <c r="J11" s="5" t="s">
        <v>24</v>
      </c>
      <c r="K11" s="6">
        <f>K9</f>
        <v>31353</v>
      </c>
      <c r="L11" s="6"/>
      <c r="M11" s="6">
        <f>M10-K11+L11</f>
        <v>-0.21280000000115251</v>
      </c>
      <c r="N11" s="6"/>
    </row>
    <row r="12" spans="1:14" ht="17.149999999999999" customHeight="1" x14ac:dyDescent="0.35">
      <c r="A12" s="5" t="s">
        <v>30</v>
      </c>
      <c r="B12" s="3"/>
      <c r="C12" s="3"/>
      <c r="D12" s="6">
        <v>22000</v>
      </c>
      <c r="E12" s="3"/>
      <c r="F12" s="3"/>
      <c r="G12" s="3"/>
      <c r="H12" s="3"/>
      <c r="I12" s="3"/>
      <c r="J12" s="8"/>
      <c r="K12" s="6"/>
      <c r="L12" s="6"/>
      <c r="M12" s="6"/>
      <c r="N12" s="6"/>
    </row>
    <row r="13" spans="1:14" ht="17.149999999999999" customHeight="1" x14ac:dyDescent="0.35">
      <c r="A13" s="5" t="s">
        <v>10</v>
      </c>
      <c r="B13" s="3"/>
      <c r="C13" s="3"/>
      <c r="D13" s="3"/>
      <c r="E13" s="3"/>
      <c r="F13" s="3"/>
      <c r="G13" s="3"/>
      <c r="H13" s="3"/>
      <c r="I13" s="3"/>
      <c r="J13" s="8"/>
      <c r="K13" s="6"/>
      <c r="L13" s="6"/>
      <c r="M13" s="6"/>
      <c r="N13" s="6"/>
    </row>
    <row r="14" spans="1:14" ht="17.149999999999999" customHeight="1" x14ac:dyDescent="0.35">
      <c r="A14" s="3"/>
      <c r="B14" s="5" t="s">
        <v>11</v>
      </c>
      <c r="C14" s="3"/>
      <c r="D14" s="3"/>
      <c r="E14" s="3"/>
      <c r="F14" s="6">
        <v>31353</v>
      </c>
      <c r="G14" s="3"/>
      <c r="H14" s="3"/>
      <c r="I14" s="3"/>
      <c r="J14" s="3"/>
      <c r="K14" s="3"/>
      <c r="L14" s="3"/>
      <c r="M14" s="3"/>
      <c r="N14" s="6"/>
    </row>
    <row r="15" spans="1:14" ht="17.149999999999999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8"/>
      <c r="K15" s="6"/>
      <c r="L15" s="6"/>
      <c r="M15" s="6"/>
      <c r="N15" s="6"/>
    </row>
    <row r="16" spans="1:14" ht="17.149999999999999" customHeight="1" x14ac:dyDescent="0.35">
      <c r="A16" s="4" t="s">
        <v>12</v>
      </c>
      <c r="B16" s="3"/>
      <c r="C16" s="3"/>
      <c r="D16" s="3"/>
      <c r="E16" s="3"/>
      <c r="F16" s="3"/>
      <c r="G16" s="3"/>
      <c r="H16" s="3"/>
      <c r="I16" s="3"/>
      <c r="J16" s="8"/>
      <c r="K16" s="6"/>
      <c r="L16" s="6"/>
      <c r="M16" s="6"/>
      <c r="N16" s="6"/>
    </row>
    <row r="17" spans="1:14" ht="17.149999999999999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8"/>
      <c r="K17" s="3"/>
      <c r="L17" s="3"/>
      <c r="M17" s="6"/>
      <c r="N17" s="3"/>
    </row>
    <row r="18" spans="1:14" ht="17.149999999999999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8"/>
      <c r="K18" s="3"/>
      <c r="L18" s="3"/>
      <c r="M18" s="6"/>
      <c r="N18" s="3"/>
    </row>
    <row r="19" spans="1:14" ht="17.149999999999999" customHeight="1" x14ac:dyDescent="0.35">
      <c r="A19" s="5" t="s">
        <v>13</v>
      </c>
      <c r="B19" s="3"/>
      <c r="C19" s="5" t="s">
        <v>14</v>
      </c>
      <c r="D19" s="3"/>
      <c r="E19" s="3"/>
      <c r="F19" s="6">
        <f>G20</f>
        <v>84341</v>
      </c>
      <c r="G19" s="3"/>
      <c r="H19" s="3"/>
      <c r="I19" s="3"/>
      <c r="J19" s="3"/>
      <c r="K19" s="3"/>
      <c r="L19" s="3"/>
      <c r="M19" s="6"/>
      <c r="N19" s="3"/>
    </row>
    <row r="20" spans="1:14" ht="17.149999999999999" customHeight="1" x14ac:dyDescent="0.35">
      <c r="A20" s="3"/>
      <c r="B20" s="3"/>
      <c r="C20" s="3"/>
      <c r="D20" s="5" t="s">
        <v>15</v>
      </c>
      <c r="E20" s="3"/>
      <c r="F20" s="3"/>
      <c r="G20" s="6">
        <f>M6</f>
        <v>84341</v>
      </c>
      <c r="H20" s="3"/>
      <c r="I20" s="3"/>
      <c r="J20" s="3"/>
      <c r="K20" s="3"/>
      <c r="L20" s="3"/>
      <c r="M20" s="3"/>
      <c r="N20" s="3"/>
    </row>
    <row r="21" spans="1:14" ht="17.149999999999999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7.149999999999999" customHeight="1" x14ac:dyDescent="0.35">
      <c r="A22" s="3"/>
      <c r="B22" s="3"/>
      <c r="C22" s="5" t="str">
        <f>D20</f>
        <v>Dette locative</v>
      </c>
      <c r="D22" s="3"/>
      <c r="E22" s="3"/>
      <c r="F22" s="6">
        <f>G23</f>
        <v>31353</v>
      </c>
      <c r="G22" s="3"/>
      <c r="H22" s="3"/>
      <c r="I22" s="3"/>
      <c r="J22" s="3"/>
      <c r="K22" s="3"/>
      <c r="L22" s="3"/>
      <c r="M22" s="3"/>
      <c r="N22" s="3"/>
    </row>
    <row r="23" spans="1:14" ht="17.149999999999999" customHeight="1" x14ac:dyDescent="0.35">
      <c r="A23" s="3"/>
      <c r="B23" s="3"/>
      <c r="C23" s="3"/>
      <c r="D23" s="5" t="s">
        <v>16</v>
      </c>
      <c r="E23" s="3"/>
      <c r="F23" s="3"/>
      <c r="G23" s="6">
        <f>K7</f>
        <v>31353</v>
      </c>
      <c r="H23" s="3"/>
      <c r="I23" s="3"/>
      <c r="J23" s="3"/>
      <c r="K23" s="3"/>
      <c r="L23" s="3"/>
      <c r="M23" s="3"/>
      <c r="N23" s="3"/>
    </row>
    <row r="24" spans="1:14" ht="17.149999999999999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7.149999999999999" customHeight="1" x14ac:dyDescent="0.35">
      <c r="A25" s="5" t="s">
        <v>17</v>
      </c>
      <c r="B25" s="3"/>
      <c r="C25" s="5" t="s">
        <v>18</v>
      </c>
      <c r="D25" s="3"/>
      <c r="E25" s="3"/>
      <c r="F25" s="6">
        <f>G26</f>
        <v>6358.5599999999995</v>
      </c>
      <c r="G25" s="3"/>
      <c r="H25" s="3"/>
      <c r="I25" s="3"/>
      <c r="J25" s="3"/>
      <c r="K25" s="3"/>
      <c r="L25" s="3"/>
      <c r="M25" s="3"/>
      <c r="N25" s="3"/>
    </row>
    <row r="26" spans="1:14" ht="17.149999999999999" customHeight="1" x14ac:dyDescent="0.35">
      <c r="A26" s="3"/>
      <c r="B26" s="3"/>
      <c r="C26" s="3"/>
      <c r="D26" s="5" t="s">
        <v>19</v>
      </c>
      <c r="E26" s="3"/>
      <c r="F26" s="3"/>
      <c r="G26" s="6">
        <f>L8</f>
        <v>6358.5599999999995</v>
      </c>
      <c r="H26" s="3"/>
      <c r="I26" s="3"/>
      <c r="J26" s="3"/>
      <c r="K26" s="3"/>
      <c r="L26" s="3"/>
      <c r="M26" s="3"/>
      <c r="N26" s="3"/>
    </row>
    <row r="27" spans="1:14" ht="17.149999999999999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7.149999999999999" customHeight="1" x14ac:dyDescent="0.35">
      <c r="A28" s="3"/>
      <c r="B28" s="3"/>
      <c r="C28" s="5" t="s">
        <v>20</v>
      </c>
      <c r="D28" s="3"/>
      <c r="E28" s="3"/>
      <c r="F28" s="6">
        <f>F19/D10</f>
        <v>28113.666666666668</v>
      </c>
      <c r="G28" s="6"/>
      <c r="H28" s="3"/>
      <c r="I28" s="3"/>
      <c r="J28" s="3"/>
      <c r="K28" s="3"/>
      <c r="L28" s="3"/>
      <c r="M28" s="3"/>
      <c r="N28" s="3"/>
    </row>
    <row r="29" spans="1:14" ht="17.149999999999999" customHeight="1" x14ac:dyDescent="0.35">
      <c r="A29" s="3"/>
      <c r="B29" s="3"/>
      <c r="C29" s="3"/>
      <c r="D29" s="5" t="s">
        <v>21</v>
      </c>
      <c r="E29" s="3"/>
      <c r="F29" s="6"/>
      <c r="G29" s="6">
        <f>F28</f>
        <v>28113.666666666668</v>
      </c>
      <c r="H29" s="3"/>
      <c r="I29" s="3"/>
      <c r="J29" s="3"/>
      <c r="K29" s="3"/>
      <c r="L29" s="3"/>
      <c r="M29" s="3"/>
      <c r="N29" s="3"/>
    </row>
    <row r="30" spans="1:14" ht="17.149999999999999" customHeight="1" x14ac:dyDescent="0.35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  <c r="L30" s="3"/>
      <c r="M30" s="3"/>
      <c r="N30" s="3"/>
    </row>
    <row r="31" spans="1:14" ht="17.149999999999999" customHeight="1" x14ac:dyDescent="0.35">
      <c r="A31" s="5" t="s">
        <v>22</v>
      </c>
      <c r="B31" s="3"/>
      <c r="C31" s="5" t="str">
        <f>D26</f>
        <v>Intérêts à payer</v>
      </c>
      <c r="D31" s="3"/>
      <c r="E31" s="3"/>
      <c r="F31" s="6">
        <f>G26</f>
        <v>6358.5599999999995</v>
      </c>
      <c r="G31" s="6"/>
      <c r="H31" s="3"/>
      <c r="I31" s="3"/>
      <c r="J31" s="3"/>
      <c r="K31" s="3"/>
      <c r="L31" s="3"/>
      <c r="M31" s="3"/>
      <c r="N31" s="3"/>
    </row>
    <row r="32" spans="1:14" ht="17.149999999999999" customHeight="1" x14ac:dyDescent="0.35">
      <c r="A32" s="3"/>
      <c r="B32" s="3"/>
      <c r="C32" s="5" t="str">
        <f>C22</f>
        <v>Dette locative</v>
      </c>
      <c r="D32" s="3"/>
      <c r="E32" s="3"/>
      <c r="F32" s="6">
        <f>G33-F31</f>
        <v>24994.440000000002</v>
      </c>
      <c r="G32" s="6"/>
      <c r="H32" s="3"/>
      <c r="I32" s="3"/>
      <c r="J32" s="3"/>
      <c r="K32" s="3"/>
      <c r="L32" s="3"/>
      <c r="M32" s="3"/>
      <c r="N32" s="3"/>
    </row>
    <row r="33" spans="1:14" ht="17.149999999999999" customHeight="1" x14ac:dyDescent="0.35">
      <c r="A33" s="3"/>
      <c r="B33" s="3"/>
      <c r="C33" s="3"/>
      <c r="D33" s="5" t="str">
        <f>D23</f>
        <v>Encaisse</v>
      </c>
      <c r="E33" s="3"/>
      <c r="F33" s="6"/>
      <c r="G33" s="6">
        <f>K9</f>
        <v>31353</v>
      </c>
      <c r="H33" s="3"/>
      <c r="I33" s="3"/>
      <c r="J33" s="3"/>
      <c r="K33" s="3"/>
      <c r="L33" s="3"/>
      <c r="M33" s="3"/>
      <c r="N33" s="3"/>
    </row>
    <row r="34" spans="1:14" ht="17.149999999999999" customHeight="1" x14ac:dyDescent="0.35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  <c r="L34" s="3"/>
      <c r="M34" s="3"/>
      <c r="N34" s="3"/>
    </row>
    <row r="35" spans="1:14" ht="17.149999999999999" customHeight="1" x14ac:dyDescent="0.35">
      <c r="A35" s="5" t="s">
        <v>23</v>
      </c>
      <c r="B35" s="3"/>
      <c r="C35" s="5" t="str">
        <f>C25</f>
        <v>Charge d'intérêts</v>
      </c>
      <c r="D35" s="3"/>
      <c r="E35" s="3"/>
      <c r="F35" s="6">
        <f>G36</f>
        <v>3359.2271999999998</v>
      </c>
      <c r="G35" s="6"/>
      <c r="H35" s="3"/>
      <c r="I35" s="3"/>
      <c r="J35" s="3"/>
      <c r="K35" s="3"/>
      <c r="L35" s="3"/>
      <c r="M35" s="3"/>
      <c r="N35" s="3"/>
    </row>
    <row r="36" spans="1:14" ht="17.149999999999999" customHeight="1" x14ac:dyDescent="0.35">
      <c r="A36" s="3"/>
      <c r="B36" s="3"/>
      <c r="C36" s="3"/>
      <c r="D36" s="5" t="str">
        <f>D26</f>
        <v>Intérêts à payer</v>
      </c>
      <c r="E36" s="3"/>
      <c r="F36" s="6"/>
      <c r="G36" s="6">
        <f>L10</f>
        <v>3359.2271999999998</v>
      </c>
      <c r="H36" s="3"/>
      <c r="I36" s="3"/>
      <c r="J36" s="3"/>
      <c r="K36" s="3"/>
      <c r="L36" s="3"/>
      <c r="M36" s="3"/>
      <c r="N36" s="3"/>
    </row>
    <row r="37" spans="1:14" ht="17.149999999999999" customHeight="1" x14ac:dyDescent="0.35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  <c r="L37" s="3"/>
      <c r="M37" s="3"/>
      <c r="N37" s="3"/>
    </row>
    <row r="38" spans="1:14" ht="17.149999999999999" customHeight="1" x14ac:dyDescent="0.35">
      <c r="A38" s="3"/>
      <c r="B38" s="3"/>
      <c r="C38" s="5" t="str">
        <f>C28</f>
        <v>Amortissement</v>
      </c>
      <c r="D38" s="3"/>
      <c r="E38" s="3"/>
      <c r="F38" s="6">
        <f>F28</f>
        <v>28113.666666666668</v>
      </c>
      <c r="G38" s="6"/>
      <c r="H38" s="3"/>
      <c r="I38" s="3"/>
      <c r="J38" s="3"/>
      <c r="K38" s="3"/>
      <c r="L38" s="3"/>
      <c r="M38" s="3"/>
      <c r="N38" s="3"/>
    </row>
    <row r="39" spans="1:14" ht="17.149999999999999" customHeight="1" x14ac:dyDescent="0.35">
      <c r="A39" s="3"/>
      <c r="B39" s="3"/>
      <c r="C39" s="3"/>
      <c r="D39" s="5" t="str">
        <f>D29</f>
        <v>Amortissement cumulé</v>
      </c>
      <c r="E39" s="3"/>
      <c r="F39" s="6"/>
      <c r="G39" s="6">
        <f>G29</f>
        <v>28113.666666666668</v>
      </c>
      <c r="H39" s="3"/>
      <c r="I39" s="3"/>
      <c r="J39" s="3"/>
      <c r="K39" s="3"/>
      <c r="L39" s="3"/>
      <c r="M39" s="3"/>
      <c r="N39" s="3"/>
    </row>
    <row r="40" spans="1:14" ht="17.149999999999999" customHeight="1" x14ac:dyDescent="0.35">
      <c r="A40" s="3"/>
      <c r="B40" s="3"/>
      <c r="C40" s="3"/>
      <c r="D40" s="3"/>
      <c r="E40" s="3"/>
      <c r="F40" s="6"/>
      <c r="G40" s="6"/>
      <c r="H40" s="3"/>
      <c r="I40" s="3"/>
      <c r="J40" s="3"/>
      <c r="K40" s="3"/>
      <c r="L40" s="3"/>
      <c r="M40" s="3"/>
      <c r="N40" s="3"/>
    </row>
    <row r="41" spans="1:14" ht="17.149999999999999" customHeight="1" x14ac:dyDescent="0.35">
      <c r="A41" s="5" t="s">
        <v>24</v>
      </c>
      <c r="B41" s="3"/>
      <c r="C41" s="5" t="str">
        <f>C31</f>
        <v>Intérêts à payer</v>
      </c>
      <c r="D41" s="3"/>
      <c r="E41" s="3"/>
      <c r="F41" s="6">
        <f>G36</f>
        <v>3359.2271999999998</v>
      </c>
      <c r="G41" s="6"/>
      <c r="H41" s="3"/>
      <c r="I41" s="3"/>
      <c r="J41" s="3"/>
      <c r="K41" s="3"/>
      <c r="L41" s="3"/>
      <c r="M41" s="3"/>
      <c r="N41" s="3"/>
    </row>
    <row r="42" spans="1:14" ht="17.149999999999999" customHeight="1" x14ac:dyDescent="0.35">
      <c r="A42" s="3"/>
      <c r="B42" s="3"/>
      <c r="C42" s="5" t="str">
        <f>C32</f>
        <v>Dette locative</v>
      </c>
      <c r="D42" s="3"/>
      <c r="E42" s="3"/>
      <c r="F42" s="6">
        <f>G43-F41</f>
        <v>27993.772799999999</v>
      </c>
      <c r="G42" s="6"/>
      <c r="H42" s="3"/>
      <c r="I42" s="3"/>
      <c r="J42" s="3"/>
      <c r="K42" s="3"/>
      <c r="L42" s="3"/>
      <c r="M42" s="3"/>
      <c r="N42" s="3"/>
    </row>
    <row r="43" spans="1:14" ht="17.149999999999999" customHeight="1" x14ac:dyDescent="0.35">
      <c r="A43" s="3"/>
      <c r="B43" s="3"/>
      <c r="C43" s="3"/>
      <c r="D43" s="5" t="str">
        <f>D33</f>
        <v>Encaisse</v>
      </c>
      <c r="E43" s="3"/>
      <c r="F43" s="6"/>
      <c r="G43" s="6">
        <f>K11</f>
        <v>31353</v>
      </c>
      <c r="H43" s="3"/>
      <c r="I43" s="3"/>
      <c r="J43" s="3"/>
      <c r="K43" s="3"/>
      <c r="L43" s="3"/>
      <c r="M43" s="3"/>
      <c r="N43" s="3"/>
    </row>
    <row r="44" spans="1:14" ht="17.149999999999999" customHeight="1" x14ac:dyDescent="0.35">
      <c r="A44" s="3"/>
      <c r="B44" s="3"/>
      <c r="C44" s="3"/>
      <c r="D44" s="3"/>
      <c r="E44" s="3"/>
      <c r="F44" s="6"/>
      <c r="G44" s="6"/>
      <c r="H44" s="3"/>
      <c r="I44" s="3"/>
      <c r="J44" s="3"/>
      <c r="K44" s="3"/>
      <c r="L44" s="3"/>
      <c r="M44" s="3"/>
      <c r="N44" s="3"/>
    </row>
    <row r="45" spans="1:14" ht="17.149999999999999" customHeight="1" x14ac:dyDescent="0.35">
      <c r="A45" s="5" t="s">
        <v>25</v>
      </c>
      <c r="B45" s="3"/>
      <c r="C45" s="5" t="str">
        <f>C38</f>
        <v>Amortissement</v>
      </c>
      <c r="D45" s="3"/>
      <c r="E45" s="3"/>
      <c r="F45" s="6">
        <f>F38</f>
        <v>28113.666666666668</v>
      </c>
      <c r="G45" s="6"/>
      <c r="H45" s="3"/>
      <c r="I45" s="3"/>
      <c r="J45" s="3"/>
      <c r="K45" s="3"/>
      <c r="L45" s="3"/>
      <c r="M45" s="3"/>
      <c r="N45" s="3"/>
    </row>
    <row r="46" spans="1:14" ht="17.149999999999999" customHeight="1" x14ac:dyDescent="0.35">
      <c r="A46" s="8"/>
      <c r="B46" s="3"/>
      <c r="C46" s="3"/>
      <c r="D46" s="5" t="str">
        <f>D39</f>
        <v>Amortissement cumulé</v>
      </c>
      <c r="E46" s="3"/>
      <c r="F46" s="6"/>
      <c r="G46" s="6">
        <f>G39</f>
        <v>28113.666666666668</v>
      </c>
      <c r="H46" s="3"/>
      <c r="I46" s="3"/>
      <c r="J46" s="3"/>
      <c r="K46" s="3"/>
      <c r="L46" s="3"/>
      <c r="M46" s="3"/>
      <c r="N46" s="3"/>
    </row>
    <row r="47" spans="1:14" ht="17.149999999999999" customHeight="1" x14ac:dyDescent="0.35">
      <c r="A47" s="3"/>
      <c r="B47" s="3"/>
      <c r="C47" s="3"/>
      <c r="D47" s="3"/>
      <c r="E47" s="3"/>
      <c r="F47" s="6"/>
      <c r="G47" s="6"/>
      <c r="H47" s="3"/>
      <c r="I47" s="3"/>
      <c r="J47" s="3"/>
      <c r="K47" s="3"/>
      <c r="L47" s="3"/>
      <c r="M47" s="3"/>
      <c r="N47" s="3"/>
    </row>
    <row r="48" spans="1:14" ht="17.149999999999999" customHeight="1" x14ac:dyDescent="0.35">
      <c r="A48" s="3"/>
      <c r="B48" s="3"/>
      <c r="C48" s="5" t="s">
        <v>21</v>
      </c>
      <c r="D48" s="3"/>
      <c r="E48" s="3"/>
      <c r="F48" s="6">
        <f>3*F45</f>
        <v>84341</v>
      </c>
      <c r="G48" s="6"/>
      <c r="H48" s="3"/>
      <c r="I48" s="3"/>
      <c r="J48" s="3"/>
      <c r="K48" s="3"/>
      <c r="L48" s="3"/>
      <c r="M48" s="3"/>
      <c r="N48" s="3"/>
    </row>
    <row r="49" spans="1:14" ht="17.149999999999999" customHeight="1" x14ac:dyDescent="0.35">
      <c r="A49" s="3"/>
      <c r="B49" s="3"/>
      <c r="C49" s="3"/>
      <c r="D49" s="5" t="s">
        <v>14</v>
      </c>
      <c r="E49" s="3"/>
      <c r="F49" s="3"/>
      <c r="G49" s="6">
        <f>F19</f>
        <v>84341</v>
      </c>
      <c r="H49" s="3"/>
      <c r="I49" s="3"/>
      <c r="J49" s="3"/>
      <c r="K49" s="3"/>
      <c r="L49" s="3"/>
      <c r="M49" s="3"/>
      <c r="N49" s="3"/>
    </row>
    <row r="50" spans="1:14" ht="17.149999999999999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7.149999999999999" customHeight="1" x14ac:dyDescent="0.35">
      <c r="A51" s="3"/>
      <c r="B51" s="3"/>
      <c r="C51" s="3"/>
      <c r="D51" s="3"/>
      <c r="E51" s="3"/>
      <c r="F51" s="6"/>
      <c r="G51" s="6"/>
      <c r="H51" s="3"/>
      <c r="I51" s="3"/>
      <c r="J51" s="3"/>
      <c r="K51" s="3"/>
      <c r="L51" s="3"/>
      <c r="M51" s="3"/>
      <c r="N51" s="3"/>
    </row>
    <row r="52" spans="1:14" ht="17.149999999999999" customHeight="1" x14ac:dyDescent="0.35">
      <c r="A52" s="8"/>
      <c r="B52" s="3"/>
      <c r="C52" s="3"/>
      <c r="D52" s="3"/>
      <c r="E52" s="3"/>
      <c r="F52" s="6"/>
      <c r="G52" s="6"/>
      <c r="H52" s="3"/>
      <c r="I52" s="3"/>
      <c r="J52" s="3"/>
      <c r="K52" s="3"/>
      <c r="L52" s="3"/>
      <c r="M52" s="3"/>
      <c r="N52" s="3"/>
    </row>
    <row r="53" spans="1:14" ht="17.149999999999999" customHeight="1" x14ac:dyDescent="0.35">
      <c r="A53" s="3"/>
      <c r="B53" s="3"/>
      <c r="C53" s="3"/>
      <c r="D53" s="3"/>
      <c r="E53" s="3"/>
      <c r="F53" s="6"/>
      <c r="G53" s="6"/>
      <c r="H53" s="3"/>
      <c r="I53" s="3"/>
      <c r="J53" s="3"/>
      <c r="K53" s="3"/>
      <c r="L53" s="3"/>
      <c r="M53" s="3"/>
      <c r="N53" s="3"/>
    </row>
    <row r="54" spans="1:14" ht="17.149999999999999" customHeight="1" x14ac:dyDescent="0.35">
      <c r="A54" s="3"/>
      <c r="B54" s="3"/>
      <c r="C54" s="3"/>
      <c r="D54" s="3"/>
      <c r="E54" s="3"/>
      <c r="F54" s="6"/>
      <c r="G54" s="6"/>
      <c r="H54" s="3"/>
      <c r="I54" s="3"/>
      <c r="J54" s="3"/>
      <c r="K54" s="3"/>
      <c r="L54" s="3"/>
      <c r="M54" s="3"/>
      <c r="N54" s="3"/>
    </row>
    <row r="55" spans="1:14" ht="17.149999999999999" customHeight="1" x14ac:dyDescent="0.35">
      <c r="A55" s="3"/>
      <c r="B55" s="3"/>
      <c r="C55" s="3"/>
      <c r="D55" s="3"/>
      <c r="E55" s="3"/>
      <c r="F55" s="6"/>
      <c r="G55" s="6"/>
      <c r="H55" s="3"/>
      <c r="I55" s="3"/>
      <c r="J55" s="3"/>
      <c r="K55" s="3"/>
      <c r="L55" s="3"/>
      <c r="M55" s="3"/>
      <c r="N55" s="3"/>
    </row>
    <row r="56" spans="1:14" ht="17.149999999999999" customHeight="1" x14ac:dyDescent="0.35">
      <c r="A56" s="8"/>
      <c r="B56" s="3"/>
      <c r="C56" s="3"/>
      <c r="D56" s="3"/>
      <c r="E56" s="3"/>
      <c r="F56" s="6"/>
      <c r="G56" s="6"/>
      <c r="H56" s="3"/>
      <c r="I56" s="3"/>
      <c r="J56" s="3"/>
      <c r="K56" s="3"/>
      <c r="L56" s="3"/>
      <c r="M56" s="3"/>
      <c r="N56" s="3"/>
    </row>
    <row r="57" spans="1:14" ht="17.149999999999999" customHeight="1" x14ac:dyDescent="0.35">
      <c r="A57" s="3"/>
      <c r="B57" s="3"/>
      <c r="C57" s="3"/>
      <c r="D57" s="3"/>
      <c r="E57" s="3"/>
      <c r="F57" s="6"/>
      <c r="G57" s="6"/>
      <c r="H57" s="3"/>
      <c r="I57" s="3"/>
      <c r="J57" s="3"/>
      <c r="K57" s="3"/>
      <c r="L57" s="3"/>
      <c r="M57" s="3"/>
      <c r="N57" s="3"/>
    </row>
    <row r="58" spans="1:14" ht="17.149999999999999" customHeight="1" x14ac:dyDescent="0.35">
      <c r="A58" s="3"/>
      <c r="B58" s="3"/>
      <c r="C58" s="3"/>
      <c r="D58" s="3"/>
      <c r="E58" s="3"/>
      <c r="F58" s="6"/>
      <c r="G58" s="6"/>
      <c r="H58" s="3"/>
      <c r="I58" s="3"/>
      <c r="J58" s="3"/>
      <c r="K58" s="3"/>
      <c r="L58" s="3"/>
      <c r="M58" s="3"/>
      <c r="N58" s="3"/>
    </row>
    <row r="59" spans="1:14" ht="17.149999999999999" customHeight="1" x14ac:dyDescent="0.35">
      <c r="A59" s="3"/>
      <c r="B59" s="3"/>
      <c r="C59" s="3"/>
      <c r="D59" s="3"/>
      <c r="E59" s="3"/>
      <c r="F59" s="6"/>
      <c r="G59" s="6"/>
      <c r="H59" s="3"/>
      <c r="I59" s="3"/>
      <c r="J59" s="3"/>
      <c r="K59" s="3"/>
      <c r="L59" s="3"/>
      <c r="M59" s="3"/>
      <c r="N59" s="3"/>
    </row>
  </sheetData>
  <pageMargins left="0.75" right="0.75" top="1" bottom="1" header="0.5" footer="0.5"/>
  <pageSetup scale="62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70"/>
  <sheetViews>
    <sheetView showGridLines="0" workbookViewId="0">
      <selection activeCell="K69" sqref="K69"/>
    </sheetView>
  </sheetViews>
  <sheetFormatPr baseColWidth="10" defaultColWidth="6.59765625" defaultRowHeight="15" customHeight="1" x14ac:dyDescent="0.35"/>
  <cols>
    <col min="1" max="1" width="8.59765625" style="12" customWidth="1"/>
    <col min="2" max="9" width="6.59765625" style="12" customWidth="1"/>
    <col min="10" max="10" width="8.19921875" style="12" customWidth="1"/>
    <col min="11" max="256" width="6.59765625" style="12" customWidth="1"/>
  </cols>
  <sheetData>
    <row r="1" spans="1:14" ht="18.75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7.149999999999999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149999999999999" customHeight="1" x14ac:dyDescent="0.35">
      <c r="A3" s="4" t="s">
        <v>31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7.149999999999999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7.149999999999999" customHeight="1" x14ac:dyDescent="0.35">
      <c r="A5" s="5" t="s">
        <v>2</v>
      </c>
      <c r="B5" s="3"/>
      <c r="C5" s="3"/>
      <c r="D5" s="6">
        <v>100000</v>
      </c>
      <c r="E5" s="5" t="s">
        <v>3</v>
      </c>
      <c r="F5" s="3"/>
      <c r="G5" s="3"/>
      <c r="H5" s="3"/>
      <c r="I5" s="3"/>
      <c r="J5" s="3"/>
      <c r="K5" s="3"/>
      <c r="L5" s="7">
        <f>D11</f>
        <v>0.12</v>
      </c>
      <c r="M5" s="3"/>
      <c r="N5" s="3"/>
    </row>
    <row r="6" spans="1:14" ht="17.149999999999999" customHeight="1" x14ac:dyDescent="0.35">
      <c r="A6" s="5" t="s">
        <v>4</v>
      </c>
      <c r="B6" s="3"/>
      <c r="C6" s="3"/>
      <c r="D6" s="5">
        <v>4</v>
      </c>
      <c r="E6" s="5" t="s">
        <v>5</v>
      </c>
      <c r="F6" s="3"/>
      <c r="G6" s="3"/>
      <c r="H6" s="3"/>
      <c r="I6" s="3"/>
      <c r="J6" s="3"/>
      <c r="K6" s="6"/>
      <c r="L6" s="6"/>
      <c r="M6" s="6">
        <f>D5</f>
        <v>100000</v>
      </c>
      <c r="N6" s="6"/>
    </row>
    <row r="7" spans="1:14" ht="17.149999999999999" customHeight="1" x14ac:dyDescent="0.35">
      <c r="A7" s="5" t="s">
        <v>6</v>
      </c>
      <c r="B7" s="3"/>
      <c r="C7" s="3"/>
      <c r="D7" s="5">
        <v>0</v>
      </c>
      <c r="E7" s="3"/>
      <c r="F7" s="3"/>
      <c r="G7" s="3"/>
      <c r="H7" s="3"/>
      <c r="I7" s="3"/>
      <c r="J7" s="5" t="s">
        <v>13</v>
      </c>
      <c r="K7" s="6">
        <f>F$14</f>
        <v>31353</v>
      </c>
      <c r="L7" s="6"/>
      <c r="M7" s="6">
        <f t="shared" ref="M7:M12" si="0">M6-K7+L7</f>
        <v>68647</v>
      </c>
      <c r="N7" s="6"/>
    </row>
    <row r="8" spans="1:14" ht="17.149999999999999" customHeight="1" x14ac:dyDescent="0.35">
      <c r="A8" s="3"/>
      <c r="B8" s="3"/>
      <c r="C8" s="3"/>
      <c r="D8" s="3"/>
      <c r="E8" s="3"/>
      <c r="F8" s="3"/>
      <c r="G8" s="3"/>
      <c r="H8" s="3"/>
      <c r="I8" s="3"/>
      <c r="J8" s="5" t="s">
        <v>17</v>
      </c>
      <c r="K8" s="6"/>
      <c r="L8" s="6">
        <f>M7*L$5</f>
        <v>8237.64</v>
      </c>
      <c r="M8" s="6">
        <f t="shared" si="0"/>
        <v>76884.639999999999</v>
      </c>
      <c r="N8" s="6"/>
    </row>
    <row r="9" spans="1:14" ht="17.149999999999999" customHeight="1" x14ac:dyDescent="0.35">
      <c r="A9" s="4" t="s">
        <v>7</v>
      </c>
      <c r="B9" s="3"/>
      <c r="C9" s="3"/>
      <c r="D9" s="3"/>
      <c r="E9" s="3"/>
      <c r="F9" s="3"/>
      <c r="G9" s="3"/>
      <c r="H9" s="3"/>
      <c r="I9" s="3"/>
      <c r="J9" s="5" t="s">
        <v>22</v>
      </c>
      <c r="K9" s="6">
        <f>K7</f>
        <v>31353</v>
      </c>
      <c r="L9" s="6"/>
      <c r="M9" s="6">
        <f t="shared" si="0"/>
        <v>45531.64</v>
      </c>
      <c r="N9" s="6"/>
    </row>
    <row r="10" spans="1:14" ht="17.149999999999999" customHeight="1" x14ac:dyDescent="0.35">
      <c r="A10" s="5" t="s">
        <v>8</v>
      </c>
      <c r="B10" s="3"/>
      <c r="C10" s="3"/>
      <c r="D10" s="5">
        <v>3</v>
      </c>
      <c r="E10" s="5" t="s">
        <v>5</v>
      </c>
      <c r="F10" s="3"/>
      <c r="G10" s="3"/>
      <c r="H10" s="3"/>
      <c r="I10" s="3"/>
      <c r="J10" s="5" t="s">
        <v>23</v>
      </c>
      <c r="K10" s="6"/>
      <c r="L10" s="6">
        <f>M9*L$5</f>
        <v>5463.7968000000001</v>
      </c>
      <c r="M10" s="6">
        <f t="shared" si="0"/>
        <v>50995.436799999996</v>
      </c>
      <c r="N10" s="6"/>
    </row>
    <row r="11" spans="1:14" ht="17.149999999999999" customHeight="1" x14ac:dyDescent="0.35">
      <c r="A11" s="5" t="s">
        <v>9</v>
      </c>
      <c r="B11" s="3"/>
      <c r="C11" s="3"/>
      <c r="D11" s="7">
        <v>0.12</v>
      </c>
      <c r="E11" s="3"/>
      <c r="F11" s="3"/>
      <c r="G11" s="3"/>
      <c r="H11" s="3"/>
      <c r="I11" s="3"/>
      <c r="J11" s="5" t="s">
        <v>24</v>
      </c>
      <c r="K11" s="6">
        <f>K9</f>
        <v>31353</v>
      </c>
      <c r="L11" s="6"/>
      <c r="M11" s="6">
        <f t="shared" si="0"/>
        <v>19642.436799999996</v>
      </c>
      <c r="N11" s="6"/>
    </row>
    <row r="12" spans="1:14" ht="17.149999999999999" customHeight="1" x14ac:dyDescent="0.35">
      <c r="A12" s="5" t="s">
        <v>31</v>
      </c>
      <c r="B12" s="3"/>
      <c r="C12" s="3"/>
      <c r="D12" s="6">
        <v>22000</v>
      </c>
      <c r="E12" s="5" t="s">
        <v>32</v>
      </c>
      <c r="F12" s="3"/>
      <c r="G12" s="3"/>
      <c r="H12" s="3"/>
      <c r="I12" s="3"/>
      <c r="J12" s="5" t="s">
        <v>25</v>
      </c>
      <c r="K12" s="6">
        <f>D12</f>
        <v>22000</v>
      </c>
      <c r="L12" s="6">
        <f>M11*L$5</f>
        <v>2357.0924159999995</v>
      </c>
      <c r="M12" s="6">
        <f t="shared" si="0"/>
        <v>-0.47078400000464171</v>
      </c>
      <c r="N12" s="6"/>
    </row>
    <row r="13" spans="1:14" ht="17.149999999999999" customHeight="1" x14ac:dyDescent="0.35">
      <c r="A13" s="5" t="s">
        <v>10</v>
      </c>
      <c r="B13" s="3"/>
      <c r="C13" s="3"/>
      <c r="D13" s="3"/>
      <c r="E13" s="3"/>
      <c r="F13" s="3"/>
      <c r="G13" s="3"/>
      <c r="H13" s="3"/>
      <c r="I13" s="3"/>
      <c r="J13" s="8"/>
      <c r="K13" s="6"/>
      <c r="L13" s="6"/>
      <c r="M13" s="6"/>
      <c r="N13" s="6"/>
    </row>
    <row r="14" spans="1:14" ht="17.149999999999999" customHeight="1" x14ac:dyDescent="0.35">
      <c r="A14" s="3"/>
      <c r="B14" s="5" t="s">
        <v>11</v>
      </c>
      <c r="C14" s="3"/>
      <c r="D14" s="3"/>
      <c r="E14" s="3"/>
      <c r="F14" s="6">
        <v>31353</v>
      </c>
      <c r="G14" s="3"/>
      <c r="H14" s="3"/>
      <c r="I14" s="3"/>
      <c r="J14" s="3"/>
      <c r="K14" s="3"/>
      <c r="L14" s="3"/>
      <c r="M14" s="3"/>
      <c r="N14" s="6"/>
    </row>
    <row r="15" spans="1:14" ht="17.149999999999999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8"/>
      <c r="K15" s="6"/>
      <c r="L15" s="6"/>
      <c r="M15" s="6"/>
      <c r="N15" s="6"/>
    </row>
    <row r="16" spans="1:14" ht="17.149999999999999" customHeight="1" x14ac:dyDescent="0.35">
      <c r="A16" s="4" t="s">
        <v>12</v>
      </c>
      <c r="B16" s="3"/>
      <c r="C16" s="3"/>
      <c r="D16" s="3"/>
      <c r="E16" s="3"/>
      <c r="F16" s="3"/>
      <c r="G16" s="3"/>
      <c r="H16" s="3"/>
      <c r="I16" s="3"/>
      <c r="J16" s="8"/>
      <c r="K16" s="6"/>
      <c r="L16" s="6"/>
      <c r="M16" s="6"/>
      <c r="N16" s="6"/>
    </row>
    <row r="17" spans="1:14" ht="17.149999999999999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8"/>
      <c r="K17" s="3"/>
      <c r="L17" s="3"/>
      <c r="M17" s="6"/>
      <c r="N17" s="3"/>
    </row>
    <row r="18" spans="1:14" ht="17.149999999999999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8"/>
      <c r="K18" s="3"/>
      <c r="L18" s="3"/>
      <c r="M18" s="6"/>
      <c r="N18" s="3"/>
    </row>
    <row r="19" spans="1:14" ht="17.149999999999999" customHeight="1" x14ac:dyDescent="0.35">
      <c r="A19" s="5" t="s">
        <v>13</v>
      </c>
      <c r="B19" s="3"/>
      <c r="C19" s="5" t="s">
        <v>14</v>
      </c>
      <c r="D19" s="3"/>
      <c r="E19" s="3"/>
      <c r="F19" s="6">
        <f>G20</f>
        <v>100000</v>
      </c>
      <c r="G19" s="3"/>
      <c r="H19" s="3"/>
      <c r="I19" s="3"/>
      <c r="J19" s="3"/>
      <c r="K19" s="3"/>
      <c r="L19" s="3"/>
      <c r="M19" s="6"/>
      <c r="N19" s="3"/>
    </row>
    <row r="20" spans="1:14" ht="17.149999999999999" customHeight="1" x14ac:dyDescent="0.35">
      <c r="A20" s="3"/>
      <c r="B20" s="3"/>
      <c r="C20" s="3"/>
      <c r="D20" s="5" t="s">
        <v>15</v>
      </c>
      <c r="E20" s="3"/>
      <c r="F20" s="3"/>
      <c r="G20" s="6">
        <f>M6</f>
        <v>100000</v>
      </c>
      <c r="H20" s="3"/>
      <c r="I20" s="3"/>
      <c r="J20" s="3"/>
      <c r="K20" s="3"/>
      <c r="L20" s="3"/>
      <c r="M20" s="3"/>
      <c r="N20" s="3"/>
    </row>
    <row r="21" spans="1:14" ht="17.149999999999999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7.149999999999999" customHeight="1" x14ac:dyDescent="0.35">
      <c r="A22" s="3"/>
      <c r="B22" s="3"/>
      <c r="C22" s="5" t="str">
        <f>D20</f>
        <v>Dette locative</v>
      </c>
      <c r="D22" s="3"/>
      <c r="E22" s="3"/>
      <c r="F22" s="6">
        <f>G23</f>
        <v>31353</v>
      </c>
      <c r="G22" s="3"/>
      <c r="H22" s="3"/>
      <c r="I22" s="3"/>
      <c r="J22" s="3"/>
      <c r="K22" s="3"/>
      <c r="L22" s="3"/>
      <c r="M22" s="3"/>
      <c r="N22" s="3"/>
    </row>
    <row r="23" spans="1:14" ht="17.149999999999999" customHeight="1" x14ac:dyDescent="0.35">
      <c r="A23" s="3"/>
      <c r="B23" s="3"/>
      <c r="C23" s="3"/>
      <c r="D23" s="5" t="s">
        <v>16</v>
      </c>
      <c r="E23" s="3"/>
      <c r="F23" s="3"/>
      <c r="G23" s="6">
        <f>K7</f>
        <v>31353</v>
      </c>
      <c r="H23" s="3"/>
      <c r="I23" s="3"/>
      <c r="J23" s="3"/>
      <c r="K23" s="3"/>
      <c r="L23" s="3"/>
      <c r="M23" s="3"/>
      <c r="N23" s="3"/>
    </row>
    <row r="24" spans="1:14" ht="17.149999999999999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7.149999999999999" customHeight="1" x14ac:dyDescent="0.35">
      <c r="A25" s="5" t="s">
        <v>17</v>
      </c>
      <c r="B25" s="3"/>
      <c r="C25" s="5" t="s">
        <v>18</v>
      </c>
      <c r="D25" s="3"/>
      <c r="E25" s="3"/>
      <c r="F25" s="6">
        <f>G26</f>
        <v>8237.64</v>
      </c>
      <c r="G25" s="3"/>
      <c r="H25" s="3"/>
      <c r="I25" s="3"/>
      <c r="J25" s="3"/>
      <c r="K25" s="3"/>
      <c r="L25" s="3"/>
      <c r="M25" s="3"/>
      <c r="N25" s="3"/>
    </row>
    <row r="26" spans="1:14" ht="17.149999999999999" customHeight="1" x14ac:dyDescent="0.35">
      <c r="A26" s="3"/>
      <c r="B26" s="3"/>
      <c r="C26" s="3"/>
      <c r="D26" s="5" t="s">
        <v>19</v>
      </c>
      <c r="E26" s="3"/>
      <c r="F26" s="3"/>
      <c r="G26" s="6">
        <f>L8</f>
        <v>8237.64</v>
      </c>
      <c r="H26" s="3"/>
      <c r="I26" s="3"/>
      <c r="J26" s="3"/>
      <c r="K26" s="3"/>
      <c r="L26" s="3"/>
      <c r="M26" s="3"/>
      <c r="N26" s="3"/>
    </row>
    <row r="27" spans="1:14" ht="17.149999999999999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7.149999999999999" customHeight="1" x14ac:dyDescent="0.35">
      <c r="A28" s="3"/>
      <c r="B28" s="3"/>
      <c r="C28" s="5" t="s">
        <v>20</v>
      </c>
      <c r="D28" s="3"/>
      <c r="E28" s="3"/>
      <c r="F28" s="6">
        <f>(D5-D7)/D6</f>
        <v>25000</v>
      </c>
      <c r="G28" s="6"/>
      <c r="H28" s="3"/>
      <c r="I28" s="3"/>
      <c r="J28" s="3"/>
      <c r="K28" s="3"/>
      <c r="L28" s="3"/>
      <c r="M28" s="3"/>
      <c r="N28" s="3"/>
    </row>
    <row r="29" spans="1:14" ht="17.149999999999999" customHeight="1" x14ac:dyDescent="0.35">
      <c r="A29" s="3"/>
      <c r="B29" s="3"/>
      <c r="C29" s="3"/>
      <c r="D29" s="5" t="s">
        <v>21</v>
      </c>
      <c r="E29" s="3"/>
      <c r="F29" s="6"/>
      <c r="G29" s="6">
        <f>F28</f>
        <v>25000</v>
      </c>
      <c r="H29" s="3"/>
      <c r="I29" s="3"/>
      <c r="J29" s="3"/>
      <c r="K29" s="3"/>
      <c r="L29" s="3"/>
      <c r="M29" s="3"/>
      <c r="N29" s="3"/>
    </row>
    <row r="30" spans="1:14" ht="17.149999999999999" customHeight="1" x14ac:dyDescent="0.35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  <c r="L30" s="3"/>
      <c r="M30" s="3"/>
      <c r="N30" s="3"/>
    </row>
    <row r="31" spans="1:14" ht="17.149999999999999" customHeight="1" x14ac:dyDescent="0.35">
      <c r="A31" s="5" t="s">
        <v>22</v>
      </c>
      <c r="B31" s="3"/>
      <c r="C31" s="5" t="str">
        <f>D26</f>
        <v>Intérêts à payer</v>
      </c>
      <c r="D31" s="3"/>
      <c r="E31" s="3"/>
      <c r="F31" s="6">
        <f>G26</f>
        <v>8237.64</v>
      </c>
      <c r="G31" s="6"/>
      <c r="H31" s="3"/>
      <c r="I31" s="3"/>
      <c r="J31" s="3"/>
      <c r="K31" s="3"/>
      <c r="L31" s="3"/>
      <c r="M31" s="3"/>
      <c r="N31" s="3"/>
    </row>
    <row r="32" spans="1:14" ht="17.149999999999999" customHeight="1" x14ac:dyDescent="0.35">
      <c r="A32" s="3"/>
      <c r="B32" s="3"/>
      <c r="C32" s="5" t="str">
        <f>C22</f>
        <v>Dette locative</v>
      </c>
      <c r="D32" s="3"/>
      <c r="E32" s="3"/>
      <c r="F32" s="6">
        <f>G33-F31</f>
        <v>23115.360000000001</v>
      </c>
      <c r="G32" s="6"/>
      <c r="H32" s="3"/>
      <c r="I32" s="3"/>
      <c r="J32" s="3"/>
      <c r="K32" s="3"/>
      <c r="L32" s="3"/>
      <c r="M32" s="3"/>
      <c r="N32" s="3"/>
    </row>
    <row r="33" spans="1:14" ht="17.149999999999999" customHeight="1" x14ac:dyDescent="0.35">
      <c r="A33" s="3"/>
      <c r="B33" s="3"/>
      <c r="C33" s="3"/>
      <c r="D33" s="5" t="str">
        <f>D23</f>
        <v>Encaisse</v>
      </c>
      <c r="E33" s="3"/>
      <c r="F33" s="6"/>
      <c r="G33" s="6">
        <f>K9</f>
        <v>31353</v>
      </c>
      <c r="H33" s="3"/>
      <c r="I33" s="3"/>
      <c r="J33" s="3"/>
      <c r="K33" s="3"/>
      <c r="L33" s="3"/>
      <c r="M33" s="3"/>
      <c r="N33" s="3"/>
    </row>
    <row r="34" spans="1:14" ht="17.149999999999999" customHeight="1" x14ac:dyDescent="0.35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  <c r="L34" s="3"/>
      <c r="M34" s="3"/>
      <c r="N34" s="3"/>
    </row>
    <row r="35" spans="1:14" ht="17.149999999999999" customHeight="1" x14ac:dyDescent="0.35">
      <c r="A35" s="5" t="s">
        <v>23</v>
      </c>
      <c r="B35" s="3"/>
      <c r="C35" s="5" t="str">
        <f>C25</f>
        <v>Charge d'intérêts</v>
      </c>
      <c r="D35" s="3"/>
      <c r="E35" s="3"/>
      <c r="F35" s="6">
        <f>G36</f>
        <v>5463.7968000000001</v>
      </c>
      <c r="G35" s="6"/>
      <c r="H35" s="3"/>
      <c r="I35" s="3"/>
      <c r="J35" s="3"/>
      <c r="K35" s="3"/>
      <c r="L35" s="3"/>
      <c r="M35" s="3"/>
      <c r="N35" s="3"/>
    </row>
    <row r="36" spans="1:14" ht="17.149999999999999" customHeight="1" x14ac:dyDescent="0.35">
      <c r="A36" s="3"/>
      <c r="B36" s="3"/>
      <c r="C36" s="3"/>
      <c r="D36" s="5" t="str">
        <f>D26</f>
        <v>Intérêts à payer</v>
      </c>
      <c r="E36" s="3"/>
      <c r="F36" s="6"/>
      <c r="G36" s="6">
        <f>L10</f>
        <v>5463.7968000000001</v>
      </c>
      <c r="H36" s="3"/>
      <c r="I36" s="3"/>
      <c r="J36" s="3"/>
      <c r="K36" s="3"/>
      <c r="L36" s="3"/>
      <c r="M36" s="3"/>
      <c r="N36" s="3"/>
    </row>
    <row r="37" spans="1:14" ht="17.149999999999999" customHeight="1" x14ac:dyDescent="0.35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  <c r="L37" s="3"/>
      <c r="M37" s="3"/>
      <c r="N37" s="3"/>
    </row>
    <row r="38" spans="1:14" ht="17.149999999999999" customHeight="1" x14ac:dyDescent="0.35">
      <c r="A38" s="3"/>
      <c r="B38" s="3"/>
      <c r="C38" s="5" t="str">
        <f>C28</f>
        <v>Amortissement</v>
      </c>
      <c r="D38" s="3"/>
      <c r="E38" s="3"/>
      <c r="F38" s="6">
        <f>F28</f>
        <v>25000</v>
      </c>
      <c r="G38" s="6"/>
      <c r="H38" s="3"/>
      <c r="I38" s="3"/>
      <c r="J38" s="3"/>
      <c r="K38" s="3"/>
      <c r="L38" s="3"/>
      <c r="M38" s="3"/>
      <c r="N38" s="3"/>
    </row>
    <row r="39" spans="1:14" ht="17.149999999999999" customHeight="1" x14ac:dyDescent="0.35">
      <c r="A39" s="3"/>
      <c r="B39" s="3"/>
      <c r="C39" s="3"/>
      <c r="D39" s="5" t="str">
        <f>D29</f>
        <v>Amortissement cumulé</v>
      </c>
      <c r="E39" s="3"/>
      <c r="F39" s="6"/>
      <c r="G39" s="6">
        <f>G29</f>
        <v>25000</v>
      </c>
      <c r="H39" s="3"/>
      <c r="I39" s="3"/>
      <c r="J39" s="3"/>
      <c r="K39" s="3"/>
      <c r="L39" s="3"/>
      <c r="M39" s="3"/>
      <c r="N39" s="3"/>
    </row>
    <row r="40" spans="1:14" ht="17.149999999999999" customHeight="1" x14ac:dyDescent="0.35">
      <c r="A40" s="3"/>
      <c r="B40" s="3"/>
      <c r="C40" s="3"/>
      <c r="D40" s="3"/>
      <c r="E40" s="3"/>
      <c r="F40" s="6"/>
      <c r="G40" s="6"/>
      <c r="H40" s="3"/>
      <c r="I40" s="3"/>
      <c r="J40" s="3"/>
      <c r="K40" s="3"/>
      <c r="L40" s="3"/>
      <c r="M40" s="3"/>
      <c r="N40" s="3"/>
    </row>
    <row r="41" spans="1:14" ht="17.149999999999999" customHeight="1" x14ac:dyDescent="0.35">
      <c r="A41" s="5" t="s">
        <v>24</v>
      </c>
      <c r="B41" s="3"/>
      <c r="C41" s="5" t="str">
        <f>C31</f>
        <v>Intérêts à payer</v>
      </c>
      <c r="D41" s="3"/>
      <c r="E41" s="3"/>
      <c r="F41" s="6">
        <f>G36</f>
        <v>5463.7968000000001</v>
      </c>
      <c r="G41" s="6"/>
      <c r="H41" s="3"/>
      <c r="I41" s="3"/>
      <c r="J41" s="3"/>
      <c r="K41" s="3"/>
      <c r="L41" s="3"/>
      <c r="M41" s="3"/>
      <c r="N41" s="3"/>
    </row>
    <row r="42" spans="1:14" ht="17.149999999999999" customHeight="1" x14ac:dyDescent="0.35">
      <c r="A42" s="3"/>
      <c r="B42" s="3"/>
      <c r="C42" s="5" t="str">
        <f>C32</f>
        <v>Dette locative</v>
      </c>
      <c r="D42" s="3"/>
      <c r="E42" s="3"/>
      <c r="F42" s="6">
        <f>G43-F41</f>
        <v>25889.2032</v>
      </c>
      <c r="G42" s="6"/>
      <c r="H42" s="3"/>
      <c r="I42" s="3"/>
      <c r="J42" s="3"/>
      <c r="K42" s="3"/>
      <c r="L42" s="3"/>
      <c r="M42" s="3"/>
      <c r="N42" s="3"/>
    </row>
    <row r="43" spans="1:14" ht="17.149999999999999" customHeight="1" x14ac:dyDescent="0.35">
      <c r="A43" s="3"/>
      <c r="B43" s="3"/>
      <c r="C43" s="3"/>
      <c r="D43" s="5" t="str">
        <f>D33</f>
        <v>Encaisse</v>
      </c>
      <c r="E43" s="3"/>
      <c r="F43" s="6"/>
      <c r="G43" s="6">
        <f>K11</f>
        <v>31353</v>
      </c>
      <c r="H43" s="3"/>
      <c r="I43" s="3"/>
      <c r="J43" s="3"/>
      <c r="K43" s="3"/>
      <c r="L43" s="3"/>
      <c r="M43" s="3"/>
      <c r="N43" s="3"/>
    </row>
    <row r="44" spans="1:14" ht="17.149999999999999" customHeight="1" x14ac:dyDescent="0.35">
      <c r="A44" s="3"/>
      <c r="B44" s="3"/>
      <c r="C44" s="3"/>
      <c r="D44" s="3"/>
      <c r="E44" s="3"/>
      <c r="F44" s="6"/>
      <c r="G44" s="6"/>
      <c r="H44" s="3"/>
      <c r="I44" s="3"/>
      <c r="J44" s="3"/>
      <c r="K44" s="3"/>
      <c r="L44" s="3"/>
      <c r="M44" s="3"/>
      <c r="N44" s="3"/>
    </row>
    <row r="45" spans="1:14" ht="17.149999999999999" customHeight="1" x14ac:dyDescent="0.35">
      <c r="A45" s="5" t="s">
        <v>25</v>
      </c>
      <c r="B45" s="3"/>
      <c r="C45" s="5" t="str">
        <f>C35</f>
        <v>Charge d'intérêts</v>
      </c>
      <c r="D45" s="3"/>
      <c r="E45" s="3"/>
      <c r="F45" s="6">
        <f>L12</f>
        <v>2357.0924159999995</v>
      </c>
      <c r="G45" s="6"/>
      <c r="H45" s="3"/>
      <c r="I45" s="3"/>
      <c r="J45" s="3"/>
      <c r="K45" s="3"/>
      <c r="L45" s="3"/>
      <c r="M45" s="3"/>
      <c r="N45" s="3"/>
    </row>
    <row r="46" spans="1:14" ht="17.149999999999999" customHeight="1" x14ac:dyDescent="0.35">
      <c r="A46" s="8"/>
      <c r="B46" s="3"/>
      <c r="C46" s="5" t="str">
        <f>C42</f>
        <v>Dette locative</v>
      </c>
      <c r="D46" s="3"/>
      <c r="E46" s="3"/>
      <c r="F46" s="6">
        <f>G47-F45</f>
        <v>19642.907584</v>
      </c>
      <c r="G46" s="6"/>
      <c r="H46" s="3"/>
      <c r="I46" s="3"/>
      <c r="J46" s="3"/>
      <c r="K46" s="3"/>
      <c r="L46" s="3"/>
      <c r="M46" s="3"/>
      <c r="N46" s="3"/>
    </row>
    <row r="47" spans="1:14" ht="17.149999999999999" customHeight="1" x14ac:dyDescent="0.35">
      <c r="A47" s="3"/>
      <c r="B47" s="3"/>
      <c r="C47" s="3"/>
      <c r="D47" s="5" t="s">
        <v>16</v>
      </c>
      <c r="E47" s="3"/>
      <c r="F47" s="6"/>
      <c r="G47" s="6">
        <f>K12</f>
        <v>22000</v>
      </c>
      <c r="H47" s="3"/>
      <c r="I47" s="3"/>
      <c r="J47" s="3"/>
      <c r="K47" s="3"/>
      <c r="L47" s="3"/>
      <c r="M47" s="3"/>
      <c r="N47" s="3"/>
    </row>
    <row r="48" spans="1:14" ht="17.149999999999999" customHeight="1" x14ac:dyDescent="0.35">
      <c r="A48" s="3"/>
      <c r="B48" s="3"/>
      <c r="C48" s="3"/>
      <c r="D48" s="3"/>
      <c r="E48" s="3"/>
      <c r="F48" s="6"/>
      <c r="G48" s="6"/>
      <c r="H48" s="3"/>
      <c r="I48" s="3"/>
      <c r="J48" s="3"/>
      <c r="K48" s="3"/>
      <c r="L48" s="3"/>
      <c r="M48" s="3"/>
      <c r="N48" s="3"/>
    </row>
    <row r="49" spans="1:14" ht="17.149999999999999" customHeight="1" x14ac:dyDescent="0.35">
      <c r="A49" s="3"/>
      <c r="B49" s="3"/>
      <c r="C49" s="5" t="str">
        <f>C38</f>
        <v>Amortissement</v>
      </c>
      <c r="D49" s="3"/>
      <c r="E49" s="3"/>
      <c r="F49" s="6">
        <f>F38</f>
        <v>25000</v>
      </c>
      <c r="G49" s="6"/>
      <c r="H49" s="3"/>
      <c r="I49" s="3"/>
      <c r="J49" s="3"/>
      <c r="K49" s="3"/>
      <c r="L49" s="3"/>
      <c r="M49" s="3"/>
      <c r="N49" s="3"/>
    </row>
    <row r="50" spans="1:14" ht="17.149999999999999" customHeight="1" x14ac:dyDescent="0.35">
      <c r="A50" s="3"/>
      <c r="B50" s="3"/>
      <c r="C50" s="3"/>
      <c r="D50" s="5" t="str">
        <f>D39</f>
        <v>Amortissement cumulé</v>
      </c>
      <c r="E50" s="3"/>
      <c r="F50" s="6"/>
      <c r="G50" s="6">
        <f>G39</f>
        <v>25000</v>
      </c>
      <c r="H50" s="3"/>
      <c r="I50" s="3"/>
      <c r="J50" s="3"/>
      <c r="K50" s="3"/>
      <c r="L50" s="3"/>
      <c r="M50" s="3"/>
      <c r="N50" s="3"/>
    </row>
    <row r="51" spans="1:14" ht="17.149999999999999" customHeight="1" x14ac:dyDescent="0.35">
      <c r="A51" s="3"/>
      <c r="B51" s="3"/>
      <c r="C51" s="3"/>
      <c r="D51" s="3"/>
      <c r="E51" s="3"/>
      <c r="F51" s="6"/>
      <c r="G51" s="6"/>
      <c r="H51" s="3"/>
      <c r="I51" s="3"/>
      <c r="J51" s="3"/>
      <c r="K51" s="3"/>
      <c r="L51" s="3"/>
      <c r="M51" s="3"/>
      <c r="N51" s="3"/>
    </row>
    <row r="52" spans="1:14" ht="17.149999999999999" customHeight="1" x14ac:dyDescent="0.35">
      <c r="A52" s="3"/>
      <c r="B52" s="3"/>
      <c r="C52" s="5" t="s">
        <v>33</v>
      </c>
      <c r="D52" s="3"/>
      <c r="E52" s="3"/>
      <c r="F52" s="6">
        <f>F19-G29-G39-G50</f>
        <v>25000</v>
      </c>
      <c r="G52" s="6"/>
      <c r="H52" s="6"/>
      <c r="I52" s="3"/>
      <c r="J52" s="3"/>
      <c r="K52" s="3"/>
      <c r="L52" s="3"/>
      <c r="M52" s="3"/>
      <c r="N52" s="3"/>
    </row>
    <row r="53" spans="1:14" ht="17.149999999999999" customHeight="1" x14ac:dyDescent="0.35">
      <c r="A53" s="3"/>
      <c r="B53" s="3"/>
      <c r="C53" s="5" t="s">
        <v>21</v>
      </c>
      <c r="D53" s="3"/>
      <c r="E53" s="3"/>
      <c r="F53" s="6">
        <v>75000</v>
      </c>
      <c r="G53" s="6"/>
      <c r="H53" s="6"/>
      <c r="I53" s="3"/>
      <c r="J53" s="3"/>
      <c r="K53" s="3"/>
      <c r="L53" s="3"/>
      <c r="M53" s="3"/>
      <c r="N53" s="3"/>
    </row>
    <row r="54" spans="1:14" ht="17.149999999999999" customHeight="1" x14ac:dyDescent="0.35">
      <c r="A54" s="3"/>
      <c r="B54" s="3"/>
      <c r="C54" s="3"/>
      <c r="D54" s="5" t="str">
        <f>C19</f>
        <v>Équipement loué</v>
      </c>
      <c r="E54" s="3"/>
      <c r="F54" s="6"/>
      <c r="G54" s="6">
        <v>100000</v>
      </c>
      <c r="H54" s="6"/>
      <c r="I54" s="3"/>
      <c r="J54" s="3"/>
      <c r="K54" s="3"/>
      <c r="L54" s="3"/>
      <c r="M54" s="3"/>
      <c r="N54" s="3"/>
    </row>
    <row r="55" spans="1:14" ht="17.149999999999999" customHeight="1" x14ac:dyDescent="0.35">
      <c r="A55" s="3"/>
      <c r="B55" s="3"/>
      <c r="C55" s="3"/>
      <c r="D55" s="3"/>
      <c r="E55" s="3"/>
      <c r="F55" s="6"/>
      <c r="G55" s="6"/>
      <c r="H55" s="6"/>
      <c r="I55" s="3"/>
      <c r="J55" s="3"/>
      <c r="K55" s="3"/>
      <c r="L55" s="3"/>
      <c r="M55" s="3"/>
      <c r="N55" s="3"/>
    </row>
    <row r="56" spans="1:14" ht="17.149999999999999" customHeight="1" x14ac:dyDescent="0.35">
      <c r="A56" s="5" t="s">
        <v>27</v>
      </c>
      <c r="B56" s="3"/>
      <c r="C56" s="5" t="str">
        <f>C49</f>
        <v>Amortissement</v>
      </c>
      <c r="D56" s="3"/>
      <c r="E56" s="3"/>
      <c r="F56" s="6">
        <f>F49</f>
        <v>25000</v>
      </c>
      <c r="G56" s="6"/>
      <c r="H56" s="6"/>
      <c r="I56" s="3"/>
      <c r="J56" s="3"/>
      <c r="K56" s="3"/>
      <c r="L56" s="3"/>
      <c r="M56" s="3"/>
      <c r="N56" s="3"/>
    </row>
    <row r="57" spans="1:14" ht="17.149999999999999" customHeight="1" x14ac:dyDescent="0.35">
      <c r="A57" s="3"/>
      <c r="B57" s="3"/>
      <c r="C57" s="3"/>
      <c r="D57" s="5" t="str">
        <f>D50</f>
        <v>Amortissement cumulé</v>
      </c>
      <c r="E57" s="3"/>
      <c r="F57" s="6"/>
      <c r="G57" s="6">
        <f>F56</f>
        <v>25000</v>
      </c>
      <c r="H57" s="6"/>
      <c r="I57" s="3"/>
      <c r="J57" s="3"/>
      <c r="K57" s="3"/>
      <c r="L57" s="3"/>
      <c r="M57" s="3"/>
      <c r="N57" s="3"/>
    </row>
    <row r="58" spans="1:14" ht="17.149999999999999" customHeight="1" x14ac:dyDescent="0.35">
      <c r="A58" s="3"/>
      <c r="B58" s="3"/>
      <c r="C58" s="3"/>
      <c r="D58" s="3"/>
      <c r="E58" s="3"/>
      <c r="F58" s="6"/>
      <c r="G58" s="6"/>
      <c r="H58" s="6"/>
      <c r="I58" s="3"/>
      <c r="J58" s="3"/>
      <c r="K58" s="3"/>
      <c r="L58" s="3"/>
      <c r="M58" s="3"/>
      <c r="N58" s="3"/>
    </row>
    <row r="59" spans="1:14" ht="17.149999999999999" customHeight="1" x14ac:dyDescent="0.35">
      <c r="A59" s="3"/>
      <c r="B59" s="3"/>
      <c r="C59" s="5" t="s">
        <v>21</v>
      </c>
      <c r="D59" s="3"/>
      <c r="E59" s="3"/>
      <c r="F59" s="6">
        <v>25000</v>
      </c>
      <c r="G59" s="6"/>
      <c r="H59" s="3"/>
      <c r="I59" s="3"/>
      <c r="J59" s="3"/>
      <c r="K59" s="3"/>
      <c r="L59" s="3"/>
      <c r="M59" s="3"/>
      <c r="N59" s="3"/>
    </row>
    <row r="60" spans="1:14" ht="17.149999999999999" customHeight="1" x14ac:dyDescent="0.35">
      <c r="A60" s="8"/>
      <c r="B60" s="3"/>
      <c r="C60" s="3"/>
      <c r="D60" s="5" t="s">
        <v>33</v>
      </c>
      <c r="E60" s="3"/>
      <c r="F60" s="6"/>
      <c r="G60" s="6">
        <f>F59</f>
        <v>25000</v>
      </c>
      <c r="H60" s="3"/>
      <c r="I60" s="3"/>
      <c r="J60" s="3"/>
      <c r="K60" s="3"/>
      <c r="L60" s="3"/>
      <c r="M60" s="3"/>
      <c r="N60" s="3"/>
    </row>
    <row r="61" spans="1:14" ht="17.149999999999999" customHeight="1" x14ac:dyDescent="0.35">
      <c r="A61" s="3"/>
      <c r="B61" s="3"/>
      <c r="C61" s="3"/>
      <c r="D61" s="3"/>
      <c r="E61" s="3"/>
      <c r="F61" s="6"/>
      <c r="G61" s="6"/>
      <c r="H61" s="3"/>
      <c r="I61" s="3"/>
      <c r="J61" s="3"/>
      <c r="K61" s="3"/>
      <c r="L61" s="3"/>
      <c r="M61" s="3"/>
      <c r="N61" s="3"/>
    </row>
    <row r="62" spans="1:14" ht="17.149999999999999" customHeight="1" x14ac:dyDescent="0.35">
      <c r="A62" s="3"/>
      <c r="B62" s="3"/>
      <c r="C62" s="3"/>
      <c r="D62" s="3"/>
      <c r="E62" s="3"/>
      <c r="F62" s="6"/>
      <c r="G62" s="6"/>
      <c r="H62" s="3"/>
      <c r="I62" s="3"/>
      <c r="J62" s="3"/>
      <c r="K62" s="3"/>
      <c r="L62" s="3"/>
      <c r="M62" s="3"/>
      <c r="N62" s="3"/>
    </row>
    <row r="63" spans="1:14" ht="17.149999999999999" customHeight="1" x14ac:dyDescent="0.35">
      <c r="A63" s="3"/>
      <c r="B63" s="3"/>
      <c r="C63" s="3"/>
      <c r="D63" s="3"/>
      <c r="E63" s="3"/>
      <c r="F63" s="6"/>
      <c r="G63" s="6"/>
      <c r="H63" s="3"/>
      <c r="I63" s="3"/>
      <c r="J63" s="3"/>
      <c r="K63" s="3"/>
      <c r="L63" s="3"/>
      <c r="M63" s="3"/>
      <c r="N63" s="3"/>
    </row>
    <row r="64" spans="1:14" ht="17.149999999999999" customHeight="1" x14ac:dyDescent="0.35">
      <c r="A64" s="3"/>
      <c r="B64" s="3"/>
      <c r="C64" s="3"/>
      <c r="D64" s="3"/>
      <c r="E64" s="3"/>
      <c r="F64" s="6"/>
      <c r="G64" s="6"/>
      <c r="H64" s="3"/>
      <c r="I64" s="3"/>
      <c r="J64" s="3"/>
      <c r="K64" s="3"/>
      <c r="L64" s="3"/>
      <c r="M64" s="3"/>
      <c r="N64" s="3"/>
    </row>
    <row r="65" spans="1:14" ht="17.149999999999999" customHeight="1" x14ac:dyDescent="0.35">
      <c r="A65" s="3"/>
      <c r="B65" s="3"/>
      <c r="C65" s="3"/>
      <c r="D65" s="3"/>
      <c r="E65" s="3"/>
      <c r="F65" s="6"/>
      <c r="G65" s="6"/>
      <c r="H65" s="3"/>
      <c r="I65" s="3"/>
      <c r="J65" s="3"/>
      <c r="K65" s="3"/>
      <c r="L65" s="3"/>
      <c r="M65" s="3"/>
      <c r="N65" s="3"/>
    </row>
    <row r="66" spans="1:14" ht="17.149999999999999" customHeight="1" x14ac:dyDescent="0.35">
      <c r="A66" s="3"/>
      <c r="B66" s="3"/>
      <c r="C66" s="3"/>
      <c r="D66" s="3"/>
      <c r="E66" s="3"/>
      <c r="F66" s="6"/>
      <c r="G66" s="6"/>
      <c r="H66" s="3"/>
      <c r="I66" s="3"/>
      <c r="J66" s="3"/>
      <c r="K66" s="3"/>
      <c r="L66" s="3"/>
      <c r="M66" s="3"/>
      <c r="N66" s="3"/>
    </row>
    <row r="67" spans="1:14" ht="17.149999999999999" customHeight="1" x14ac:dyDescent="0.35">
      <c r="A67" s="3"/>
      <c r="B67" s="3"/>
      <c r="C67" s="3"/>
      <c r="D67" s="3"/>
      <c r="E67" s="3"/>
      <c r="F67" s="6"/>
      <c r="G67" s="6"/>
      <c r="H67" s="3"/>
      <c r="I67" s="3"/>
      <c r="J67" s="3"/>
      <c r="K67" s="3"/>
      <c r="L67" s="3"/>
      <c r="M67" s="3"/>
      <c r="N67" s="3"/>
    </row>
    <row r="68" spans="1:14" ht="17.149999999999999" customHeight="1" x14ac:dyDescent="0.35">
      <c r="A68" s="3"/>
      <c r="B68" s="3"/>
      <c r="C68" s="3"/>
      <c r="D68" s="3"/>
      <c r="E68" s="3"/>
      <c r="F68" s="6"/>
      <c r="G68" s="6"/>
      <c r="H68" s="3"/>
      <c r="I68" s="3"/>
      <c r="J68" s="3"/>
      <c r="K68" s="3"/>
      <c r="L68" s="3"/>
      <c r="M68" s="3"/>
      <c r="N68" s="3"/>
    </row>
    <row r="69" spans="1:14" ht="17.149999999999999" customHeight="1" x14ac:dyDescent="0.35">
      <c r="A69" s="3"/>
      <c r="B69" s="3"/>
      <c r="C69" s="3"/>
      <c r="D69" s="3"/>
      <c r="E69" s="3"/>
      <c r="F69" s="6"/>
      <c r="G69" s="6"/>
      <c r="H69" s="3"/>
      <c r="I69" s="3"/>
      <c r="J69" s="3"/>
      <c r="K69" s="3"/>
      <c r="L69" s="3"/>
      <c r="M69" s="3"/>
      <c r="N69" s="3"/>
    </row>
    <row r="70" spans="1:14" ht="17.149999999999999" customHeight="1" x14ac:dyDescent="0.35">
      <c r="A70" s="3"/>
      <c r="B70" s="3"/>
      <c r="C70" s="3"/>
      <c r="D70" s="3"/>
      <c r="E70" s="3"/>
      <c r="F70" s="6"/>
      <c r="G70" s="6"/>
      <c r="H70" s="3"/>
      <c r="I70" s="3"/>
      <c r="J70" s="3"/>
      <c r="K70" s="3"/>
      <c r="L70" s="3"/>
      <c r="M70" s="3"/>
      <c r="N70" s="3"/>
    </row>
  </sheetData>
  <pageMargins left="0.75" right="0.75" top="1" bottom="1" header="0.5" footer="0.5"/>
  <pageSetup scale="52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</vt:lpstr>
      <vt:lpstr>Val rés gar</vt:lpstr>
      <vt:lpstr>Val rés non gar</vt:lpstr>
      <vt:lpstr>option achat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cp:lastPrinted>2018-09-27T15:04:05Z</cp:lastPrinted>
  <dcterms:created xsi:type="dcterms:W3CDTF">2018-02-14T03:01:07Z</dcterms:created>
  <dcterms:modified xsi:type="dcterms:W3CDTF">2020-10-03T18:00:21Z</dcterms:modified>
</cp:coreProperties>
</file>