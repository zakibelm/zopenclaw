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S\Information financiere intégrité et confirmité\Séance 9 Regroupement\"/>
    </mc:Choice>
  </mc:AlternateContent>
  <xr:revisionPtr revIDLastSave="0" documentId="13_ncr:1_{ED74DFA6-81FE-48FF-B7B1-59C0B144140C}" xr6:coauthVersionLast="47" xr6:coauthVersionMax="47" xr10:uidLastSave="{00000000-0000-0000-0000-000000000000}"/>
  <bookViews>
    <workbookView xWindow="-108" yWindow="-108" windowWidth="23256" windowHeight="13896" activeTab="2" xr2:uid="{12901B55-A434-4B84-807C-B4E6D0EF3F6B}"/>
  </bookViews>
  <sheets>
    <sheet name="Question" sheetId="1" r:id="rId1"/>
    <sheet name="Solution" sheetId="2" r:id="rId2"/>
    <sheet name="Suite question" sheetId="3" r:id="rId3"/>
    <sheet name="Suite solution" sheetId="4" r:id="rId4"/>
    <sheet name="Extrait disposition" sheetId="5" r:id="rId5"/>
    <sheet name="solution disposition" sheetId="6" r:id="rId6"/>
  </sheets>
  <definedNames>
    <definedName name="_xlnm.Print_Area" localSheetId="0">Question!$A$1:$J$21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2" i="6" l="1"/>
  <c r="F42" i="6" s="1"/>
  <c r="H42" i="6" s="1"/>
  <c r="D42" i="6"/>
  <c r="F43" i="6"/>
  <c r="H43" i="6" s="1"/>
  <c r="F39" i="6"/>
  <c r="F38" i="6"/>
  <c r="F37" i="6"/>
  <c r="F36" i="6"/>
  <c r="F34" i="6"/>
  <c r="H30" i="6"/>
  <c r="H28" i="6"/>
  <c r="G30" i="6"/>
  <c r="E29" i="6"/>
  <c r="E28" i="6"/>
  <c r="G27" i="6"/>
  <c r="I23" i="6"/>
  <c r="E15" i="6"/>
  <c r="D15" i="6"/>
  <c r="F14" i="6"/>
  <c r="H14" i="6" s="1"/>
  <c r="F11" i="6"/>
  <c r="F10" i="6"/>
  <c r="F9" i="6"/>
  <c r="I7" i="6"/>
  <c r="I6" i="6"/>
  <c r="C37" i="4"/>
  <c r="D38" i="4" s="1"/>
  <c r="C34" i="4"/>
  <c r="D35" i="4" s="1"/>
  <c r="H29" i="4"/>
  <c r="F23" i="4"/>
  <c r="H23" i="4" s="1"/>
  <c r="F22" i="4"/>
  <c r="H22" i="4" s="1"/>
  <c r="F26" i="4"/>
  <c r="F25" i="4"/>
  <c r="H25" i="4" s="1"/>
  <c r="E20" i="4"/>
  <c r="D20" i="4"/>
  <c r="F20" i="4" s="1"/>
  <c r="H20" i="4" s="1"/>
  <c r="F19" i="4"/>
  <c r="H19" i="4" s="1"/>
  <c r="C10" i="4"/>
  <c r="C11" i="4" s="1"/>
  <c r="C13" i="4" s="1"/>
  <c r="C9" i="4"/>
  <c r="C26" i="2"/>
  <c r="D27" i="2"/>
  <c r="D24" i="2"/>
  <c r="C23" i="2"/>
  <c r="H18" i="2"/>
  <c r="F17" i="2"/>
  <c r="H17" i="2" s="1"/>
  <c r="H16" i="2"/>
  <c r="F16" i="2"/>
  <c r="E16" i="2"/>
  <c r="D16" i="2"/>
  <c r="C10" i="2"/>
  <c r="C8" i="2"/>
  <c r="H44" i="6" l="1"/>
  <c r="F15" i="6"/>
  <c r="H15" i="6" s="1"/>
  <c r="H16" i="6"/>
  <c r="H24" i="4"/>
  <c r="H26" i="4"/>
  <c r="H27" i="4" s="1"/>
  <c r="H21" i="4"/>
</calcChain>
</file>

<file path=xl/sharedStrings.xml><?xml version="1.0" encoding="utf-8"?>
<sst xmlns="http://schemas.openxmlformats.org/spreadsheetml/2006/main" count="177" uniqueCount="98">
  <si>
    <t>Vous disposez des informations suivantes pour ABC inc. pour l'exercice terminé le 31 décembre 2020 :</t>
  </si>
  <si>
    <t>-  Le taux d'imposition était de 45 % pour les exercices précédents</t>
  </si>
  <si>
    <t>Au début de 2020, le gouvernement a réduit de façon inattendue le taux d'imposition à 42 % - non connu en 2019</t>
  </si>
  <si>
    <t>Le nouveau taux est en vigueur pour l'exercice 2020 et les suivants</t>
  </si>
  <si>
    <t>-  Aux fins de la présentation de l'information financière, le bénéfice avant impôts s'élève à 500 000 $</t>
  </si>
  <si>
    <t>-  Pour l'exercice 2020, la charge d'amortissement s'élève à 60 000 $ et la valeur comptable nette des immobilisations</t>
  </si>
  <si>
    <t>à la fin de l'exercice est de 250 000 $.</t>
  </si>
  <si>
    <t>La déduction pour amortissement (fiscal) s'élève à 75 000 $ en 2020 et la FNACC est de 215 000 $ au 31 déc 2020</t>
  </si>
  <si>
    <t>Vous pouvez calculer le solde d'ouverture des impôts différés avec cette information</t>
  </si>
  <si>
    <t>Vous avez les soldes fin 2020 et la charge / la déduction pour 2020</t>
  </si>
  <si>
    <t>Il n'y a aucun achat ou vente d'immobilisations au cours de l'exercice 2020.</t>
  </si>
  <si>
    <t>-  Les frais de représentation se sont élevés à 30 000 $ pour l'exercice 2020, mais seulement 20 000 $ de ces coûts</t>
  </si>
  <si>
    <t>sont déductibles aux fins fiscales</t>
  </si>
  <si>
    <t>-  Aucun paiement (acompte provisionnel) n'a été fait aux autorités fiscales au cours de l'exercice</t>
  </si>
  <si>
    <t>Travail à faire :</t>
  </si>
  <si>
    <t>a) Calculer le bénéfice imposable et l'impôt exigible pour 2020</t>
  </si>
  <si>
    <t>c) Préparer les écritures de journal qu'il faudra enregistrer pour l'exercice 2020 pour comptabiliser les impôts.</t>
  </si>
  <si>
    <t>Impôts sur le résultat</t>
  </si>
  <si>
    <t>BAI</t>
  </si>
  <si>
    <t>Amort comptable</t>
  </si>
  <si>
    <t>Déduction pour amort</t>
  </si>
  <si>
    <t>écart temporaire</t>
  </si>
  <si>
    <t>Frais de représentation</t>
  </si>
  <si>
    <t>écart permanent</t>
  </si>
  <si>
    <t>Bénéfice imposable</t>
  </si>
  <si>
    <t>Taux d'impôt</t>
  </si>
  <si>
    <t>Impôts exigibles</t>
  </si>
  <si>
    <t>Valeur comptable</t>
  </si>
  <si>
    <t>Base fiscale</t>
  </si>
  <si>
    <t>Écart</t>
  </si>
  <si>
    <t>Taux d'impôts</t>
  </si>
  <si>
    <t>Impôts différés</t>
  </si>
  <si>
    <t>Immobilisations</t>
  </si>
  <si>
    <t>Passif ID</t>
  </si>
  <si>
    <t>31 déc 2019</t>
  </si>
  <si>
    <t>31 déc 2020</t>
  </si>
  <si>
    <t>augmentation Passif ID</t>
  </si>
  <si>
    <t>@  Impôts à payer</t>
  </si>
  <si>
    <t>Charge impôts exigibles</t>
  </si>
  <si>
    <t>Charge impôts différés</t>
  </si>
  <si>
    <t>@  Passif impôts différés</t>
  </si>
  <si>
    <t>Il faut ajuster le solde déjà présent dans les livres</t>
  </si>
  <si>
    <t xml:space="preserve">Continuons le problème avec l'exercice 2021 : </t>
  </si>
  <si>
    <t>- Le taux d'imposition de l'exercice est de 42 %, mais la législation est passée pour que le</t>
  </si>
  <si>
    <t>taux de 2022 soit 44 %</t>
  </si>
  <si>
    <t>-  Le bénéfice avant impôts s'élève à 400 000 $</t>
  </si>
  <si>
    <t>-  La charge d'amortissement pour les immobilisations s'élève à 60 000 $ et la déduction</t>
  </si>
  <si>
    <t>pour amortissement fiscal s'élève à 43 000 $</t>
  </si>
  <si>
    <t>- ABC a mis en place un nouveau programme de garantie au début de 2021</t>
  </si>
  <si>
    <t>La charge aux états financiers s'élève à 45 000 $ alors que les déboursés se sont élevés</t>
  </si>
  <si>
    <t>à 42 000 $</t>
  </si>
  <si>
    <t>-  Achat d'un placement en actions cotées pour 25 000 $ le 30 novembre 2021.</t>
  </si>
  <si>
    <t>a) Calculer le bénéfice imposable et l'impôt exigible pour 2021</t>
  </si>
  <si>
    <t>c) Préparer les écritures de journal qu'il faudra enregistrer pour l'exercice 2021 pour comptabiliser les impôts.</t>
  </si>
  <si>
    <t>Charge garantie</t>
  </si>
  <si>
    <t>Déboursés garantie</t>
  </si>
  <si>
    <t>Placement - 50 %</t>
  </si>
  <si>
    <t>Ce placement est présenté à la JVBRN à 28 000 $ au 31 décembre 2021.</t>
  </si>
  <si>
    <t>31 déc 2021</t>
  </si>
  <si>
    <t>diminution Passif ID</t>
  </si>
  <si>
    <t>Placement</t>
  </si>
  <si>
    <t>Total</t>
  </si>
  <si>
    <t>Provision pour garantie</t>
  </si>
  <si>
    <t>Actif ID</t>
  </si>
  <si>
    <t>augmentation Actif ID</t>
  </si>
  <si>
    <t>Passif impôts différés</t>
  </si>
  <si>
    <t>@  Produit impôts différés</t>
  </si>
  <si>
    <t xml:space="preserve">Ajoutons un élément au problème : </t>
  </si>
  <si>
    <t>-  Le 31 octobre 2020, ABC acquiert un matériel roulant dans une catégorie fiscale</t>
  </si>
  <si>
    <t>distincte pour un montant de 40 000 $.</t>
  </si>
  <si>
    <t>Amortissement comptable linéaire cinq ans avec valeur résiduelle de 5 000 $</t>
  </si>
  <si>
    <t>Taux d'amortissement fiscal : 30 %, avec règle 1,5 fois l'année d'acquisition</t>
  </si>
  <si>
    <t xml:space="preserve">Travail à faire : </t>
  </si>
  <si>
    <t>Déterminer l'impact au niveau des impôts exigibles et des impôts différés de 2020</t>
  </si>
  <si>
    <t>Au niveau des impôts exigibles, écart temporaire</t>
  </si>
  <si>
    <t>ajustement au BAI pour calculer le bénéfice imposable</t>
  </si>
  <si>
    <t>Continuons l'extrait avec la disposition en 2021</t>
  </si>
  <si>
    <t>Déterminer l'impact au niveau des impôts exigibles et des impôts différés de 2021</t>
  </si>
  <si>
    <t>---------------------------------------------------------------------------------------------------------------------</t>
  </si>
  <si>
    <t>- Vente du matériel roulant le 31 mars 2021 pour 44 000 $</t>
  </si>
  <si>
    <t>Vente</t>
  </si>
  <si>
    <t>Produit de disposition</t>
  </si>
  <si>
    <t>Comptable</t>
  </si>
  <si>
    <t>Fiscal</t>
  </si>
  <si>
    <t>Valeur nette comptable</t>
  </si>
  <si>
    <t>Gain sur cession</t>
  </si>
  <si>
    <t>FNACC</t>
  </si>
  <si>
    <t>Coût initial</t>
  </si>
  <si>
    <t>Gain en capital, 50 % imposable</t>
  </si>
  <si>
    <t>Récupération, 100 % imposable</t>
  </si>
  <si>
    <t xml:space="preserve">Au niveau des impôts exigibles : </t>
  </si>
  <si>
    <t>Amortissement comptable</t>
  </si>
  <si>
    <t>Déduction pour amortissement (fiscal)</t>
  </si>
  <si>
    <t>Gain comptable</t>
  </si>
  <si>
    <t>Gain fiscal - 50 %</t>
  </si>
  <si>
    <t>Récupération amortissement fiscal</t>
  </si>
  <si>
    <t>b) Calculer le montant des impôts différés à la fin de 2019 et de 2020</t>
  </si>
  <si>
    <t>b) Calculer le montant des impôts différés à la fin de 2020 et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</si>
</sst>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4" fillId="0" borderId="0" xfId="0" applyFont="1"/>
    <xf numFmtId="0" fontId="3" fillId="0" borderId="0" xfId="0" applyFont="1"/>
    <xf numFmtId="3" fontId="0" fillId="0" borderId="0" xfId="0" applyNumberFormat="1"/>
    <xf numFmtId="3" fontId="0" fillId="0" borderId="1" xfId="0" applyNumberFormat="1" applyBorder="1"/>
    <xf numFmtId="9" fontId="0" fillId="0" borderId="0" xfId="1" applyFont="1"/>
    <xf numFmtId="9" fontId="0" fillId="0" borderId="1" xfId="1" applyFont="1" applyBorder="1"/>
    <xf numFmtId="3" fontId="3" fillId="0" borderId="0" xfId="0" applyNumberFormat="1" applyFont="1"/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2" applyFont="1"/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0616-EAE9-42F4-9DA6-32550F90C868}">
  <sheetPr>
    <pageSetUpPr fitToPage="1"/>
  </sheetPr>
  <dimension ref="A1:C21"/>
  <sheetViews>
    <sheetView workbookViewId="0">
      <selection activeCell="B20" sqref="B20"/>
    </sheetView>
  </sheetViews>
  <sheetFormatPr baseColWidth="10" defaultRowHeight="14.4" x14ac:dyDescent="0.3"/>
  <cols>
    <col min="1" max="1" width="3.33203125" customWidth="1"/>
  </cols>
  <sheetData>
    <row r="1" spans="1:3" x14ac:dyDescent="0.3">
      <c r="A1" s="4" t="s">
        <v>17</v>
      </c>
    </row>
    <row r="3" spans="1:3" x14ac:dyDescent="0.3">
      <c r="A3" t="s">
        <v>0</v>
      </c>
    </row>
    <row r="4" spans="1:3" x14ac:dyDescent="0.3">
      <c r="A4" s="1" t="s">
        <v>1</v>
      </c>
    </row>
    <row r="5" spans="1:3" x14ac:dyDescent="0.3">
      <c r="B5" t="s">
        <v>2</v>
      </c>
    </row>
    <row r="6" spans="1:3" x14ac:dyDescent="0.3">
      <c r="B6" t="s">
        <v>3</v>
      </c>
    </row>
    <row r="7" spans="1:3" x14ac:dyDescent="0.3">
      <c r="A7" s="1" t="s">
        <v>4</v>
      </c>
    </row>
    <row r="8" spans="1:3" x14ac:dyDescent="0.3">
      <c r="A8" s="1" t="s">
        <v>5</v>
      </c>
    </row>
    <row r="9" spans="1:3" x14ac:dyDescent="0.3">
      <c r="B9" t="s">
        <v>6</v>
      </c>
    </row>
    <row r="10" spans="1:3" x14ac:dyDescent="0.3">
      <c r="B10" t="s">
        <v>7</v>
      </c>
    </row>
    <row r="11" spans="1:3" x14ac:dyDescent="0.3">
      <c r="B11" t="s">
        <v>10</v>
      </c>
    </row>
    <row r="12" spans="1:3" x14ac:dyDescent="0.3">
      <c r="C12" s="2" t="s">
        <v>8</v>
      </c>
    </row>
    <row r="13" spans="1:3" x14ac:dyDescent="0.3">
      <c r="C13" s="2" t="s">
        <v>9</v>
      </c>
    </row>
    <row r="14" spans="1:3" x14ac:dyDescent="0.3">
      <c r="A14" s="1" t="s">
        <v>11</v>
      </c>
    </row>
    <row r="15" spans="1:3" x14ac:dyDescent="0.3">
      <c r="B15" t="s">
        <v>12</v>
      </c>
    </row>
    <row r="16" spans="1:3" x14ac:dyDescent="0.3">
      <c r="A16" s="1" t="s">
        <v>13</v>
      </c>
    </row>
    <row r="18" spans="1:2" x14ac:dyDescent="0.3">
      <c r="A18" s="3" t="s">
        <v>14</v>
      </c>
    </row>
    <row r="19" spans="1:2" x14ac:dyDescent="0.3">
      <c r="B19" t="s">
        <v>15</v>
      </c>
    </row>
    <row r="20" spans="1:2" x14ac:dyDescent="0.3">
      <c r="B20" t="s">
        <v>96</v>
      </c>
    </row>
    <row r="21" spans="1:2" x14ac:dyDescent="0.3">
      <c r="B21" t="s">
        <v>16</v>
      </c>
    </row>
  </sheetData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E458-E4D0-46E8-9688-92DA48D83432}">
  <sheetPr>
    <pageSetUpPr fitToPage="1"/>
  </sheetPr>
  <dimension ref="A2:I29"/>
  <sheetViews>
    <sheetView workbookViewId="0">
      <selection activeCell="B22" sqref="B22"/>
    </sheetView>
  </sheetViews>
  <sheetFormatPr baseColWidth="10" defaultRowHeight="14.4" x14ac:dyDescent="0.3"/>
  <cols>
    <col min="1" max="1" width="10.88671875" customWidth="1"/>
    <col min="2" max="2" width="20.88671875" customWidth="1"/>
  </cols>
  <sheetData>
    <row r="2" spans="1:9" x14ac:dyDescent="0.3">
      <c r="A2" s="4" t="s">
        <v>15</v>
      </c>
    </row>
    <row r="4" spans="1:9" x14ac:dyDescent="0.3">
      <c r="B4" t="s">
        <v>18</v>
      </c>
      <c r="C4" s="5">
        <v>500000</v>
      </c>
    </row>
    <row r="5" spans="1:9" x14ac:dyDescent="0.3">
      <c r="B5" t="s">
        <v>19</v>
      </c>
      <c r="C5" s="5">
        <v>60000</v>
      </c>
      <c r="D5" t="s">
        <v>21</v>
      </c>
    </row>
    <row r="6" spans="1:9" x14ac:dyDescent="0.3">
      <c r="B6" t="s">
        <v>20</v>
      </c>
      <c r="C6" s="5">
        <v>-75000</v>
      </c>
      <c r="D6" t="s">
        <v>21</v>
      </c>
    </row>
    <row r="7" spans="1:9" x14ac:dyDescent="0.3">
      <c r="B7" t="s">
        <v>22</v>
      </c>
      <c r="C7" s="6">
        <v>10000</v>
      </c>
      <c r="D7" t="s">
        <v>23</v>
      </c>
    </row>
    <row r="8" spans="1:9" x14ac:dyDescent="0.3">
      <c r="B8" s="4" t="s">
        <v>24</v>
      </c>
      <c r="C8" s="9">
        <f>SUM(C4:C7)</f>
        <v>495000</v>
      </c>
    </row>
    <row r="9" spans="1:9" x14ac:dyDescent="0.3">
      <c r="B9" t="s">
        <v>25</v>
      </c>
      <c r="C9" s="8">
        <v>0.42</v>
      </c>
    </row>
    <row r="10" spans="1:9" x14ac:dyDescent="0.3">
      <c r="B10" s="4" t="s">
        <v>26</v>
      </c>
      <c r="C10" s="9">
        <f>+C8*C9</f>
        <v>207900</v>
      </c>
    </row>
    <row r="11" spans="1:9" x14ac:dyDescent="0.3">
      <c r="C11" s="5"/>
    </row>
    <row r="12" spans="1:9" x14ac:dyDescent="0.3">
      <c r="C12" s="5"/>
    </row>
    <row r="13" spans="1:9" x14ac:dyDescent="0.3">
      <c r="A13" s="4" t="s">
        <v>96</v>
      </c>
      <c r="C13" s="5"/>
    </row>
    <row r="14" spans="1:9" x14ac:dyDescent="0.3">
      <c r="C14" s="5"/>
    </row>
    <row r="15" spans="1:9" ht="28.8" x14ac:dyDescent="0.3">
      <c r="D15" s="10" t="s">
        <v>27</v>
      </c>
      <c r="E15" s="11" t="s">
        <v>28</v>
      </c>
      <c r="F15" s="11" t="s">
        <v>29</v>
      </c>
      <c r="G15" s="11" t="s">
        <v>30</v>
      </c>
      <c r="H15" s="11" t="s">
        <v>31</v>
      </c>
    </row>
    <row r="16" spans="1:9" x14ac:dyDescent="0.3">
      <c r="B16" t="s">
        <v>32</v>
      </c>
      <c r="C16" t="s">
        <v>34</v>
      </c>
      <c r="D16" s="5">
        <f>250000+60000</f>
        <v>310000</v>
      </c>
      <c r="E16" s="5">
        <f>215000+75000</f>
        <v>290000</v>
      </c>
      <c r="F16" s="5">
        <f>+D16-E16</f>
        <v>20000</v>
      </c>
      <c r="G16" s="7">
        <v>0.45</v>
      </c>
      <c r="H16" s="5">
        <f>+F16*G16</f>
        <v>9000</v>
      </c>
      <c r="I16" t="s">
        <v>33</v>
      </c>
    </row>
    <row r="17" spans="1:9" x14ac:dyDescent="0.3">
      <c r="C17" s="5" t="s">
        <v>35</v>
      </c>
      <c r="D17" s="5">
        <v>250000</v>
      </c>
      <c r="E17" s="5">
        <v>215000</v>
      </c>
      <c r="F17" s="5">
        <f>+D17-E17</f>
        <v>35000</v>
      </c>
      <c r="G17" s="7">
        <v>0.42</v>
      </c>
      <c r="H17" s="6">
        <f>+F17*G17</f>
        <v>14700</v>
      </c>
      <c r="I17" t="s">
        <v>33</v>
      </c>
    </row>
    <row r="18" spans="1:9" x14ac:dyDescent="0.3">
      <c r="C18" s="5"/>
      <c r="D18" s="5"/>
      <c r="E18" s="5"/>
      <c r="F18" s="5"/>
      <c r="G18" s="5"/>
      <c r="H18" s="5">
        <f>H17-H16</f>
        <v>5700</v>
      </c>
      <c r="I18" t="s">
        <v>36</v>
      </c>
    </row>
    <row r="19" spans="1:9" x14ac:dyDescent="0.3">
      <c r="C19" s="5"/>
      <c r="D19" s="5"/>
      <c r="E19" s="5"/>
      <c r="F19" s="5"/>
      <c r="G19" s="5"/>
      <c r="H19" s="5"/>
    </row>
    <row r="20" spans="1:9" x14ac:dyDescent="0.3">
      <c r="C20" s="5"/>
      <c r="D20" s="5"/>
      <c r="E20" s="5"/>
      <c r="F20" s="5"/>
      <c r="G20" s="5"/>
      <c r="H20" s="5"/>
    </row>
    <row r="21" spans="1:9" x14ac:dyDescent="0.3">
      <c r="A21" s="4" t="s">
        <v>16</v>
      </c>
      <c r="C21" s="5"/>
    </row>
    <row r="22" spans="1:9" x14ac:dyDescent="0.3">
      <c r="C22" s="5"/>
    </row>
    <row r="23" spans="1:9" x14ac:dyDescent="0.3">
      <c r="A23" t="s">
        <v>38</v>
      </c>
      <c r="C23" s="5">
        <f>+C10</f>
        <v>207900</v>
      </c>
    </row>
    <row r="24" spans="1:9" x14ac:dyDescent="0.3">
      <c r="A24" s="1" t="s">
        <v>37</v>
      </c>
      <c r="C24" s="5"/>
      <c r="D24" s="5">
        <f>+C23</f>
        <v>207900</v>
      </c>
    </row>
    <row r="25" spans="1:9" x14ac:dyDescent="0.3">
      <c r="C25" s="5"/>
    </row>
    <row r="26" spans="1:9" x14ac:dyDescent="0.3">
      <c r="A26" t="s">
        <v>39</v>
      </c>
      <c r="C26" s="5">
        <f>+H18</f>
        <v>5700</v>
      </c>
    </row>
    <row r="27" spans="1:9" x14ac:dyDescent="0.3">
      <c r="A27" s="1" t="s">
        <v>40</v>
      </c>
      <c r="C27" s="5"/>
      <c r="D27" s="5">
        <f>+C26</f>
        <v>5700</v>
      </c>
      <c r="E27" s="2" t="s">
        <v>41</v>
      </c>
    </row>
    <row r="28" spans="1:9" x14ac:dyDescent="0.3">
      <c r="C28" s="5"/>
    </row>
    <row r="29" spans="1:9" x14ac:dyDescent="0.3">
      <c r="C29" s="5"/>
    </row>
  </sheetData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B59-5143-49CD-B264-DCDEE1999B59}">
  <sheetPr>
    <pageSetUpPr fitToPage="1"/>
  </sheetPr>
  <dimension ref="A2:K18"/>
  <sheetViews>
    <sheetView tabSelected="1" workbookViewId="0">
      <selection activeCell="L25" sqref="L25"/>
    </sheetView>
  </sheetViews>
  <sheetFormatPr baseColWidth="10" defaultRowHeight="14.4" x14ac:dyDescent="0.3"/>
  <cols>
    <col min="1" max="1" width="3.44140625" customWidth="1"/>
    <col min="12" max="12" width="14" bestFit="1" customWidth="1"/>
  </cols>
  <sheetData>
    <row r="2" spans="1:11" x14ac:dyDescent="0.3">
      <c r="A2" t="s">
        <v>42</v>
      </c>
    </row>
    <row r="4" spans="1:11" x14ac:dyDescent="0.3">
      <c r="A4" s="1" t="s">
        <v>43</v>
      </c>
    </row>
    <row r="5" spans="1:11" x14ac:dyDescent="0.3">
      <c r="B5" t="s">
        <v>44</v>
      </c>
    </row>
    <row r="6" spans="1:11" x14ac:dyDescent="0.3">
      <c r="A6" s="1" t="s">
        <v>45</v>
      </c>
    </row>
    <row r="7" spans="1:11" x14ac:dyDescent="0.3">
      <c r="A7" s="1" t="s">
        <v>46</v>
      </c>
    </row>
    <row r="8" spans="1:11" x14ac:dyDescent="0.3">
      <c r="B8" t="s">
        <v>47</v>
      </c>
    </row>
    <row r="9" spans="1:11" x14ac:dyDescent="0.3">
      <c r="A9" s="1" t="s">
        <v>48</v>
      </c>
    </row>
    <row r="10" spans="1:11" x14ac:dyDescent="0.3">
      <c r="B10" t="s">
        <v>49</v>
      </c>
    </row>
    <row r="11" spans="1:11" x14ac:dyDescent="0.3">
      <c r="B11" t="s">
        <v>50</v>
      </c>
    </row>
    <row r="12" spans="1:11" x14ac:dyDescent="0.3">
      <c r="A12" s="1" t="s">
        <v>51</v>
      </c>
    </row>
    <row r="13" spans="1:11" x14ac:dyDescent="0.3">
      <c r="B13" t="s">
        <v>57</v>
      </c>
      <c r="K13" s="12"/>
    </row>
    <row r="15" spans="1:11" x14ac:dyDescent="0.3">
      <c r="A15" s="3" t="s">
        <v>14</v>
      </c>
    </row>
    <row r="16" spans="1:11" x14ac:dyDescent="0.3">
      <c r="B16" t="s">
        <v>52</v>
      </c>
    </row>
    <row r="17" spans="2:2" x14ac:dyDescent="0.3">
      <c r="B17" t="s">
        <v>97</v>
      </c>
    </row>
    <row r="18" spans="2:2" x14ac:dyDescent="0.3">
      <c r="B18" t="s">
        <v>53</v>
      </c>
    </row>
  </sheetData>
  <pageMargins left="0.7" right="0.7" top="0.75" bottom="0.75" header="0.3" footer="0.3"/>
  <pageSetup scale="96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57D1-F5E6-4C56-A92D-2EC06C428059}">
  <sheetPr>
    <pageSetUpPr fitToPage="1"/>
  </sheetPr>
  <dimension ref="A2:I39"/>
  <sheetViews>
    <sheetView topLeftCell="A7" workbookViewId="0">
      <selection activeCell="F26" sqref="F26"/>
    </sheetView>
  </sheetViews>
  <sheetFormatPr baseColWidth="10" defaultRowHeight="14.4" x14ac:dyDescent="0.3"/>
  <cols>
    <col min="2" max="2" width="19.5546875" customWidth="1"/>
  </cols>
  <sheetData>
    <row r="2" spans="1:4" x14ac:dyDescent="0.3">
      <c r="A2" s="4" t="s">
        <v>52</v>
      </c>
    </row>
    <row r="4" spans="1:4" x14ac:dyDescent="0.3">
      <c r="B4" t="s">
        <v>18</v>
      </c>
      <c r="C4" s="5">
        <v>400000</v>
      </c>
    </row>
    <row r="5" spans="1:4" x14ac:dyDescent="0.3">
      <c r="B5" t="s">
        <v>19</v>
      </c>
      <c r="C5" s="5">
        <v>60000</v>
      </c>
      <c r="D5" t="s">
        <v>21</v>
      </c>
    </row>
    <row r="6" spans="1:4" x14ac:dyDescent="0.3">
      <c r="B6" t="s">
        <v>20</v>
      </c>
      <c r="C6" s="5">
        <v>-43000</v>
      </c>
      <c r="D6" t="s">
        <v>21</v>
      </c>
    </row>
    <row r="7" spans="1:4" x14ac:dyDescent="0.3">
      <c r="B7" t="s">
        <v>54</v>
      </c>
      <c r="C7" s="5">
        <v>45000</v>
      </c>
      <c r="D7" t="s">
        <v>21</v>
      </c>
    </row>
    <row r="8" spans="1:4" x14ac:dyDescent="0.3">
      <c r="B8" t="s">
        <v>55</v>
      </c>
      <c r="C8" s="5">
        <v>-42000</v>
      </c>
      <c r="D8" t="s">
        <v>21</v>
      </c>
    </row>
    <row r="9" spans="1:4" x14ac:dyDescent="0.3">
      <c r="B9" t="s">
        <v>56</v>
      </c>
      <c r="C9" s="5">
        <f>-(28000-25000)*0.5</f>
        <v>-1500</v>
      </c>
      <c r="D9" t="s">
        <v>23</v>
      </c>
    </row>
    <row r="10" spans="1:4" x14ac:dyDescent="0.3">
      <c r="B10" t="s">
        <v>56</v>
      </c>
      <c r="C10" s="6">
        <f>-(28000-25000)*0.5</f>
        <v>-1500</v>
      </c>
      <c r="D10" t="s">
        <v>21</v>
      </c>
    </row>
    <row r="11" spans="1:4" x14ac:dyDescent="0.3">
      <c r="B11" s="4" t="s">
        <v>24</v>
      </c>
      <c r="C11" s="9">
        <f>SUM(C4:C10)</f>
        <v>417000</v>
      </c>
    </row>
    <row r="12" spans="1:4" x14ac:dyDescent="0.3">
      <c r="B12" t="s">
        <v>25</v>
      </c>
      <c r="C12" s="8">
        <v>0.42</v>
      </c>
    </row>
    <row r="13" spans="1:4" x14ac:dyDescent="0.3">
      <c r="B13" s="4" t="s">
        <v>26</v>
      </c>
      <c r="C13" s="9">
        <f>+C11*C12</f>
        <v>175140</v>
      </c>
    </row>
    <row r="14" spans="1:4" x14ac:dyDescent="0.3">
      <c r="B14" s="4"/>
      <c r="C14" s="9"/>
    </row>
    <row r="16" spans="1:4" x14ac:dyDescent="0.3">
      <c r="A16" s="4" t="s">
        <v>97</v>
      </c>
    </row>
    <row r="18" spans="1:9" ht="28.8" x14ac:dyDescent="0.3">
      <c r="D18" s="10" t="s">
        <v>27</v>
      </c>
      <c r="E18" s="11" t="s">
        <v>28</v>
      </c>
      <c r="F18" s="11" t="s">
        <v>29</v>
      </c>
      <c r="G18" s="11" t="s">
        <v>30</v>
      </c>
      <c r="H18" s="11" t="s">
        <v>31</v>
      </c>
    </row>
    <row r="19" spans="1:9" x14ac:dyDescent="0.3">
      <c r="B19" t="s">
        <v>32</v>
      </c>
      <c r="C19" s="5" t="s">
        <v>35</v>
      </c>
      <c r="D19" s="5">
        <v>250000</v>
      </c>
      <c r="E19" s="5">
        <v>215000</v>
      </c>
      <c r="F19" s="5">
        <f>+D19-E19</f>
        <v>35000</v>
      </c>
      <c r="G19" s="7">
        <v>0.42</v>
      </c>
      <c r="H19" s="5">
        <f>+F19*G19</f>
        <v>14700</v>
      </c>
      <c r="I19" t="s">
        <v>33</v>
      </c>
    </row>
    <row r="20" spans="1:9" x14ac:dyDescent="0.3">
      <c r="C20" s="5" t="s">
        <v>58</v>
      </c>
      <c r="D20" s="5">
        <f>+D19-60000</f>
        <v>190000</v>
      </c>
      <c r="E20" s="5">
        <f>+E19-43000</f>
        <v>172000</v>
      </c>
      <c r="F20" s="5">
        <f>+D20-E20</f>
        <v>18000</v>
      </c>
      <c r="G20" s="7">
        <v>0.44</v>
      </c>
      <c r="H20" s="6">
        <f>+F20*G20</f>
        <v>7920</v>
      </c>
      <c r="I20" t="s">
        <v>33</v>
      </c>
    </row>
    <row r="21" spans="1:9" x14ac:dyDescent="0.3">
      <c r="C21" s="5"/>
      <c r="D21" s="5"/>
      <c r="E21" s="5"/>
      <c r="F21" s="5"/>
      <c r="G21" s="5"/>
      <c r="H21" s="5">
        <f>H20-H19</f>
        <v>-6780</v>
      </c>
      <c r="I21" t="s">
        <v>59</v>
      </c>
    </row>
    <row r="22" spans="1:9" x14ac:dyDescent="0.3">
      <c r="B22" t="s">
        <v>62</v>
      </c>
      <c r="C22" s="5" t="s">
        <v>35</v>
      </c>
      <c r="D22" s="5">
        <v>0</v>
      </c>
      <c r="E22" s="5">
        <v>0</v>
      </c>
      <c r="F22" s="5">
        <f>+D22-E22</f>
        <v>0</v>
      </c>
      <c r="G22" s="7">
        <v>0.42</v>
      </c>
      <c r="H22" s="5">
        <f>+F22*G22</f>
        <v>0</v>
      </c>
      <c r="I22" t="s">
        <v>63</v>
      </c>
    </row>
    <row r="23" spans="1:9" x14ac:dyDescent="0.3">
      <c r="C23" s="5" t="s">
        <v>58</v>
      </c>
      <c r="D23" s="5">
        <v>3000</v>
      </c>
      <c r="E23" s="5">
        <v>0</v>
      </c>
      <c r="F23" s="5">
        <f>+D23-E23</f>
        <v>3000</v>
      </c>
      <c r="G23" s="7">
        <v>0.44</v>
      </c>
      <c r="H23" s="6">
        <f>+F23*G23</f>
        <v>1320</v>
      </c>
      <c r="I23" t="s">
        <v>63</v>
      </c>
    </row>
    <row r="24" spans="1:9" x14ac:dyDescent="0.3">
      <c r="C24" s="5"/>
      <c r="D24" s="5"/>
      <c r="E24" s="5"/>
      <c r="F24" s="5"/>
      <c r="G24" s="5"/>
      <c r="H24" s="5">
        <f>H23-H22</f>
        <v>1320</v>
      </c>
      <c r="I24" t="s">
        <v>64</v>
      </c>
    </row>
    <row r="25" spans="1:9" x14ac:dyDescent="0.3">
      <c r="B25" t="s">
        <v>60</v>
      </c>
      <c r="C25" s="5" t="s">
        <v>35</v>
      </c>
      <c r="D25" s="5">
        <v>0</v>
      </c>
      <c r="E25" s="5">
        <v>0</v>
      </c>
      <c r="F25" s="5">
        <f>+D25-E25</f>
        <v>0</v>
      </c>
      <c r="G25" s="7">
        <v>0.42</v>
      </c>
      <c r="H25" s="5">
        <f>+F25*G25</f>
        <v>0</v>
      </c>
      <c r="I25" t="s">
        <v>33</v>
      </c>
    </row>
    <row r="26" spans="1:9" x14ac:dyDescent="0.3">
      <c r="C26" s="5" t="s">
        <v>58</v>
      </c>
      <c r="D26" s="5">
        <v>28000</v>
      </c>
      <c r="E26" s="5">
        <v>25000</v>
      </c>
      <c r="F26" s="5">
        <f>(+D26-E26)*0.5</f>
        <v>1500</v>
      </c>
      <c r="G26" s="7">
        <v>0.44</v>
      </c>
      <c r="H26" s="6">
        <f>+F26*G26</f>
        <v>660</v>
      </c>
      <c r="I26" t="s">
        <v>33</v>
      </c>
    </row>
    <row r="27" spans="1:9" x14ac:dyDescent="0.3">
      <c r="C27" s="5"/>
      <c r="D27" s="5"/>
      <c r="E27" s="5"/>
      <c r="F27" s="5"/>
      <c r="G27" s="5"/>
      <c r="H27" s="5">
        <f>H26-H25</f>
        <v>660</v>
      </c>
      <c r="I27" t="s">
        <v>36</v>
      </c>
    </row>
    <row r="29" spans="1:9" x14ac:dyDescent="0.3">
      <c r="G29" t="s">
        <v>61</v>
      </c>
      <c r="H29" s="5">
        <f>+H27-H24+H21</f>
        <v>-7440</v>
      </c>
      <c r="I29" t="s">
        <v>59</v>
      </c>
    </row>
    <row r="32" spans="1:9" x14ac:dyDescent="0.3">
      <c r="A32" s="4" t="s">
        <v>53</v>
      </c>
      <c r="C32" s="5"/>
    </row>
    <row r="33" spans="1:9" x14ac:dyDescent="0.3">
      <c r="C33" s="5"/>
    </row>
    <row r="34" spans="1:9" x14ac:dyDescent="0.3">
      <c r="A34" t="s">
        <v>38</v>
      </c>
      <c r="C34" s="5">
        <f>+C13</f>
        <v>175140</v>
      </c>
    </row>
    <row r="35" spans="1:9" x14ac:dyDescent="0.3">
      <c r="A35" s="1" t="s">
        <v>37</v>
      </c>
      <c r="C35" s="5"/>
      <c r="D35" s="5">
        <f>+C34</f>
        <v>175140</v>
      </c>
    </row>
    <row r="36" spans="1:9" x14ac:dyDescent="0.3">
      <c r="C36" s="5"/>
      <c r="I36" s="5"/>
    </row>
    <row r="37" spans="1:9" x14ac:dyDescent="0.3">
      <c r="A37" t="s">
        <v>65</v>
      </c>
      <c r="C37" s="5">
        <f>-H29</f>
        <v>7440</v>
      </c>
    </row>
    <row r="38" spans="1:9" x14ac:dyDescent="0.3">
      <c r="A38" s="1" t="s">
        <v>66</v>
      </c>
      <c r="C38" s="5"/>
      <c r="D38" s="5">
        <f>+C37</f>
        <v>7440</v>
      </c>
      <c r="E38" s="2" t="s">
        <v>41</v>
      </c>
    </row>
    <row r="39" spans="1:9" x14ac:dyDescent="0.3">
      <c r="C39" s="5"/>
    </row>
  </sheetData>
  <pageMargins left="0.7" right="0.7" top="0.75" bottom="0.75" header="0.3" footer="0.3"/>
  <pageSetup scale="74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87F9-4FAA-4D2D-A8AF-C54D28892DD5}">
  <dimension ref="A2:B19"/>
  <sheetViews>
    <sheetView topLeftCell="A7" workbookViewId="0">
      <selection activeCell="J13" sqref="J13"/>
    </sheetView>
  </sheetViews>
  <sheetFormatPr baseColWidth="10" defaultRowHeight="14.4" x14ac:dyDescent="0.3"/>
  <cols>
    <col min="1" max="1" width="3.44140625" customWidth="1"/>
  </cols>
  <sheetData>
    <row r="2" spans="1:2" x14ac:dyDescent="0.3">
      <c r="A2" t="s">
        <v>67</v>
      </c>
    </row>
    <row r="4" spans="1:2" x14ac:dyDescent="0.3">
      <c r="A4" s="1" t="s">
        <v>68</v>
      </c>
    </row>
    <row r="5" spans="1:2" x14ac:dyDescent="0.3">
      <c r="B5" t="s">
        <v>69</v>
      </c>
    </row>
    <row r="6" spans="1:2" x14ac:dyDescent="0.3">
      <c r="B6" t="s">
        <v>70</v>
      </c>
    </row>
    <row r="7" spans="1:2" x14ac:dyDescent="0.3">
      <c r="B7" t="s">
        <v>71</v>
      </c>
    </row>
    <row r="9" spans="1:2" x14ac:dyDescent="0.3">
      <c r="A9" s="3" t="s">
        <v>72</v>
      </c>
    </row>
    <row r="10" spans="1:2" x14ac:dyDescent="0.3">
      <c r="B10" t="s">
        <v>73</v>
      </c>
    </row>
    <row r="12" spans="1:2" x14ac:dyDescent="0.3">
      <c r="A12" s="1" t="s">
        <v>78</v>
      </c>
    </row>
    <row r="14" spans="1:2" x14ac:dyDescent="0.3">
      <c r="A14" t="s">
        <v>76</v>
      </c>
    </row>
    <row r="16" spans="1:2" x14ac:dyDescent="0.3">
      <c r="A16" s="1" t="s">
        <v>79</v>
      </c>
    </row>
    <row r="18" spans="1:2" x14ac:dyDescent="0.3">
      <c r="A18" s="3" t="s">
        <v>72</v>
      </c>
    </row>
    <row r="19" spans="1:2" x14ac:dyDescent="0.3">
      <c r="B19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71C9-D7D3-4E7A-AB9F-A79683F2EDD7}">
  <sheetPr>
    <pageSetUpPr fitToPage="1"/>
  </sheetPr>
  <dimension ref="A2:I44"/>
  <sheetViews>
    <sheetView workbookViewId="0">
      <selection activeCell="M29" sqref="M29"/>
    </sheetView>
  </sheetViews>
  <sheetFormatPr baseColWidth="10" defaultRowHeight="14.4" x14ac:dyDescent="0.3"/>
  <cols>
    <col min="1" max="1" width="4.5546875" customWidth="1"/>
  </cols>
  <sheetData>
    <row r="2" spans="1:9" x14ac:dyDescent="0.3">
      <c r="A2" s="4" t="s">
        <v>73</v>
      </c>
    </row>
    <row r="4" spans="1:9" x14ac:dyDescent="0.3">
      <c r="A4" s="1" t="s">
        <v>68</v>
      </c>
    </row>
    <row r="5" spans="1:9" x14ac:dyDescent="0.3">
      <c r="B5" t="s">
        <v>69</v>
      </c>
    </row>
    <row r="6" spans="1:9" x14ac:dyDescent="0.3">
      <c r="B6" t="s">
        <v>70</v>
      </c>
      <c r="I6" s="5">
        <f>+(40000-5000)/5*2/12</f>
        <v>1166.6666666666667</v>
      </c>
    </row>
    <row r="7" spans="1:9" x14ac:dyDescent="0.3">
      <c r="B7" t="s">
        <v>71</v>
      </c>
      <c r="I7" s="5">
        <f>40000*0.3*1.5</f>
        <v>18000</v>
      </c>
    </row>
    <row r="8" spans="1:9" x14ac:dyDescent="0.3">
      <c r="I8" s="5"/>
    </row>
    <row r="9" spans="1:9" x14ac:dyDescent="0.3">
      <c r="B9" t="s">
        <v>74</v>
      </c>
      <c r="F9" s="5">
        <f>+I6</f>
        <v>1166.6666666666667</v>
      </c>
      <c r="G9" t="s">
        <v>91</v>
      </c>
      <c r="I9" s="5"/>
    </row>
    <row r="10" spans="1:9" x14ac:dyDescent="0.3">
      <c r="F10" s="6">
        <f>-I7</f>
        <v>-18000</v>
      </c>
      <c r="G10" t="s">
        <v>92</v>
      </c>
    </row>
    <row r="11" spans="1:9" x14ac:dyDescent="0.3">
      <c r="F11" s="9">
        <f>SUM(F9:F10)</f>
        <v>-16833.333333333332</v>
      </c>
      <c r="G11" s="4" t="s">
        <v>75</v>
      </c>
    </row>
    <row r="13" spans="1:9" ht="28.8" x14ac:dyDescent="0.3">
      <c r="D13" s="10" t="s">
        <v>27</v>
      </c>
      <c r="E13" s="11" t="s">
        <v>28</v>
      </c>
      <c r="F13" s="11" t="s">
        <v>29</v>
      </c>
      <c r="G13" s="11" t="s">
        <v>30</v>
      </c>
      <c r="H13" s="11" t="s">
        <v>31</v>
      </c>
    </row>
    <row r="14" spans="1:9" x14ac:dyDescent="0.3">
      <c r="B14" t="s">
        <v>32</v>
      </c>
      <c r="C14" t="s">
        <v>34</v>
      </c>
      <c r="D14" s="5">
        <v>0</v>
      </c>
      <c r="E14" s="5">
        <v>0</v>
      </c>
      <c r="F14" s="5">
        <f>+D14-E14</f>
        <v>0</v>
      </c>
      <c r="G14" s="7">
        <v>0.45</v>
      </c>
      <c r="H14" s="5">
        <f>+F14*G14</f>
        <v>0</v>
      </c>
      <c r="I14" t="s">
        <v>33</v>
      </c>
    </row>
    <row r="15" spans="1:9" x14ac:dyDescent="0.3">
      <c r="C15" s="5" t="s">
        <v>35</v>
      </c>
      <c r="D15" s="5">
        <f>40000-I6</f>
        <v>38833.333333333336</v>
      </c>
      <c r="E15" s="5">
        <f>40000-I7</f>
        <v>22000</v>
      </c>
      <c r="F15" s="5">
        <f>+D15-E15</f>
        <v>16833.333333333336</v>
      </c>
      <c r="G15" s="7">
        <v>0.42</v>
      </c>
      <c r="H15" s="6">
        <f>+F15*G15</f>
        <v>7070.0000000000009</v>
      </c>
      <c r="I15" t="s">
        <v>33</v>
      </c>
    </row>
    <row r="16" spans="1:9" x14ac:dyDescent="0.3">
      <c r="C16" s="5"/>
      <c r="D16" s="5"/>
      <c r="E16" s="5"/>
      <c r="F16" s="5"/>
      <c r="G16" s="5"/>
      <c r="H16" s="9">
        <f>H15-H14</f>
        <v>7070.0000000000009</v>
      </c>
      <c r="I16" s="4" t="s">
        <v>36</v>
      </c>
    </row>
    <row r="18" spans="1:9" x14ac:dyDescent="0.3">
      <c r="A18" s="1" t="s">
        <v>78</v>
      </c>
    </row>
    <row r="20" spans="1:9" x14ac:dyDescent="0.3">
      <c r="A20" s="4" t="s">
        <v>77</v>
      </c>
    </row>
    <row r="22" spans="1:9" x14ac:dyDescent="0.3">
      <c r="A22" s="1" t="s">
        <v>79</v>
      </c>
    </row>
    <row r="23" spans="1:9" x14ac:dyDescent="0.3">
      <c r="B23" t="s">
        <v>70</v>
      </c>
      <c r="I23" s="5">
        <f>+(40000-5000)/5*3/12</f>
        <v>1750</v>
      </c>
    </row>
    <row r="24" spans="1:9" x14ac:dyDescent="0.3">
      <c r="B24" t="s">
        <v>71</v>
      </c>
      <c r="I24" s="5">
        <v>0</v>
      </c>
    </row>
    <row r="26" spans="1:9" x14ac:dyDescent="0.3">
      <c r="E26" t="s">
        <v>82</v>
      </c>
      <c r="G26" t="s">
        <v>83</v>
      </c>
    </row>
    <row r="27" spans="1:9" x14ac:dyDescent="0.3">
      <c r="B27" t="s">
        <v>80</v>
      </c>
      <c r="C27" t="s">
        <v>81</v>
      </c>
      <c r="E27" s="5">
        <v>44000</v>
      </c>
      <c r="F27" s="5"/>
      <c r="G27" s="5">
        <f>+E27</f>
        <v>44000</v>
      </c>
    </row>
    <row r="28" spans="1:9" x14ac:dyDescent="0.3">
      <c r="C28" t="s">
        <v>84</v>
      </c>
      <c r="E28" s="6">
        <f>40000-I6-I23</f>
        <v>37083.333333333336</v>
      </c>
      <c r="F28" t="s">
        <v>87</v>
      </c>
      <c r="G28" s="6">
        <v>40000</v>
      </c>
      <c r="H28" s="5">
        <f>+G27-G28</f>
        <v>4000</v>
      </c>
      <c r="I28" t="s">
        <v>88</v>
      </c>
    </row>
    <row r="29" spans="1:9" x14ac:dyDescent="0.3">
      <c r="C29" t="s">
        <v>85</v>
      </c>
      <c r="E29" s="5">
        <f>+E27-E28</f>
        <v>6916.6666666666642</v>
      </c>
      <c r="F29" s="5"/>
      <c r="G29" s="5"/>
      <c r="H29" s="5"/>
    </row>
    <row r="30" spans="1:9" x14ac:dyDescent="0.3">
      <c r="E30" s="5"/>
      <c r="F30" s="5" t="s">
        <v>86</v>
      </c>
      <c r="G30" s="6">
        <f>40000-I7</f>
        <v>22000</v>
      </c>
      <c r="H30" s="5">
        <f>+G28-G30</f>
        <v>18000</v>
      </c>
      <c r="I30" t="s">
        <v>89</v>
      </c>
    </row>
    <row r="31" spans="1:9" x14ac:dyDescent="0.3">
      <c r="G31" s="5"/>
      <c r="H31" s="5"/>
    </row>
    <row r="33" spans="2:9" x14ac:dyDescent="0.3">
      <c r="B33" t="s">
        <v>90</v>
      </c>
    </row>
    <row r="34" spans="2:9" x14ac:dyDescent="0.3">
      <c r="C34" t="s">
        <v>91</v>
      </c>
      <c r="F34" s="5">
        <f>+I23</f>
        <v>1750</v>
      </c>
    </row>
    <row r="35" spans="2:9" x14ac:dyDescent="0.3">
      <c r="C35" t="s">
        <v>92</v>
      </c>
      <c r="F35">
        <v>0</v>
      </c>
    </row>
    <row r="36" spans="2:9" x14ac:dyDescent="0.3">
      <c r="C36" t="s">
        <v>93</v>
      </c>
      <c r="F36" s="5">
        <f>-E29</f>
        <v>-6916.6666666666642</v>
      </c>
    </row>
    <row r="37" spans="2:9" x14ac:dyDescent="0.3">
      <c r="C37" t="s">
        <v>94</v>
      </c>
      <c r="F37" s="5">
        <f>+H28*0.5</f>
        <v>2000</v>
      </c>
    </row>
    <row r="38" spans="2:9" x14ac:dyDescent="0.3">
      <c r="C38" t="s">
        <v>95</v>
      </c>
      <c r="F38" s="6">
        <f>+H30</f>
        <v>18000</v>
      </c>
    </row>
    <row r="39" spans="2:9" x14ac:dyDescent="0.3">
      <c r="F39" s="9">
        <f>SUM(F34:F38)</f>
        <v>14833.333333333336</v>
      </c>
      <c r="G39" s="4" t="s">
        <v>75</v>
      </c>
    </row>
    <row r="40" spans="2:9" x14ac:dyDescent="0.3">
      <c r="F40" s="5"/>
    </row>
    <row r="41" spans="2:9" ht="28.8" x14ac:dyDescent="0.3">
      <c r="D41" s="10" t="s">
        <v>27</v>
      </c>
      <c r="E41" s="11" t="s">
        <v>28</v>
      </c>
      <c r="F41" s="11" t="s">
        <v>29</v>
      </c>
      <c r="G41" s="11" t="s">
        <v>30</v>
      </c>
      <c r="H41" s="11" t="s">
        <v>31</v>
      </c>
    </row>
    <row r="42" spans="2:9" x14ac:dyDescent="0.3">
      <c r="B42" t="s">
        <v>32</v>
      </c>
      <c r="C42" s="5" t="s">
        <v>35</v>
      </c>
      <c r="D42" s="5">
        <f>+D15</f>
        <v>38833.333333333336</v>
      </c>
      <c r="E42" s="5">
        <f>+E15</f>
        <v>22000</v>
      </c>
      <c r="F42" s="5">
        <f>+D42-E42</f>
        <v>16833.333333333336</v>
      </c>
      <c r="G42" s="7">
        <v>0.42</v>
      </c>
      <c r="H42" s="5">
        <f>+F42*G42</f>
        <v>7070.0000000000009</v>
      </c>
      <c r="I42" t="s">
        <v>33</v>
      </c>
    </row>
    <row r="43" spans="2:9" x14ac:dyDescent="0.3">
      <c r="C43" s="5" t="s">
        <v>58</v>
      </c>
      <c r="D43" s="5">
        <v>0</v>
      </c>
      <c r="E43" s="5">
        <v>0</v>
      </c>
      <c r="F43" s="5">
        <f>+D43-E43</f>
        <v>0</v>
      </c>
      <c r="G43" s="7">
        <v>0.44</v>
      </c>
      <c r="H43" s="6">
        <f>+F43*G43</f>
        <v>0</v>
      </c>
      <c r="I43" t="s">
        <v>33</v>
      </c>
    </row>
    <row r="44" spans="2:9" x14ac:dyDescent="0.3">
      <c r="C44" s="5"/>
      <c r="D44" s="5"/>
      <c r="E44" s="5"/>
      <c r="F44" s="5"/>
      <c r="G44" s="5"/>
      <c r="H44" s="9">
        <f>H43-H42</f>
        <v>-7070.0000000000009</v>
      </c>
      <c r="I44" s="4" t="s">
        <v>59</v>
      </c>
    </row>
  </sheetData>
  <pageMargins left="0.7" right="0.7" top="0.75" bottom="0.75" header="0.3" footer="0.3"/>
  <pageSetup scale="7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Question</vt:lpstr>
      <vt:lpstr>Solution</vt:lpstr>
      <vt:lpstr>Suite question</vt:lpstr>
      <vt:lpstr>Suite solution</vt:lpstr>
      <vt:lpstr>Extrait disposition</vt:lpstr>
      <vt:lpstr>solution disposition</vt:lpstr>
      <vt:lpstr>Question!Zone_d_impression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SOKRI Marzouk</cp:lastModifiedBy>
  <cp:lastPrinted>2021-09-07T22:21:04Z</cp:lastPrinted>
  <dcterms:created xsi:type="dcterms:W3CDTF">2020-07-28T20:49:08Z</dcterms:created>
  <dcterms:modified xsi:type="dcterms:W3CDTF">2025-04-21T23:18:09Z</dcterms:modified>
</cp:coreProperties>
</file>