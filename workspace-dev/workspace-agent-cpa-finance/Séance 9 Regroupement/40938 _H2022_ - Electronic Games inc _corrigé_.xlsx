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https://hecmtl-my.sharepoint.com/personal/louise_overbeek_hec_ca/Documents/cours HEC/40938-16 info fin intégrité et conformité/2024 Aut/Séance 9/Cas Electronic games/2025 Hiver/IFRS/"/>
    </mc:Choice>
  </mc:AlternateContent>
  <xr:revisionPtr revIDLastSave="0" documentId="14_{10A499EF-D067-455F-BED5-6BE3CAC59C48}" xr6:coauthVersionLast="47" xr6:coauthVersionMax="47" xr10:uidLastSave="{00000000-0000-0000-0000-000000000000}"/>
  <bookViews>
    <workbookView xWindow="-110" yWindow="-110" windowWidth="19420" windowHeight="11620" tabRatio="846" activeTab="3" xr2:uid="{0D8EDAFB-DD13-456B-854B-523F025759F6}"/>
  </bookViews>
  <sheets>
    <sheet name="1.1 EGI" sheetId="1" r:id="rId1"/>
    <sheet name="1.2 PI" sheetId="2" r:id="rId2"/>
    <sheet name="1.3 EAI" sheetId="3" r:id="rId3"/>
    <sheet name="A.2) Regroupement" sheetId="8" r:id="rId4"/>
    <sheet name="A.3) Placement avec influence" sheetId="6" r:id="rId5"/>
    <sheet name="A.4) Consolidé" sheetId="4" r:id="rId6"/>
    <sheet name="Actifs nets" sheetId="10" r:id="rId7"/>
  </sheets>
  <externalReferences>
    <externalReference r:id="rId8"/>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4" i="6" l="1"/>
  <c r="F24" i="3"/>
  <c r="F16" i="2"/>
  <c r="D16" i="2"/>
  <c r="D6" i="6"/>
  <c r="E16" i="2"/>
  <c r="E11" i="2"/>
  <c r="E31" i="2"/>
  <c r="D69" i="2"/>
  <c r="E14" i="6"/>
  <c r="D14" i="6"/>
  <c r="D61" i="2"/>
  <c r="D30" i="8"/>
  <c r="E67" i="4" l="1"/>
  <c r="D35" i="10"/>
  <c r="D34" i="10"/>
  <c r="C33" i="10"/>
  <c r="D15" i="10"/>
  <c r="D12" i="8"/>
  <c r="I14" i="4"/>
  <c r="I17" i="4"/>
  <c r="D80" i="4"/>
  <c r="C79" i="4"/>
  <c r="F17" i="4"/>
  <c r="D29" i="8"/>
  <c r="C28" i="8"/>
  <c r="D29" i="3"/>
  <c r="F15" i="3"/>
  <c r="E15" i="3"/>
  <c r="D36" i="10" l="1"/>
  <c r="D38" i="10" s="1"/>
  <c r="G17" i="4"/>
  <c r="D39" i="4" l="1"/>
  <c r="D49" i="4"/>
  <c r="D63" i="4"/>
  <c r="I74" i="3"/>
  <c r="I8" i="4"/>
  <c r="F74" i="4"/>
  <c r="E54" i="4"/>
  <c r="E39" i="4"/>
  <c r="E38" i="4"/>
  <c r="D11" i="8"/>
  <c r="D70" i="3"/>
  <c r="E70" i="3" s="1"/>
  <c r="F70" i="3"/>
  <c r="E61" i="3"/>
  <c r="D39" i="1" l="1"/>
  <c r="D32" i="1"/>
  <c r="G34" i="4"/>
  <c r="D82" i="4" s="1"/>
  <c r="B54" i="3"/>
  <c r="F28" i="3"/>
  <c r="G63" i="2"/>
  <c r="G61" i="2"/>
  <c r="E31" i="10" l="1"/>
  <c r="F31" i="10" s="1"/>
  <c r="F30" i="10"/>
  <c r="C27" i="10"/>
  <c r="C22" i="10"/>
  <c r="D11" i="10"/>
  <c r="F32" i="10" l="1"/>
  <c r="D16" i="10" s="1"/>
  <c r="D25" i="10"/>
  <c r="I9" i="4" l="1"/>
  <c r="I10" i="4"/>
  <c r="I11" i="4"/>
  <c r="I12" i="4"/>
  <c r="I13" i="4"/>
  <c r="I18" i="4"/>
  <c r="I25" i="4"/>
  <c r="I26" i="4"/>
  <c r="I27" i="4"/>
  <c r="I29" i="4"/>
  <c r="I32" i="4"/>
  <c r="I35" i="4"/>
  <c r="I36" i="4"/>
  <c r="I37" i="4"/>
  <c r="C89" i="4" l="1"/>
  <c r="D31" i="6" l="1"/>
  <c r="E15" i="6"/>
  <c r="D15" i="6"/>
  <c r="D13" i="6"/>
  <c r="D12" i="6"/>
  <c r="E69" i="4"/>
  <c r="D69" i="4"/>
  <c r="D68" i="4"/>
  <c r="D48" i="4"/>
  <c r="C21" i="8"/>
  <c r="E50" i="4" l="1"/>
  <c r="F21" i="4" s="1"/>
  <c r="I21" i="4" s="1"/>
  <c r="F24" i="8"/>
  <c r="E25" i="8"/>
  <c r="F25" i="8" s="1"/>
  <c r="H73" i="3"/>
  <c r="D72" i="3"/>
  <c r="B65" i="3"/>
  <c r="H62" i="3"/>
  <c r="F61" i="3"/>
  <c r="F59" i="3"/>
  <c r="D58" i="3"/>
  <c r="E59" i="3" s="1"/>
  <c r="E62" i="3" s="1"/>
  <c r="D13" i="3" s="1"/>
  <c r="B42" i="3"/>
  <c r="E36" i="3"/>
  <c r="D8" i="8" s="1"/>
  <c r="D36" i="3"/>
  <c r="F29" i="3"/>
  <c r="F31" i="3" s="1"/>
  <c r="E29" i="3"/>
  <c r="D31" i="3"/>
  <c r="E24" i="3"/>
  <c r="D24" i="3"/>
  <c r="F10" i="3"/>
  <c r="E10" i="3"/>
  <c r="E17" i="3" s="1"/>
  <c r="D10" i="3"/>
  <c r="D72" i="2"/>
  <c r="B66" i="2"/>
  <c r="H64" i="2"/>
  <c r="G64" i="2"/>
  <c r="E15" i="2" s="1"/>
  <c r="D62" i="2"/>
  <c r="D63" i="2" s="1"/>
  <c r="E61" i="2"/>
  <c r="B56" i="2"/>
  <c r="H54" i="2"/>
  <c r="F53" i="2"/>
  <c r="E13" i="6" s="1"/>
  <c r="D53" i="2"/>
  <c r="D52" i="2"/>
  <c r="F51" i="2"/>
  <c r="D50" i="2"/>
  <c r="B46" i="2"/>
  <c r="B42" i="2"/>
  <c r="E36" i="2"/>
  <c r="D36" i="2"/>
  <c r="F29" i="2"/>
  <c r="E29" i="2"/>
  <c r="D29" i="2"/>
  <c r="F25" i="2"/>
  <c r="E25" i="2"/>
  <c r="D25" i="2"/>
  <c r="F11" i="2"/>
  <c r="D11" i="2"/>
  <c r="D52" i="1"/>
  <c r="D17" i="1" s="1"/>
  <c r="D18" i="1" s="1"/>
  <c r="B48" i="1"/>
  <c r="B45" i="1"/>
  <c r="E39" i="1"/>
  <c r="E32" i="1"/>
  <c r="E26" i="1"/>
  <c r="D26" i="1"/>
  <c r="E18" i="1"/>
  <c r="E13" i="1"/>
  <c r="D13" i="1"/>
  <c r="E18" i="2" l="1"/>
  <c r="E39" i="2" s="1"/>
  <c r="D31" i="2"/>
  <c r="F31" i="2"/>
  <c r="D23" i="6" s="1"/>
  <c r="D38" i="2"/>
  <c r="E19" i="4"/>
  <c r="D38" i="3"/>
  <c r="E72" i="3"/>
  <c r="E73" i="3"/>
  <c r="D14" i="3" s="1"/>
  <c r="D15" i="3" s="1"/>
  <c r="E20" i="1"/>
  <c r="E34" i="1"/>
  <c r="E43" i="1" s="1"/>
  <c r="D20" i="1"/>
  <c r="E41" i="1"/>
  <c r="F18" i="2"/>
  <c r="D22" i="6" s="1"/>
  <c r="F17" i="3"/>
  <c r="D8" i="10"/>
  <c r="E40" i="3"/>
  <c r="D9" i="8"/>
  <c r="E31" i="3"/>
  <c r="E38" i="3" s="1"/>
  <c r="E64" i="2"/>
  <c r="D15" i="2" s="1"/>
  <c r="D18" i="2" s="1"/>
  <c r="D39" i="2" s="1"/>
  <c r="E63" i="2"/>
  <c r="G54" i="2"/>
  <c r="E12" i="6"/>
  <c r="F12" i="6" s="1"/>
  <c r="H12" i="6" s="1"/>
  <c r="G73" i="3"/>
  <c r="E68" i="4"/>
  <c r="G62" i="3"/>
  <c r="D34" i="1"/>
  <c r="D41" i="1" s="1"/>
  <c r="F26" i="8"/>
  <c r="D15" i="8" s="1"/>
  <c r="D51" i="2"/>
  <c r="E54" i="2" s="1"/>
  <c r="E38" i="2" l="1"/>
  <c r="E20" i="4"/>
  <c r="D17" i="3"/>
  <c r="D40" i="3" s="1"/>
  <c r="D43" i="1"/>
  <c r="D9" i="10"/>
  <c r="D18" i="10" s="1"/>
  <c r="F34" i="4"/>
  <c r="I34" i="4" s="1"/>
  <c r="E52" i="4"/>
  <c r="F28" i="4" s="1"/>
  <c r="I28" i="4" s="1"/>
  <c r="D13" i="8"/>
  <c r="C58" i="4" l="1"/>
  <c r="F39" i="4"/>
  <c r="F38" i="4"/>
  <c r="I38" i="4" s="1"/>
  <c r="E51" i="4"/>
  <c r="D46" i="4"/>
  <c r="F20" i="4" s="1"/>
  <c r="D44" i="4"/>
  <c r="F14" i="4" l="1"/>
  <c r="G14" i="4"/>
  <c r="D79" i="4" s="1"/>
  <c r="F69" i="4"/>
  <c r="H69" i="4" s="1"/>
  <c r="C10" i="6" l="1"/>
  <c r="D37" i="6"/>
  <c r="D29" i="6"/>
  <c r="F15" i="6" l="1"/>
  <c r="H15" i="6" s="1"/>
  <c r="F14" i="6"/>
  <c r="H14" i="6" s="1"/>
  <c r="F13" i="6" l="1"/>
  <c r="H13" i="6" s="1"/>
  <c r="F67" i="4"/>
  <c r="H67" i="4" l="1"/>
  <c r="G19" i="4" s="1"/>
  <c r="D81" i="4" s="1"/>
  <c r="D83" i="4" s="1"/>
  <c r="D85" i="4" s="1"/>
  <c r="G33" i="4" s="1"/>
  <c r="I33" i="4" s="1"/>
  <c r="F68" i="4"/>
  <c r="H16" i="6"/>
  <c r="H18" i="6" s="1"/>
  <c r="D7" i="6" s="1"/>
  <c r="H68" i="4" l="1"/>
  <c r="G20" i="4" s="1"/>
  <c r="G39" i="4" s="1"/>
  <c r="I19" i="4"/>
  <c r="D8" i="6"/>
  <c r="H70" i="4" l="1"/>
  <c r="I20" i="4"/>
  <c r="D38" i="6"/>
  <c r="E39" i="6" s="1"/>
  <c r="D30" i="6"/>
  <c r="D32" i="6" s="1"/>
  <c r="I39" i="4" l="1"/>
  <c r="D31" i="8" l="1"/>
  <c r="D33" i="8" s="1"/>
  <c r="D16" i="8" l="1"/>
  <c r="D17" i="8" s="1"/>
  <c r="D47" i="4" s="1"/>
  <c r="F22" i="4" s="1"/>
  <c r="I22" i="4" s="1"/>
  <c r="E53" i="4"/>
</calcChain>
</file>

<file path=xl/sharedStrings.xml><?xml version="1.0" encoding="utf-8"?>
<sst xmlns="http://schemas.openxmlformats.org/spreadsheetml/2006/main" count="343" uniqueCount="176">
  <si>
    <t>Electronic Games inc.</t>
  </si>
  <si>
    <t>Trésorerie</t>
  </si>
  <si>
    <t>Stocks</t>
  </si>
  <si>
    <t>Frais payés d'avance</t>
  </si>
  <si>
    <t>Fournisseurs</t>
  </si>
  <si>
    <t>Obligations locatives</t>
  </si>
  <si>
    <t>CAPITAUX PROPRES</t>
  </si>
  <si>
    <t>Capital-actions</t>
  </si>
  <si>
    <t>Pintendo inc.</t>
  </si>
  <si>
    <t>Valeur comptable</t>
  </si>
  <si>
    <t>Juste valeur</t>
  </si>
  <si>
    <t>Salaires à payer</t>
  </si>
  <si>
    <t>Emprunt long-terme</t>
  </si>
  <si>
    <t>Placements</t>
  </si>
  <si>
    <t>Epic Arts inc.</t>
  </si>
  <si>
    <t>Note 1</t>
  </si>
  <si>
    <t>Note 2</t>
  </si>
  <si>
    <t>Note 3</t>
  </si>
  <si>
    <t>Note 4</t>
  </si>
  <si>
    <t>Ordinateurs</t>
  </si>
  <si>
    <t>Mobilier de bureau</t>
  </si>
  <si>
    <t>Durée de vie</t>
  </si>
  <si>
    <t>Jeux vidéo développés à l'interne</t>
  </si>
  <si>
    <t>Logiciels achetés ou développés à l'interne</t>
  </si>
  <si>
    <t>Dividende à recevoir - PI</t>
  </si>
  <si>
    <t>Résultat net</t>
  </si>
  <si>
    <t>Dividendes</t>
  </si>
  <si>
    <t>Il s'agit de titres boursiers, principalement constitués d'actions de diverses entreprises.</t>
  </si>
  <si>
    <t>Impôt et subventions à recevoir</t>
  </si>
  <si>
    <t>Effet à payer</t>
  </si>
  <si>
    <t>Effet à recevoir</t>
  </si>
  <si>
    <t>EGI</t>
  </si>
  <si>
    <t>EAI</t>
  </si>
  <si>
    <t>Ajustements</t>
  </si>
  <si>
    <t>EGI consolidé</t>
  </si>
  <si>
    <t>Cas Electronic Games inc.</t>
  </si>
  <si>
    <t xml:space="preserve">Ce n'est pas une solution exhaustive : il s'agit seulement d'un document de support pour la partie quantitative de ce cas. </t>
  </si>
  <si>
    <t>Se référer aux notes pédagogiques pour les problèmes d'informations financières.</t>
  </si>
  <si>
    <t>Passif éventuel</t>
  </si>
  <si>
    <t>Contrepartie transférée</t>
  </si>
  <si>
    <t>Correction :</t>
  </si>
  <si>
    <t>@Placement</t>
  </si>
  <si>
    <t>Plus-value (moins-value)</t>
  </si>
  <si>
    <t>quote part d'EGI</t>
  </si>
  <si>
    <t>amortissement à ajouter dans la valeur de consolidation</t>
  </si>
  <si>
    <t>en réduction de la participation et du revenu de participation</t>
  </si>
  <si>
    <t>Revenu de participation</t>
  </si>
  <si>
    <t>Quote-part de l'amortissement</t>
  </si>
  <si>
    <t>Coût d'acquisition</t>
  </si>
  <si>
    <t>Juste valeur des actifs</t>
  </si>
  <si>
    <t>Juste valeur des passifs</t>
  </si>
  <si>
    <t>Valeur nette :</t>
  </si>
  <si>
    <t>Participation</t>
  </si>
  <si>
    <t>Quote-part des dividendes déclarés</t>
  </si>
  <si>
    <t>Revenu - dividendes</t>
  </si>
  <si>
    <t>pour 12 mois</t>
  </si>
  <si>
    <t>Dividende à payer</t>
  </si>
  <si>
    <t>Revenu (perte) de participation</t>
  </si>
  <si>
    <t>@Passif éventuel</t>
  </si>
  <si>
    <t>@Emprunt long-terme</t>
  </si>
  <si>
    <t>RND</t>
  </si>
  <si>
    <t>Plus (moins)-value</t>
  </si>
  <si>
    <t>Matérialisation 2022</t>
  </si>
  <si>
    <t>Actif courant</t>
  </si>
  <si>
    <t>Frais payé d'avance</t>
  </si>
  <si>
    <t>Durée abonnement (mois)</t>
  </si>
  <si>
    <t>Frais d'exploitation (augmentation)</t>
  </si>
  <si>
    <t>Amortissement (augmentation)</t>
  </si>
  <si>
    <t>Dette long-terme</t>
  </si>
  <si>
    <t>Frais financiers (augmentation de la dette)</t>
  </si>
  <si>
    <t>Salaires et boni à payer</t>
  </si>
  <si>
    <t>selon la quote-part détenue par EGI</t>
  </si>
  <si>
    <t>Moins :</t>
  </si>
  <si>
    <t>Valeur comptable d'EAI</t>
  </si>
  <si>
    <t>Premier écart de consolidation</t>
  </si>
  <si>
    <t>Les stocks de PI sont évalués au coût.
Étant donné la popularité des jeux de PI, le délai d'écoulement des stocks est de 34 jours seulement.</t>
  </si>
  <si>
    <t xml:space="preserve">  </t>
  </si>
  <si>
    <t>Bilan (en milliers)</t>
  </si>
  <si>
    <t>Portion court terme de l'emprunt long-terme</t>
  </si>
  <si>
    <t>Moins : portion court terme</t>
  </si>
  <si>
    <t>Capital-actions ordinaire</t>
  </si>
  <si>
    <t>Note A</t>
  </si>
  <si>
    <t>Le coût du placement comprend :</t>
  </si>
  <si>
    <t>Immobilistions corporelles</t>
  </si>
  <si>
    <t>Actif</t>
  </si>
  <si>
    <t>Immobilisations corporelles</t>
  </si>
  <si>
    <t>Il s'agit d'une suggestion de solution qui suit la structure vue dans le cadre du cours de Regroupement au BAA.</t>
  </si>
  <si>
    <t>Analyse à la date de regroupement</t>
  </si>
  <si>
    <t>à la juste valeur</t>
  </si>
  <si>
    <t>Scénario  : gagne la cause</t>
  </si>
  <si>
    <t>Probabilité</t>
  </si>
  <si>
    <t>Scénario : perd la cause</t>
  </si>
  <si>
    <t>$</t>
  </si>
  <si>
    <t>Juste valeur de la dette, taux marché 5%</t>
  </si>
  <si>
    <t>Valeur comptable de la dette</t>
  </si>
  <si>
    <t>Durée de vie résiduelle</t>
  </si>
  <si>
    <t>Ajustement juste valeur</t>
  </si>
  <si>
    <t>Il s'agit d'une approximation - théoriquement taux effectif 5% et refléter les montants réels sur la période de 6 ans</t>
  </si>
  <si>
    <t>ACTIF COURANT</t>
  </si>
  <si>
    <t>ACTIF NON COURANT</t>
  </si>
  <si>
    <t>Actifs au titre du droit d'utilisation</t>
  </si>
  <si>
    <t>PASSIF COURANT</t>
  </si>
  <si>
    <t>Portion courante de l'emprunt non courant</t>
  </si>
  <si>
    <t>PASSIF NON COURANT</t>
  </si>
  <si>
    <t>Emprunt non courant</t>
  </si>
  <si>
    <t>Moins : portion courant</t>
  </si>
  <si>
    <t>Résultats non distribués</t>
  </si>
  <si>
    <t>État de la situation financière (en milliers)</t>
  </si>
  <si>
    <t>Epic Arts inc. (note A)</t>
  </si>
  <si>
    <t>Portion courante de l'emprunt</t>
  </si>
  <si>
    <t>Moins : portion courante</t>
  </si>
  <si>
    <t>Les immobilisations incorporelles de PI se détaillent comme suit :</t>
  </si>
  <si>
    <t>Les immobilisations incorporelles d'EAI se détaillent comme suit :</t>
  </si>
  <si>
    <t>immobilisations incorporelles</t>
  </si>
  <si>
    <t>Les immobilisations corporelles de PI se détaillent comme suit :</t>
  </si>
  <si>
    <t>Les immobilisations corporelles d'EAI se détaillent comme suit :</t>
  </si>
  <si>
    <t>immobilisations corporelles</t>
  </si>
  <si>
    <t>@immobilisations corporelles</t>
  </si>
  <si>
    <t>immobilisations corporelles et incorporels</t>
  </si>
  <si>
    <t>Les résultats non distribués se détaillent comme suit :</t>
  </si>
  <si>
    <t>Goodwill</t>
  </si>
  <si>
    <t>N.B. : le goodwill sera présent dans les états financiers consolidés d'EGI.</t>
  </si>
  <si>
    <t>Méthode de la mise en équivalence</t>
  </si>
  <si>
    <t>Quote-part du revenu net</t>
  </si>
  <si>
    <t>@Participation - méthode de la mise en équivalence</t>
  </si>
  <si>
    <t>Goodwill (inclus dans la valeur de la participation)</t>
  </si>
  <si>
    <t>Immobilisations incorporelles (plus-value)</t>
  </si>
  <si>
    <t>RND - début</t>
  </si>
  <si>
    <t>RND - fin</t>
  </si>
  <si>
    <t>ACTF NON COURANT</t>
  </si>
  <si>
    <t>Actifs corporels</t>
  </si>
  <si>
    <t>Actifs incorporels</t>
  </si>
  <si>
    <t>pas amortissable, sujet à un test de dépréciation</t>
  </si>
  <si>
    <t>Il s'agit de l'élimination des soldes réciproques, soit le compte à recevoir pour EGI et le compte à payer pour EAI, pour les frais de gestion encore impayés en date du 31 décembre 2022</t>
  </si>
  <si>
    <t>1 an de matérialisation entre 1er janvier 2022 et 31 décembre 2022</t>
  </si>
  <si>
    <t>Passif d'impôts différés</t>
  </si>
  <si>
    <t>Actif d'impôts différés</t>
  </si>
  <si>
    <t>Passif d'impôts différés résultant des réévaluations</t>
  </si>
  <si>
    <t>objectif est de faire un calcul ultra rapide</t>
  </si>
  <si>
    <t>Différence temporaire imposable</t>
  </si>
  <si>
    <t>Taux d'imposition</t>
  </si>
  <si>
    <t>hypothèse pour un taux combiné (tout autre taux raisonnable et justifié est acceptable)</t>
  </si>
  <si>
    <t>@Passif d'impôts différés</t>
  </si>
  <si>
    <t>Passif d'impôt différé</t>
  </si>
  <si>
    <t>Amortissement (immobilisations corporelles et incorporels)</t>
  </si>
  <si>
    <t>Taux d'impôt</t>
  </si>
  <si>
    <t>Actif d'impôts futurs</t>
  </si>
  <si>
    <t>Passif d'impôts futurs résultant des réévaluations</t>
  </si>
  <si>
    <t>VC de l'actif net au 1er janvier 2022</t>
  </si>
  <si>
    <t>JV de l'actif net au 1er janvier 2022</t>
  </si>
  <si>
    <t>Actif impôt différé</t>
  </si>
  <si>
    <t>Dans le contexte de l'achat de l'actif net, il aurait fallu mettre à 0 $ le montant d'impôts différés présents dans les états financiers d'EAI liés aux écarts entre les bases comptables et fiscales existantes avant l'acquisition</t>
  </si>
  <si>
    <t>31 décembre 2025</t>
  </si>
  <si>
    <t>31 décembre 2024</t>
  </si>
  <si>
    <t>Les placements, en date du 31 décembre 2025, sont constitués de :</t>
  </si>
  <si>
    <r>
      <t>·</t>
    </r>
    <r>
      <rPr>
        <sz val="7"/>
        <color theme="1"/>
        <rFont val="Calibri"/>
        <family val="2"/>
        <scheme val="minor"/>
      </rPr>
      <t xml:space="preserve">       </t>
    </r>
    <r>
      <rPr>
        <sz val="12"/>
        <color theme="1"/>
        <rFont val="Calibri"/>
        <family val="2"/>
        <scheme val="minor"/>
      </rPr>
      <t>2,5 millions de dollars versés le 1er janvier 2025.</t>
    </r>
  </si>
  <si>
    <t>1er janvier 2025</t>
  </si>
  <si>
    <t>Les frais payés d'avance au 1er janvier 2025 correspondent à un accès à un logiciel pour les graphistes pour 18 mois, soit du 1er janvier 2025 au 30 juin 2026.
En date du 1er janvier 2025, soit après le début de l'abonnement d'EAI, le prix pour la même licence avait été augmentée par le fournisseur en question.</t>
  </si>
  <si>
    <t xml:space="preserve">En date du 1er janvier 2025, EAI avait un actif d'impôts différés, principalement grâce aux pertes fiscales encore partiellement inutilisées. 
En date du 31 décembre 2025, grâce à l'acquisition d'EAI par EGI, les pertes ont finalement pu être utilisées. </t>
  </si>
  <si>
    <t>VC de l'actif net au 1er janvier 2025</t>
  </si>
  <si>
    <t>JV de l'actif net au 1er janvier 2025</t>
  </si>
  <si>
    <t>Écart première consolidation</t>
  </si>
  <si>
    <t>Bilan au 31 décembre 2025</t>
  </si>
  <si>
    <t>car 12 mois se sont écoulés entre le 1er janvier 2025 et le 31 décembre 2025</t>
  </si>
  <si>
    <t>1 an de matérialisation entre 1er janvier 2025 et 31 décembre 2025</t>
  </si>
  <si>
    <t>Matérialisation 2025</t>
  </si>
  <si>
    <t>Matérialisation des écarts de juste valeur en 2025 :</t>
  </si>
  <si>
    <t>Diminution du passif d'impôt différé au 31 décembre 2025</t>
  </si>
  <si>
    <r>
      <t xml:space="preserve">N.B. : le goodwill sera présent dans les états financiers </t>
    </r>
    <r>
      <rPr>
        <i/>
        <strike/>
        <sz val="11"/>
        <color theme="1"/>
        <rFont val="Calibri"/>
        <family val="2"/>
        <scheme val="minor"/>
      </rPr>
      <t>consolidés</t>
    </r>
    <r>
      <rPr>
        <i/>
        <sz val="11"/>
        <color theme="1"/>
        <rFont val="Calibri"/>
        <family val="2"/>
        <scheme val="minor"/>
      </rPr>
      <t xml:space="preserve"> d'EGI.</t>
    </r>
  </si>
  <si>
    <t>(on utilise le mot "consolidé" quand il y a regroupement d'entités juridiques)</t>
  </si>
  <si>
    <t>Déterminer la valeur comptable de la participation dans PI en en date du 31 décembre 2025</t>
  </si>
  <si>
    <t>États financiers individuels d'EGI en date du 31 décembre 2025</t>
  </si>
  <si>
    <t>Voici comment les plus-values (moins-values) se sont matérialisées en date du 31 décembre 2025</t>
  </si>
  <si>
    <t>Juste valeur
1-01-2025</t>
  </si>
  <si>
    <t>Déterminer le revenu de participation en date du 31 décembre 2025</t>
  </si>
  <si>
    <t>Il s'agit de la répartition du coût d'acquisition en date du 1er janvier 2025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</si>
</sst>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quot;$&quot;_);[Red]\(#,##0.00\ &quot;$&quot;\)"/>
    <numFmt numFmtId="165" formatCode="_ * #,##0.00_)_ ;_ * \(#,##0.00\)_ ;_ * &quot;-&quot;??_)_ ;_ @_ "/>
    <numFmt numFmtId="166" formatCode="_ * #,##0.00_)\ _$_ ;_ * \(#,##0.00\)\ _$_ ;_ * &quot;-&quot;??_)\ _$_ ;_ @_ "/>
    <numFmt numFmtId="167" formatCode="_ * #,##0_)_ ;_ * \(#,##0\)_ ;_ * &quot;-&quot;??_)_ ;_ @_ "/>
  </numFmts>
  <fonts count="20" x14ac:knownFonts="1">
    <font>
      <sz val="11"/>
      <color theme="1"/>
      <name val="Calibri"/>
      <family val="2"/>
      <scheme val="minor"/>
    </font>
    <font>
      <sz val="11"/>
      <color theme="1"/>
      <name val="Calibri"/>
      <family val="2"/>
      <scheme val="minor"/>
    </font>
    <font>
      <sz val="11"/>
      <color rgb="FF0000FF"/>
      <name val="Calibri"/>
      <family val="2"/>
      <scheme val="minor"/>
    </font>
    <font>
      <b/>
      <sz val="11"/>
      <color theme="1"/>
      <name val="Calibri"/>
      <family val="2"/>
      <scheme val="minor"/>
    </font>
    <font>
      <b/>
      <u/>
      <sz val="11"/>
      <color theme="1"/>
      <name val="Calibri"/>
      <family val="2"/>
      <scheme val="minor"/>
    </font>
    <font>
      <sz val="11"/>
      <name val="Calibri"/>
      <family val="2"/>
      <scheme val="minor"/>
    </font>
    <font>
      <b/>
      <u/>
      <sz val="11"/>
      <name val="Calibri"/>
      <family val="2"/>
      <scheme val="minor"/>
    </font>
    <font>
      <sz val="14"/>
      <color theme="1"/>
      <name val="Calibri"/>
      <family val="2"/>
      <scheme val="minor"/>
    </font>
    <font>
      <u/>
      <sz val="11"/>
      <color theme="1"/>
      <name val="Calibri"/>
      <family val="2"/>
      <scheme val="minor"/>
    </font>
    <font>
      <i/>
      <sz val="11"/>
      <color theme="1"/>
      <name val="Calibri"/>
      <family val="2"/>
      <scheme val="minor"/>
    </font>
    <font>
      <i/>
      <sz val="11"/>
      <color rgb="FFFF0000"/>
      <name val="Calibri"/>
      <family val="2"/>
      <scheme val="minor"/>
    </font>
    <font>
      <u val="singleAccounting"/>
      <sz val="11"/>
      <color theme="1"/>
      <name val="Calibri"/>
      <family val="2"/>
      <scheme val="minor"/>
    </font>
    <font>
      <b/>
      <i/>
      <sz val="11"/>
      <color theme="1"/>
      <name val="Calibri"/>
      <family val="2"/>
      <scheme val="minor"/>
    </font>
    <font>
      <b/>
      <i/>
      <sz val="11"/>
      <name val="Calibri"/>
      <family val="2"/>
      <scheme val="minor"/>
    </font>
    <font>
      <sz val="7"/>
      <color theme="1"/>
      <name val="Calibri"/>
      <family val="2"/>
      <scheme val="minor"/>
    </font>
    <font>
      <sz val="12"/>
      <color theme="1"/>
      <name val="Calibri"/>
      <family val="2"/>
      <scheme val="minor"/>
    </font>
    <font>
      <i/>
      <sz val="12"/>
      <color theme="1"/>
      <name val="Calibri"/>
      <family val="2"/>
      <scheme val="minor"/>
    </font>
    <font>
      <sz val="8"/>
      <name val="Calibri"/>
      <family val="2"/>
      <scheme val="minor"/>
    </font>
    <font>
      <sz val="11"/>
      <color rgb="FFFF0000"/>
      <name val="Calibri"/>
      <family val="2"/>
      <scheme val="minor"/>
    </font>
    <font>
      <i/>
      <strike/>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tint="-0.249977111117893"/>
        <bgColor indexed="64"/>
      </patternFill>
    </fill>
  </fills>
  <borders count="22">
    <border>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165" fontId="1" fillId="0" borderId="0" applyFont="0" applyFill="0" applyBorder="0" applyAlignment="0" applyProtection="0"/>
    <xf numFmtId="9" fontId="1" fillId="0" borderId="0" applyFont="0" applyFill="0" applyBorder="0" applyAlignment="0" applyProtection="0"/>
  </cellStyleXfs>
  <cellXfs count="148">
    <xf numFmtId="0" fontId="0" fillId="0" borderId="0" xfId="0"/>
    <xf numFmtId="49" fontId="0" fillId="0" borderId="0" xfId="0" applyNumberFormat="1"/>
    <xf numFmtId="0" fontId="0" fillId="0" borderId="0" xfId="0" applyAlignment="1">
      <alignment horizontal="center"/>
    </xf>
    <xf numFmtId="49" fontId="0" fillId="0" borderId="0" xfId="0" applyNumberFormat="1" applyAlignment="1">
      <alignment horizontal="center"/>
    </xf>
    <xf numFmtId="165" fontId="0" fillId="0" borderId="0" xfId="1" applyFont="1"/>
    <xf numFmtId="165" fontId="0" fillId="0" borderId="0" xfId="1" applyFont="1" applyAlignment="1">
      <alignment horizontal="center" wrapText="1"/>
    </xf>
    <xf numFmtId="49" fontId="0" fillId="0" borderId="0" xfId="0" applyNumberFormat="1" applyAlignment="1">
      <alignment horizontal="right"/>
    </xf>
    <xf numFmtId="0" fontId="0" fillId="0" borderId="0" xfId="0" applyAlignment="1">
      <alignment horizontal="right"/>
    </xf>
    <xf numFmtId="0" fontId="0" fillId="0" borderId="1" xfId="0" applyBorder="1"/>
    <xf numFmtId="165" fontId="0" fillId="0" borderId="2" xfId="1" applyFont="1" applyBorder="1" applyAlignment="1">
      <alignment horizontal="center" wrapText="1"/>
    </xf>
    <xf numFmtId="165" fontId="0" fillId="0" borderId="0" xfId="1" applyFont="1" applyBorder="1"/>
    <xf numFmtId="165" fontId="0" fillId="0" borderId="2" xfId="1" applyFont="1" applyBorder="1"/>
    <xf numFmtId="165" fontId="0" fillId="0" borderId="5" xfId="1" applyFont="1" applyBorder="1"/>
    <xf numFmtId="9" fontId="0" fillId="0" borderId="0" xfId="2" applyFont="1"/>
    <xf numFmtId="166" fontId="0" fillId="0" borderId="0" xfId="0" applyNumberFormat="1"/>
    <xf numFmtId="0" fontId="2" fillId="0" borderId="0" xfId="0" applyFont="1"/>
    <xf numFmtId="165" fontId="2" fillId="0" borderId="0" xfId="1" applyFont="1"/>
    <xf numFmtId="0" fontId="2" fillId="0" borderId="0" xfId="0" applyFont="1" applyAlignment="1">
      <alignment horizontal="center"/>
    </xf>
    <xf numFmtId="167" fontId="0" fillId="0" borderId="0" xfId="1" applyNumberFormat="1" applyFont="1"/>
    <xf numFmtId="167" fontId="0" fillId="0" borderId="1" xfId="1" applyNumberFormat="1" applyFont="1" applyBorder="1"/>
    <xf numFmtId="167" fontId="0" fillId="0" borderId="0" xfId="1" applyNumberFormat="1" applyFont="1" applyBorder="1"/>
    <xf numFmtId="167" fontId="0" fillId="0" borderId="5" xfId="1" applyNumberFormat="1" applyFont="1" applyBorder="1"/>
    <xf numFmtId="167" fontId="0" fillId="0" borderId="4" xfId="1" applyNumberFormat="1" applyFont="1" applyBorder="1"/>
    <xf numFmtId="167" fontId="0" fillId="0" borderId="2" xfId="1" applyNumberFormat="1" applyFont="1" applyBorder="1"/>
    <xf numFmtId="167" fontId="0" fillId="0" borderId="3" xfId="1" applyNumberFormat="1" applyFont="1" applyBorder="1"/>
    <xf numFmtId="167" fontId="0" fillId="0" borderId="0" xfId="0" applyNumberFormat="1"/>
    <xf numFmtId="167" fontId="0" fillId="0" borderId="0" xfId="1" applyNumberFormat="1" applyFont="1" applyFill="1" applyBorder="1"/>
    <xf numFmtId="167" fontId="0" fillId="0" borderId="3" xfId="1" applyNumberFormat="1" applyFont="1" applyFill="1" applyBorder="1"/>
    <xf numFmtId="164" fontId="2" fillId="0" borderId="0" xfId="1" applyNumberFormat="1" applyFont="1"/>
    <xf numFmtId="49" fontId="0" fillId="0" borderId="5" xfId="1" applyNumberFormat="1" applyFont="1" applyBorder="1" applyAlignment="1">
      <alignment horizontal="center"/>
    </xf>
    <xf numFmtId="49" fontId="0" fillId="0" borderId="0" xfId="1" applyNumberFormat="1" applyFont="1" applyBorder="1" applyAlignment="1">
      <alignment horizontal="center"/>
    </xf>
    <xf numFmtId="0" fontId="3" fillId="0" borderId="0" xfId="0" applyFont="1"/>
    <xf numFmtId="49" fontId="3" fillId="0" borderId="0" xfId="0" applyNumberFormat="1" applyFont="1" applyAlignment="1">
      <alignment horizontal="center"/>
    </xf>
    <xf numFmtId="0" fontId="3" fillId="0" borderId="0" xfId="0" applyFont="1" applyAlignment="1">
      <alignment horizontal="center"/>
    </xf>
    <xf numFmtId="0" fontId="0" fillId="0" borderId="10" xfId="0" applyBorder="1"/>
    <xf numFmtId="0" fontId="0" fillId="0" borderId="11" xfId="0" applyBorder="1"/>
    <xf numFmtId="167" fontId="0" fillId="0" borderId="10" xfId="1" applyNumberFormat="1" applyFont="1" applyBorder="1"/>
    <xf numFmtId="167" fontId="0" fillId="0" borderId="11" xfId="1" applyNumberFormat="1" applyFont="1" applyBorder="1"/>
    <xf numFmtId="167" fontId="0" fillId="0" borderId="12" xfId="1" applyNumberFormat="1" applyFont="1" applyBorder="1"/>
    <xf numFmtId="167" fontId="0" fillId="0" borderId="14" xfId="1" applyNumberFormat="1" applyFont="1" applyBorder="1"/>
    <xf numFmtId="0" fontId="0" fillId="0" borderId="14" xfId="0" applyBorder="1"/>
    <xf numFmtId="0" fontId="0" fillId="0" borderId="9" xfId="0" applyBorder="1"/>
    <xf numFmtId="0" fontId="3" fillId="0" borderId="10" xfId="0" applyFont="1" applyBorder="1"/>
    <xf numFmtId="0" fontId="3" fillId="0" borderId="12" xfId="0" applyFont="1" applyBorder="1"/>
    <xf numFmtId="0" fontId="4" fillId="0" borderId="7" xfId="0" applyFont="1" applyBorder="1"/>
    <xf numFmtId="0" fontId="4" fillId="0" borderId="10" xfId="0" applyFont="1" applyBorder="1"/>
    <xf numFmtId="0" fontId="5" fillId="0" borderId="0" xfId="0" applyFont="1"/>
    <xf numFmtId="0" fontId="7" fillId="0" borderId="0" xfId="0" applyFont="1"/>
    <xf numFmtId="0" fontId="8" fillId="0" borderId="0" xfId="0" applyFont="1"/>
    <xf numFmtId="0" fontId="0" fillId="0" borderId="0" xfId="0" quotePrefix="1"/>
    <xf numFmtId="167" fontId="3" fillId="0" borderId="0" xfId="0" applyNumberFormat="1" applyFont="1"/>
    <xf numFmtId="0" fontId="9" fillId="0" borderId="0" xfId="0" applyFont="1"/>
    <xf numFmtId="167" fontId="3" fillId="0" borderId="0" xfId="1" applyNumberFormat="1" applyFont="1"/>
    <xf numFmtId="0" fontId="0" fillId="0" borderId="0" xfId="0" applyAlignment="1">
      <alignment horizontal="center" vertical="center" wrapText="1"/>
    </xf>
    <xf numFmtId="0" fontId="0" fillId="0" borderId="0" xfId="0" applyAlignment="1">
      <alignment horizontal="center" vertical="center"/>
    </xf>
    <xf numFmtId="9" fontId="0" fillId="0" borderId="0" xfId="0" applyNumberFormat="1"/>
    <xf numFmtId="0" fontId="3" fillId="0" borderId="0" xfId="0" applyFont="1" applyAlignment="1">
      <alignment horizontal="right"/>
    </xf>
    <xf numFmtId="0" fontId="8" fillId="0" borderId="7" xfId="0" applyFont="1" applyBorder="1"/>
    <xf numFmtId="0" fontId="0" fillId="0" borderId="8" xfId="0" applyBorder="1"/>
    <xf numFmtId="0" fontId="0" fillId="0" borderId="0" xfId="0" applyAlignment="1">
      <alignment horizontal="left"/>
    </xf>
    <xf numFmtId="0" fontId="0" fillId="0" borderId="12" xfId="0" applyBorder="1"/>
    <xf numFmtId="0" fontId="0" fillId="0" borderId="13" xfId="0" quotePrefix="1" applyBorder="1"/>
    <xf numFmtId="0" fontId="0" fillId="0" borderId="13" xfId="0" applyBorder="1"/>
    <xf numFmtId="167" fontId="0" fillId="0" borderId="14" xfId="0" applyNumberFormat="1" applyBorder="1"/>
    <xf numFmtId="167" fontId="5" fillId="0" borderId="10" xfId="1" applyNumberFormat="1" applyFont="1" applyBorder="1"/>
    <xf numFmtId="167" fontId="5" fillId="0" borderId="0" xfId="1" applyNumberFormat="1" applyFont="1" applyBorder="1"/>
    <xf numFmtId="167" fontId="5" fillId="0" borderId="13" xfId="1" applyNumberFormat="1" applyFont="1" applyBorder="1"/>
    <xf numFmtId="0" fontId="5" fillId="0" borderId="0" xfId="0" applyFont="1" applyAlignment="1">
      <alignment horizontal="center" vertical="center" wrapText="1"/>
    </xf>
    <xf numFmtId="0" fontId="0" fillId="0" borderId="15" xfId="0" applyBorder="1"/>
    <xf numFmtId="167" fontId="0" fillId="0" borderId="17" xfId="1" applyNumberFormat="1" applyFont="1" applyBorder="1"/>
    <xf numFmtId="0" fontId="3" fillId="0" borderId="19" xfId="0" applyFont="1" applyBorder="1" applyAlignment="1">
      <alignment horizontal="center" vertical="center"/>
    </xf>
    <xf numFmtId="0" fontId="3" fillId="0" borderId="16" xfId="0" applyFont="1" applyBorder="1" applyAlignment="1">
      <alignment horizontal="center" vertical="center"/>
    </xf>
    <xf numFmtId="49" fontId="3" fillId="0" borderId="0" xfId="0" applyNumberFormat="1" applyFont="1" applyAlignment="1">
      <alignment horizontal="center" vertical="center"/>
    </xf>
    <xf numFmtId="0" fontId="3" fillId="0" borderId="18" xfId="0" applyFont="1" applyBorder="1" applyAlignment="1">
      <alignment horizontal="center" vertical="center"/>
    </xf>
    <xf numFmtId="49" fontId="0" fillId="0" borderId="0" xfId="1" applyNumberFormat="1" applyFont="1" applyAlignment="1">
      <alignment horizontal="center"/>
    </xf>
    <xf numFmtId="167" fontId="3" fillId="0" borderId="0" xfId="1" applyNumberFormat="1" applyFont="1" applyBorder="1"/>
    <xf numFmtId="167" fontId="3" fillId="0" borderId="5" xfId="1" applyNumberFormat="1" applyFont="1" applyBorder="1"/>
    <xf numFmtId="167" fontId="3" fillId="0" borderId="6" xfId="1" applyNumberFormat="1" applyFont="1" applyBorder="1"/>
    <xf numFmtId="167" fontId="3" fillId="0" borderId="2" xfId="1" applyNumberFormat="1" applyFont="1" applyBorder="1"/>
    <xf numFmtId="0" fontId="10" fillId="0" borderId="0" xfId="0" applyFont="1"/>
    <xf numFmtId="1" fontId="8" fillId="0" borderId="0" xfId="0" applyNumberFormat="1" applyFont="1"/>
    <xf numFmtId="1" fontId="0" fillId="0" borderId="0" xfId="0" applyNumberFormat="1"/>
    <xf numFmtId="15" fontId="0" fillId="0" borderId="0" xfId="0" applyNumberFormat="1"/>
    <xf numFmtId="10" fontId="0" fillId="0" borderId="0" xfId="0" applyNumberFormat="1"/>
    <xf numFmtId="1" fontId="0" fillId="0" borderId="1" xfId="0" applyNumberFormat="1" applyBorder="1"/>
    <xf numFmtId="167" fontId="11" fillId="0" borderId="0" xfId="0" applyNumberFormat="1" applyFont="1"/>
    <xf numFmtId="0" fontId="12" fillId="0" borderId="0" xfId="0" applyFont="1"/>
    <xf numFmtId="167" fontId="0" fillId="0" borderId="0" xfId="1" applyNumberFormat="1" applyFont="1" applyFill="1"/>
    <xf numFmtId="167" fontId="5" fillId="0" borderId="10" xfId="1" applyNumberFormat="1" applyFont="1" applyFill="1" applyBorder="1"/>
    <xf numFmtId="167" fontId="5" fillId="0" borderId="12" xfId="1" applyNumberFormat="1" applyFont="1" applyFill="1" applyBorder="1"/>
    <xf numFmtId="1" fontId="3" fillId="0" borderId="0" xfId="0" applyNumberFormat="1" applyFont="1"/>
    <xf numFmtId="0" fontId="13" fillId="0" borderId="18" xfId="0" applyFont="1" applyBorder="1" applyAlignment="1">
      <alignment horizontal="center" vertical="center"/>
    </xf>
    <xf numFmtId="0" fontId="13" fillId="0" borderId="20" xfId="0" applyFont="1" applyBorder="1" applyAlignment="1">
      <alignment horizontal="center" vertical="center"/>
    </xf>
    <xf numFmtId="167" fontId="5" fillId="0" borderId="0" xfId="1" applyNumberFormat="1" applyFont="1"/>
    <xf numFmtId="167" fontId="5" fillId="0" borderId="1" xfId="1" applyNumberFormat="1" applyFont="1" applyBorder="1"/>
    <xf numFmtId="0" fontId="13" fillId="0" borderId="0" xfId="0" applyFont="1"/>
    <xf numFmtId="0" fontId="16" fillId="0" borderId="0" xfId="0" applyFont="1" applyAlignment="1">
      <alignment vertical="center"/>
    </xf>
    <xf numFmtId="167" fontId="0" fillId="0" borderId="16" xfId="1" applyNumberFormat="1" applyFont="1" applyBorder="1"/>
    <xf numFmtId="0" fontId="4" fillId="0" borderId="21" xfId="0" applyFont="1" applyBorder="1" applyAlignment="1">
      <alignment horizontal="center" vertical="center" wrapText="1"/>
    </xf>
    <xf numFmtId="0" fontId="3" fillId="2" borderId="0" xfId="0" applyFont="1" applyFill="1"/>
    <xf numFmtId="0" fontId="8" fillId="2" borderId="0" xfId="0" applyFont="1" applyFill="1"/>
    <xf numFmtId="0" fontId="0" fillId="2" borderId="0" xfId="0" applyFill="1"/>
    <xf numFmtId="165" fontId="0" fillId="0" borderId="1" xfId="1" applyFont="1" applyBorder="1"/>
    <xf numFmtId="49" fontId="3" fillId="0" borderId="0" xfId="0" applyNumberFormat="1" applyFont="1"/>
    <xf numFmtId="0" fontId="3" fillId="0" borderId="1" xfId="0" applyFont="1" applyBorder="1"/>
    <xf numFmtId="2" fontId="0" fillId="0" borderId="0" xfId="0" applyNumberFormat="1"/>
    <xf numFmtId="167" fontId="5" fillId="0" borderId="0" xfId="0" applyNumberFormat="1" applyFont="1"/>
    <xf numFmtId="167" fontId="0" fillId="0" borderId="10" xfId="1" applyNumberFormat="1" applyFont="1" applyFill="1" applyBorder="1"/>
    <xf numFmtId="0" fontId="0" fillId="0" borderId="0" xfId="0" applyAlignment="1">
      <alignment horizontal="left" vertical="top" wrapText="1"/>
    </xf>
    <xf numFmtId="165" fontId="0" fillId="0" borderId="0" xfId="1" applyFont="1" applyFill="1"/>
    <xf numFmtId="49" fontId="0" fillId="0" borderId="0" xfId="1" applyNumberFormat="1" applyFont="1" applyFill="1" applyAlignment="1">
      <alignment horizontal="center"/>
    </xf>
    <xf numFmtId="165" fontId="0" fillId="0" borderId="2" xfId="1" applyFont="1" applyFill="1" applyBorder="1" applyAlignment="1">
      <alignment horizontal="center" wrapText="1"/>
    </xf>
    <xf numFmtId="165" fontId="0" fillId="0" borderId="0" xfId="1" applyFont="1" applyFill="1" applyAlignment="1">
      <alignment horizontal="center" wrapText="1"/>
    </xf>
    <xf numFmtId="165" fontId="0" fillId="0" borderId="2" xfId="1" applyFont="1" applyFill="1" applyBorder="1"/>
    <xf numFmtId="165" fontId="0" fillId="0" borderId="0" xfId="1" applyFont="1" applyFill="1" applyBorder="1"/>
    <xf numFmtId="167" fontId="0" fillId="0" borderId="2" xfId="1" applyNumberFormat="1" applyFont="1" applyFill="1" applyBorder="1"/>
    <xf numFmtId="167" fontId="0" fillId="0" borderId="1" xfId="1" applyNumberFormat="1" applyFont="1" applyFill="1" applyBorder="1"/>
    <xf numFmtId="167" fontId="3" fillId="0" borderId="2" xfId="1" applyNumberFormat="1" applyFont="1" applyFill="1" applyBorder="1"/>
    <xf numFmtId="167" fontId="3" fillId="0" borderId="0" xfId="1" applyNumberFormat="1" applyFont="1" applyFill="1" applyBorder="1"/>
    <xf numFmtId="167" fontId="0" fillId="0" borderId="1" xfId="1" applyNumberFormat="1" applyFont="1" applyFill="1" applyBorder="1" applyAlignment="1">
      <alignment horizontal="right"/>
    </xf>
    <xf numFmtId="167" fontId="0" fillId="0" borderId="0" xfId="1" applyNumberFormat="1" applyFont="1" applyFill="1" applyBorder="1" applyAlignment="1">
      <alignment horizontal="right"/>
    </xf>
    <xf numFmtId="167" fontId="0" fillId="0" borderId="4" xfId="1" applyNumberFormat="1" applyFont="1" applyFill="1" applyBorder="1"/>
    <xf numFmtId="167" fontId="3" fillId="0" borderId="6" xfId="1" applyNumberFormat="1" applyFont="1" applyFill="1" applyBorder="1"/>
    <xf numFmtId="167" fontId="3" fillId="0" borderId="0" xfId="1" applyNumberFormat="1" applyFont="1" applyFill="1"/>
    <xf numFmtId="0" fontId="18" fillId="0" borderId="0" xfId="0" applyFont="1"/>
    <xf numFmtId="167" fontId="0" fillId="0" borderId="1" xfId="0" applyNumberFormat="1" applyBorder="1"/>
    <xf numFmtId="9" fontId="0" fillId="0" borderId="1" xfId="2" applyFont="1" applyFill="1" applyBorder="1"/>
    <xf numFmtId="167" fontId="5" fillId="0" borderId="0" xfId="1" applyNumberFormat="1" applyFont="1" applyFill="1" applyBorder="1"/>
    <xf numFmtId="165" fontId="0" fillId="0" borderId="0" xfId="0" applyNumberFormat="1"/>
    <xf numFmtId="167" fontId="11" fillId="0" borderId="0" xfId="1" applyNumberFormat="1" applyFont="1"/>
    <xf numFmtId="0" fontId="0" fillId="3" borderId="0" xfId="0" applyFill="1"/>
    <xf numFmtId="167" fontId="0" fillId="3" borderId="0" xfId="0" applyNumberFormat="1" applyFill="1"/>
    <xf numFmtId="0" fontId="0" fillId="3" borderId="1" xfId="0" applyFill="1" applyBorder="1"/>
    <xf numFmtId="167" fontId="0" fillId="3" borderId="1" xfId="0" applyNumberFormat="1" applyFill="1" applyBorder="1"/>
    <xf numFmtId="9" fontId="0" fillId="3" borderId="1" xfId="2" applyFont="1" applyFill="1" applyBorder="1"/>
    <xf numFmtId="0" fontId="9" fillId="3" borderId="0" xfId="0" applyFont="1" applyFill="1"/>
    <xf numFmtId="165" fontId="0" fillId="0" borderId="0" xfId="1" applyFont="1" applyAlignment="1">
      <alignment horizontal="center"/>
    </xf>
    <xf numFmtId="165" fontId="0" fillId="0" borderId="0" xfId="1" applyFont="1" applyAlignment="1">
      <alignment horizontal="center" wrapText="1"/>
    </xf>
    <xf numFmtId="49" fontId="0" fillId="0" borderId="0" xfId="1" applyNumberFormat="1" applyFont="1" applyAlignment="1">
      <alignment horizontal="center"/>
    </xf>
    <xf numFmtId="0" fontId="0" fillId="0" borderId="0" xfId="0" applyAlignment="1">
      <alignment horizontal="left" vertical="top" wrapText="1"/>
    </xf>
    <xf numFmtId="49" fontId="0" fillId="0" borderId="0" xfId="1" applyNumberFormat="1" applyFont="1" applyFill="1" applyAlignment="1">
      <alignment horizontal="center"/>
    </xf>
    <xf numFmtId="165" fontId="0" fillId="0" borderId="0" xfId="1" applyFont="1" applyFill="1" applyAlignment="1">
      <alignment horizontal="center"/>
    </xf>
    <xf numFmtId="49" fontId="0" fillId="0" borderId="0" xfId="1" applyNumberFormat="1" applyFont="1" applyAlignment="1">
      <alignment horizontal="right"/>
    </xf>
    <xf numFmtId="0" fontId="4" fillId="0" borderId="18" xfId="0" applyFont="1" applyBorder="1" applyAlignment="1">
      <alignment horizontal="center" vertical="center" wrapText="1"/>
    </xf>
    <xf numFmtId="0" fontId="4" fillId="0" borderId="19" xfId="0" applyFont="1" applyBorder="1" applyAlignment="1">
      <alignment horizontal="center" vertical="center" wrapText="1"/>
    </xf>
    <xf numFmtId="0" fontId="6" fillId="0" borderId="18" xfId="0" applyFont="1" applyBorder="1" applyAlignment="1">
      <alignment horizontal="center" vertical="center"/>
    </xf>
    <xf numFmtId="0" fontId="6" fillId="0" borderId="20" xfId="0" applyFont="1" applyBorder="1" applyAlignment="1">
      <alignment horizontal="center" vertical="center"/>
    </xf>
    <xf numFmtId="0" fontId="6" fillId="0" borderId="19" xfId="0" applyFont="1" applyBorder="1" applyAlignment="1">
      <alignment horizontal="center" vertical="center"/>
    </xf>
  </cellXfs>
  <cellStyles count="3">
    <cellStyle name="Milliers" xfId="1" builtinId="3"/>
    <cellStyle name="Normal" xfId="0" builtinId="0"/>
    <cellStyle name="Pourcentage" xfId="2"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1233275\Documents\40938%20-%20Information%20financi&#232;re\Cas%20regroupement\NCECF\40938%20(H2022)%20-%20Electronic%20Games%20inc%20-solution%20(version%20NCEC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 EGI"/>
      <sheetName val="1.2 PI"/>
      <sheetName val="1.3 EAI"/>
      <sheetName val="A.2) Regroupement"/>
      <sheetName val="A.3) Placement avec influence"/>
      <sheetName val="A.4) Consolidé"/>
      <sheetName val="Actifs nets"/>
      <sheetName val="B) Ajustements"/>
    </sheetNames>
    <sheetDataSet>
      <sheetData sheetId="0" refreshError="1"/>
      <sheetData sheetId="1" refreshError="1"/>
      <sheetData sheetId="2" refreshError="1">
        <row r="9">
          <cell r="E9">
            <v>20</v>
          </cell>
          <cell r="F9">
            <v>25</v>
          </cell>
        </row>
      </sheetData>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8D47E-FA76-4856-9D23-486D13223E46}">
  <dimension ref="A2:G68"/>
  <sheetViews>
    <sheetView showGridLines="0" topLeftCell="A54" zoomScaleNormal="100" workbookViewId="0">
      <selection activeCell="E41" sqref="E41"/>
    </sheetView>
  </sheetViews>
  <sheetFormatPr baseColWidth="10" defaultColWidth="10.90625" defaultRowHeight="14.5" x14ac:dyDescent="0.35"/>
  <cols>
    <col min="1" max="1" width="3" customWidth="1"/>
    <col min="2" max="2" width="38.81640625" customWidth="1"/>
    <col min="3" max="3" width="9.453125" style="31" customWidth="1"/>
    <col min="4" max="4" width="17" style="4" bestFit="1" customWidth="1"/>
    <col min="5" max="5" width="17.453125" style="4" bestFit="1" customWidth="1"/>
    <col min="6" max="6" width="13.54296875" bestFit="1" customWidth="1"/>
  </cols>
  <sheetData>
    <row r="2" spans="1:5" x14ac:dyDescent="0.35">
      <c r="B2" t="s">
        <v>76</v>
      </c>
      <c r="D2" s="136" t="s">
        <v>0</v>
      </c>
      <c r="E2" s="136"/>
    </row>
    <row r="3" spans="1:5" ht="27" customHeight="1" x14ac:dyDescent="0.35">
      <c r="D3" s="137" t="s">
        <v>107</v>
      </c>
      <c r="E3" s="137"/>
    </row>
    <row r="4" spans="1:5" s="1" customFormat="1" x14ac:dyDescent="0.35">
      <c r="C4" s="103"/>
      <c r="D4" s="30" t="s">
        <v>152</v>
      </c>
      <c r="E4" s="29" t="s">
        <v>153</v>
      </c>
    </row>
    <row r="5" spans="1:5" x14ac:dyDescent="0.35">
      <c r="A5" t="s">
        <v>98</v>
      </c>
      <c r="D5" s="10"/>
      <c r="E5" s="12"/>
    </row>
    <row r="6" spans="1:5" x14ac:dyDescent="0.35">
      <c r="B6" t="s">
        <v>1</v>
      </c>
      <c r="D6" s="20">
        <v>1511</v>
      </c>
      <c r="E6" s="21">
        <v>4193</v>
      </c>
    </row>
    <row r="7" spans="1:5" x14ac:dyDescent="0.35">
      <c r="B7" t="s">
        <v>13</v>
      </c>
      <c r="C7" s="31" t="s">
        <v>15</v>
      </c>
      <c r="D7" s="20">
        <v>700</v>
      </c>
      <c r="E7" s="21">
        <v>514</v>
      </c>
    </row>
    <row r="8" spans="1:5" x14ac:dyDescent="0.35">
      <c r="B8" t="s">
        <v>24</v>
      </c>
      <c r="D8" s="20">
        <v>9</v>
      </c>
      <c r="E8" s="21"/>
    </row>
    <row r="9" spans="1:5" x14ac:dyDescent="0.35">
      <c r="B9" t="s">
        <v>28</v>
      </c>
      <c r="D9" s="20">
        <v>1291</v>
      </c>
      <c r="E9" s="21">
        <v>1100</v>
      </c>
    </row>
    <row r="10" spans="1:5" x14ac:dyDescent="0.35">
      <c r="B10" t="s">
        <v>30</v>
      </c>
      <c r="D10" s="20">
        <v>15</v>
      </c>
      <c r="E10" s="21">
        <v>0</v>
      </c>
    </row>
    <row r="11" spans="1:5" x14ac:dyDescent="0.35">
      <c r="B11" t="s">
        <v>2</v>
      </c>
      <c r="D11" s="20">
        <v>300</v>
      </c>
      <c r="E11" s="21">
        <v>245</v>
      </c>
    </row>
    <row r="12" spans="1:5" x14ac:dyDescent="0.35">
      <c r="B12" t="s">
        <v>3</v>
      </c>
      <c r="D12" s="19">
        <v>100</v>
      </c>
      <c r="E12" s="22">
        <v>110</v>
      </c>
    </row>
    <row r="13" spans="1:5" x14ac:dyDescent="0.35">
      <c r="D13" s="20">
        <f>SUM(D6:D12)</f>
        <v>3926</v>
      </c>
      <c r="E13" s="21">
        <f>SUM(E6:E12)</f>
        <v>6162</v>
      </c>
    </row>
    <row r="14" spans="1:5" x14ac:dyDescent="0.35">
      <c r="A14" t="s">
        <v>99</v>
      </c>
      <c r="D14" s="20"/>
      <c r="E14" s="21"/>
    </row>
    <row r="15" spans="1:5" x14ac:dyDescent="0.35">
      <c r="B15" t="s">
        <v>100</v>
      </c>
      <c r="D15" s="20">
        <v>833</v>
      </c>
      <c r="E15" s="21">
        <v>1046</v>
      </c>
    </row>
    <row r="16" spans="1:5" x14ac:dyDescent="0.35">
      <c r="B16" t="s">
        <v>113</v>
      </c>
      <c r="D16" s="20">
        <v>2100</v>
      </c>
      <c r="E16" s="21">
        <v>1900</v>
      </c>
    </row>
    <row r="17" spans="1:5" x14ac:dyDescent="0.35">
      <c r="B17" t="s">
        <v>13</v>
      </c>
      <c r="C17" s="31" t="s">
        <v>16</v>
      </c>
      <c r="D17" s="19">
        <f>D52</f>
        <v>2900</v>
      </c>
      <c r="E17" s="22">
        <v>0</v>
      </c>
    </row>
    <row r="18" spans="1:5" x14ac:dyDescent="0.35">
      <c r="D18" s="20">
        <f>SUM(D15:D17)</f>
        <v>5833</v>
      </c>
      <c r="E18" s="21">
        <f>SUM(E15:E17)</f>
        <v>2946</v>
      </c>
    </row>
    <row r="19" spans="1:5" x14ac:dyDescent="0.35">
      <c r="D19" s="20"/>
      <c r="E19" s="21"/>
    </row>
    <row r="20" spans="1:5" s="31" customFormat="1" x14ac:dyDescent="0.35">
      <c r="D20" s="75">
        <f>D18+D13</f>
        <v>9759</v>
      </c>
      <c r="E20" s="76">
        <f>E18+E13</f>
        <v>9108</v>
      </c>
    </row>
    <row r="21" spans="1:5" x14ac:dyDescent="0.35">
      <c r="D21" s="20"/>
      <c r="E21" s="21"/>
    </row>
    <row r="22" spans="1:5" x14ac:dyDescent="0.35">
      <c r="A22" t="s">
        <v>101</v>
      </c>
      <c r="D22" s="20"/>
      <c r="E22" s="21"/>
    </row>
    <row r="23" spans="1:5" x14ac:dyDescent="0.35">
      <c r="B23" t="s">
        <v>4</v>
      </c>
      <c r="D23" s="20">
        <v>75</v>
      </c>
      <c r="E23" s="21">
        <v>79</v>
      </c>
    </row>
    <row r="24" spans="1:5" x14ac:dyDescent="0.35">
      <c r="B24" t="s">
        <v>11</v>
      </c>
      <c r="D24" s="20">
        <v>215</v>
      </c>
      <c r="E24" s="21">
        <v>191</v>
      </c>
    </row>
    <row r="25" spans="1:5" x14ac:dyDescent="0.35">
      <c r="B25" t="s">
        <v>102</v>
      </c>
      <c r="D25" s="19">
        <v>500</v>
      </c>
      <c r="E25" s="22">
        <v>500</v>
      </c>
    </row>
    <row r="26" spans="1:5" x14ac:dyDescent="0.35">
      <c r="D26" s="20">
        <f>SUM(D23:D25)</f>
        <v>790</v>
      </c>
      <c r="E26" s="21">
        <f>SUM(E23:E25)</f>
        <v>770</v>
      </c>
    </row>
    <row r="27" spans="1:5" x14ac:dyDescent="0.35">
      <c r="A27" t="s">
        <v>103</v>
      </c>
      <c r="D27" s="20"/>
      <c r="E27" s="21"/>
    </row>
    <row r="28" spans="1:5" x14ac:dyDescent="0.35">
      <c r="B28" t="s">
        <v>5</v>
      </c>
      <c r="D28" s="20">
        <v>915</v>
      </c>
      <c r="E28" s="21">
        <v>1045</v>
      </c>
    </row>
    <row r="29" spans="1:5" x14ac:dyDescent="0.35">
      <c r="B29" t="s">
        <v>135</v>
      </c>
      <c r="C29"/>
      <c r="D29" s="20">
        <v>214</v>
      </c>
      <c r="E29" s="21">
        <v>193</v>
      </c>
    </row>
    <row r="30" spans="1:5" x14ac:dyDescent="0.35">
      <c r="B30" t="s">
        <v>104</v>
      </c>
      <c r="D30" s="20">
        <v>3500</v>
      </c>
      <c r="E30" s="21">
        <v>4000</v>
      </c>
    </row>
    <row r="31" spans="1:5" x14ac:dyDescent="0.35">
      <c r="B31" t="s">
        <v>105</v>
      </c>
      <c r="D31" s="24">
        <v>-500</v>
      </c>
      <c r="E31" s="22">
        <v>-500</v>
      </c>
    </row>
    <row r="32" spans="1:5" x14ac:dyDescent="0.35">
      <c r="D32" s="20">
        <f>SUM(D28:D31)</f>
        <v>4129</v>
      </c>
      <c r="E32" s="21">
        <f>SUM(E28:E31)</f>
        <v>4738</v>
      </c>
    </row>
    <row r="33" spans="1:7" x14ac:dyDescent="0.35">
      <c r="D33" s="20"/>
      <c r="E33" s="21"/>
    </row>
    <row r="34" spans="1:7" s="31" customFormat="1" x14ac:dyDescent="0.35">
      <c r="D34" s="75">
        <f>D32+D26</f>
        <v>4919</v>
      </c>
      <c r="E34" s="76">
        <f>E32+E26</f>
        <v>5508</v>
      </c>
    </row>
    <row r="35" spans="1:7" x14ac:dyDescent="0.35">
      <c r="D35" s="20"/>
      <c r="E35" s="21"/>
    </row>
    <row r="36" spans="1:7" x14ac:dyDescent="0.35">
      <c r="A36" t="s">
        <v>6</v>
      </c>
      <c r="D36" s="20"/>
      <c r="E36" s="21"/>
    </row>
    <row r="37" spans="1:7" x14ac:dyDescent="0.35">
      <c r="B37" t="s">
        <v>80</v>
      </c>
      <c r="D37" s="20">
        <v>500</v>
      </c>
      <c r="E37" s="21">
        <v>500</v>
      </c>
      <c r="G37" s="25"/>
    </row>
    <row r="38" spans="1:7" x14ac:dyDescent="0.35">
      <c r="B38" t="s">
        <v>106</v>
      </c>
      <c r="D38" s="19">
        <v>4340</v>
      </c>
      <c r="E38" s="22">
        <v>3100</v>
      </c>
      <c r="G38" s="25"/>
    </row>
    <row r="39" spans="1:7" s="31" customFormat="1" x14ac:dyDescent="0.35">
      <c r="D39" s="77">
        <f>SUM(D37:D38)</f>
        <v>4840</v>
      </c>
      <c r="E39" s="52">
        <f>SUM(E37:E38)</f>
        <v>3600</v>
      </c>
    </row>
    <row r="41" spans="1:7" x14ac:dyDescent="0.35">
      <c r="D41" s="52">
        <f>D39+D34</f>
        <v>9759</v>
      </c>
      <c r="E41" s="52">
        <f>E39+E34</f>
        <v>9108</v>
      </c>
    </row>
    <row r="43" spans="1:7" x14ac:dyDescent="0.35">
      <c r="D43" s="4">
        <f>D20-D39-D34</f>
        <v>0</v>
      </c>
      <c r="E43" s="4">
        <f>E20-E39-E34</f>
        <v>0</v>
      </c>
    </row>
    <row r="45" spans="1:7" x14ac:dyDescent="0.35">
      <c r="B45" s="31" t="str">
        <f>C7</f>
        <v>Note 1</v>
      </c>
    </row>
    <row r="46" spans="1:7" x14ac:dyDescent="0.35">
      <c r="B46" t="s">
        <v>27</v>
      </c>
    </row>
    <row r="48" spans="1:7" x14ac:dyDescent="0.35">
      <c r="B48" s="31" t="str">
        <f>C17</f>
        <v>Note 2</v>
      </c>
    </row>
    <row r="49" spans="2:5" x14ac:dyDescent="0.35">
      <c r="B49" t="s">
        <v>154</v>
      </c>
    </row>
    <row r="50" spans="2:5" x14ac:dyDescent="0.35">
      <c r="B50" t="s">
        <v>108</v>
      </c>
      <c r="D50" s="18">
        <v>2500</v>
      </c>
    </row>
    <row r="51" spans="2:5" x14ac:dyDescent="0.35">
      <c r="B51" s="8" t="s">
        <v>8</v>
      </c>
      <c r="C51" s="104"/>
      <c r="D51" s="19">
        <v>400</v>
      </c>
    </row>
    <row r="52" spans="2:5" x14ac:dyDescent="0.35">
      <c r="D52" s="18">
        <f>SUM(D50:D51)</f>
        <v>2900</v>
      </c>
      <c r="E52"/>
    </row>
    <row r="53" spans="2:5" x14ac:dyDescent="0.35">
      <c r="D53" s="13"/>
      <c r="E53" s="13"/>
    </row>
    <row r="54" spans="2:5" x14ac:dyDescent="0.35">
      <c r="D54"/>
      <c r="E54"/>
    </row>
    <row r="55" spans="2:5" ht="15.5" x14ac:dyDescent="0.35">
      <c r="B55" s="96" t="s">
        <v>81</v>
      </c>
      <c r="D55"/>
      <c r="E55"/>
    </row>
    <row r="56" spans="2:5" x14ac:dyDescent="0.35">
      <c r="B56" t="s">
        <v>82</v>
      </c>
      <c r="D56"/>
      <c r="E56"/>
    </row>
    <row r="57" spans="2:5" ht="14.5" customHeight="1" x14ac:dyDescent="0.35">
      <c r="B57" t="s">
        <v>155</v>
      </c>
      <c r="D57"/>
      <c r="E57"/>
    </row>
    <row r="58" spans="2:5" ht="14.5" customHeight="1" x14ac:dyDescent="0.35">
      <c r="D58"/>
      <c r="E58"/>
    </row>
    <row r="59" spans="2:5" x14ac:dyDescent="0.35">
      <c r="D59"/>
      <c r="E59"/>
    </row>
    <row r="60" spans="2:5" x14ac:dyDescent="0.35">
      <c r="D60"/>
      <c r="E60"/>
    </row>
    <row r="61" spans="2:5" x14ac:dyDescent="0.35">
      <c r="D61"/>
      <c r="E61"/>
    </row>
    <row r="62" spans="2:5" x14ac:dyDescent="0.35">
      <c r="D62"/>
      <c r="E62"/>
    </row>
    <row r="63" spans="2:5" x14ac:dyDescent="0.35">
      <c r="D63"/>
      <c r="E63"/>
    </row>
    <row r="64" spans="2:5" x14ac:dyDescent="0.35">
      <c r="D64"/>
      <c r="E64"/>
    </row>
    <row r="65" spans="4:5" x14ac:dyDescent="0.35">
      <c r="D65"/>
      <c r="E65"/>
    </row>
    <row r="66" spans="4:5" x14ac:dyDescent="0.35">
      <c r="D66"/>
      <c r="E66"/>
    </row>
    <row r="67" spans="4:5" x14ac:dyDescent="0.35">
      <c r="D67"/>
      <c r="E67"/>
    </row>
    <row r="68" spans="4:5" x14ac:dyDescent="0.35">
      <c r="D68"/>
      <c r="E68"/>
    </row>
  </sheetData>
  <mergeCells count="2">
    <mergeCell ref="D2:E2"/>
    <mergeCell ref="D3:E3"/>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13C9E-0C66-43B1-BA59-77D873183A2C}">
  <sheetPr>
    <pageSetUpPr fitToPage="1"/>
  </sheetPr>
  <dimension ref="A2:I73"/>
  <sheetViews>
    <sheetView showGridLines="0" workbookViewId="0">
      <selection activeCell="D68" sqref="D68"/>
    </sheetView>
  </sheetViews>
  <sheetFormatPr baseColWidth="10" defaultColWidth="10.90625" defaultRowHeight="14.5" x14ac:dyDescent="0.35"/>
  <cols>
    <col min="1" max="1" width="3" customWidth="1"/>
    <col min="2" max="2" width="38.81640625" customWidth="1"/>
    <col min="3" max="3" width="11" customWidth="1"/>
    <col min="4" max="6" width="17.81640625" style="4" customWidth="1"/>
    <col min="7" max="7" width="15.1796875" customWidth="1"/>
  </cols>
  <sheetData>
    <row r="2" spans="1:8" x14ac:dyDescent="0.35">
      <c r="D2" s="136" t="s">
        <v>8</v>
      </c>
      <c r="E2" s="136"/>
      <c r="F2" s="136"/>
    </row>
    <row r="3" spans="1:8" x14ac:dyDescent="0.35">
      <c r="D3" s="136" t="s">
        <v>107</v>
      </c>
      <c r="E3" s="136"/>
      <c r="F3" s="136"/>
    </row>
    <row r="4" spans="1:8" x14ac:dyDescent="0.35">
      <c r="D4" s="74" t="s">
        <v>152</v>
      </c>
      <c r="E4" s="138" t="s">
        <v>156</v>
      </c>
      <c r="F4" s="138"/>
    </row>
    <row r="5" spans="1:8" s="2" customFormat="1" x14ac:dyDescent="0.35">
      <c r="A5" s="3"/>
      <c r="B5" s="3"/>
      <c r="C5" s="3"/>
      <c r="D5" s="9" t="s">
        <v>9</v>
      </c>
      <c r="E5" s="5" t="s">
        <v>9</v>
      </c>
      <c r="F5" s="5" t="s">
        <v>10</v>
      </c>
    </row>
    <row r="6" spans="1:8" x14ac:dyDescent="0.35">
      <c r="A6" t="s">
        <v>98</v>
      </c>
      <c r="D6" s="11"/>
      <c r="E6" s="10"/>
      <c r="F6" s="10"/>
    </row>
    <row r="7" spans="1:8" x14ac:dyDescent="0.35">
      <c r="B7" t="s">
        <v>1</v>
      </c>
      <c r="D7" s="23">
        <v>319</v>
      </c>
      <c r="E7" s="20">
        <v>48</v>
      </c>
      <c r="F7" s="20">
        <v>48</v>
      </c>
    </row>
    <row r="8" spans="1:8" x14ac:dyDescent="0.35">
      <c r="B8" t="s">
        <v>28</v>
      </c>
      <c r="D8" s="23">
        <v>167</v>
      </c>
      <c r="E8" s="20">
        <v>90</v>
      </c>
      <c r="F8" s="20">
        <v>90</v>
      </c>
    </row>
    <row r="9" spans="1:8" x14ac:dyDescent="0.35">
      <c r="B9" t="s">
        <v>2</v>
      </c>
      <c r="C9" t="s">
        <v>15</v>
      </c>
      <c r="D9" s="23">
        <v>76</v>
      </c>
      <c r="E9" s="20">
        <v>250</v>
      </c>
      <c r="F9" s="20">
        <v>250</v>
      </c>
      <c r="G9" s="14"/>
      <c r="H9" s="14"/>
    </row>
    <row r="10" spans="1:8" x14ac:dyDescent="0.35">
      <c r="B10" t="s">
        <v>3</v>
      </c>
      <c r="D10" s="24">
        <v>45</v>
      </c>
      <c r="E10" s="19">
        <v>20</v>
      </c>
      <c r="F10" s="19">
        <v>20</v>
      </c>
    </row>
    <row r="11" spans="1:8" x14ac:dyDescent="0.35">
      <c r="D11" s="23">
        <f>SUM(D7:D10)</f>
        <v>607</v>
      </c>
      <c r="E11" s="20">
        <f>SUM(E7:E10)</f>
        <v>408</v>
      </c>
      <c r="F11" s="20">
        <f>SUM(F7:F10)</f>
        <v>408</v>
      </c>
    </row>
    <row r="12" spans="1:8" x14ac:dyDescent="0.35">
      <c r="A12" t="s">
        <v>99</v>
      </c>
      <c r="D12" s="23"/>
      <c r="E12" s="20"/>
      <c r="F12" s="20"/>
    </row>
    <row r="13" spans="1:8" x14ac:dyDescent="0.35">
      <c r="B13" t="s">
        <v>150</v>
      </c>
      <c r="D13" s="23">
        <v>4</v>
      </c>
      <c r="E13" s="20">
        <v>43</v>
      </c>
      <c r="F13" s="20">
        <v>43</v>
      </c>
    </row>
    <row r="14" spans="1:8" x14ac:dyDescent="0.35">
      <c r="B14" t="s">
        <v>83</v>
      </c>
      <c r="C14" t="s">
        <v>16</v>
      </c>
      <c r="D14" s="23">
        <v>13</v>
      </c>
      <c r="E14" s="20">
        <v>17</v>
      </c>
      <c r="F14" s="20">
        <v>14</v>
      </c>
    </row>
    <row r="15" spans="1:8" x14ac:dyDescent="0.35">
      <c r="B15" t="s">
        <v>113</v>
      </c>
      <c r="C15" t="s">
        <v>17</v>
      </c>
      <c r="D15" s="24">
        <f>E64</f>
        <v>228</v>
      </c>
      <c r="E15" s="19">
        <f>G64</f>
        <v>312</v>
      </c>
      <c r="F15" s="19">
        <v>775</v>
      </c>
    </row>
    <row r="16" spans="1:8" x14ac:dyDescent="0.35">
      <c r="D16" s="23">
        <f>SUM(D13:D15)</f>
        <v>245</v>
      </c>
      <c r="E16" s="20">
        <f>SUM(E13:E15)</f>
        <v>372</v>
      </c>
      <c r="F16" s="20">
        <f>SUM(F13:F15)</f>
        <v>832</v>
      </c>
    </row>
    <row r="17" spans="1:6" x14ac:dyDescent="0.35">
      <c r="D17" s="23"/>
      <c r="E17" s="20"/>
      <c r="F17" s="20"/>
    </row>
    <row r="18" spans="1:6" x14ac:dyDescent="0.35">
      <c r="B18" t="s">
        <v>84</v>
      </c>
      <c r="D18" s="117">
        <f>D16+D11</f>
        <v>852</v>
      </c>
      <c r="E18" s="118">
        <f>E16+E11</f>
        <v>780</v>
      </c>
      <c r="F18" s="118">
        <f>F16+F11</f>
        <v>1240</v>
      </c>
    </row>
    <row r="19" spans="1:6" x14ac:dyDescent="0.35">
      <c r="D19" s="23"/>
      <c r="E19" s="20"/>
      <c r="F19" s="20"/>
    </row>
    <row r="20" spans="1:6" x14ac:dyDescent="0.35">
      <c r="A20" t="s">
        <v>101</v>
      </c>
      <c r="D20" s="23"/>
      <c r="E20" s="20"/>
      <c r="F20" s="20"/>
    </row>
    <row r="21" spans="1:6" x14ac:dyDescent="0.35">
      <c r="B21" t="s">
        <v>4</v>
      </c>
      <c r="D21" s="23">
        <v>12</v>
      </c>
      <c r="E21" s="20">
        <v>45</v>
      </c>
      <c r="F21" s="20">
        <v>45</v>
      </c>
    </row>
    <row r="22" spans="1:6" x14ac:dyDescent="0.35">
      <c r="B22" t="s">
        <v>11</v>
      </c>
      <c r="D22" s="23">
        <v>17</v>
      </c>
      <c r="E22" s="20">
        <v>14</v>
      </c>
      <c r="F22" s="20">
        <v>14</v>
      </c>
    </row>
    <row r="23" spans="1:6" x14ac:dyDescent="0.35">
      <c r="B23" t="s">
        <v>56</v>
      </c>
      <c r="D23" s="23">
        <v>50</v>
      </c>
      <c r="E23" s="20"/>
      <c r="F23" s="20"/>
    </row>
    <row r="24" spans="1:6" x14ac:dyDescent="0.35">
      <c r="B24" t="s">
        <v>109</v>
      </c>
      <c r="D24" s="24">
        <v>120</v>
      </c>
      <c r="E24" s="19">
        <v>100</v>
      </c>
      <c r="F24" s="19">
        <v>100</v>
      </c>
    </row>
    <row r="25" spans="1:6" x14ac:dyDescent="0.35">
      <c r="D25" s="23">
        <f>SUM(D21:D24)</f>
        <v>199</v>
      </c>
      <c r="E25" s="20">
        <f>SUM(E21:E24)</f>
        <v>159</v>
      </c>
      <c r="F25" s="20">
        <f>SUM(F21:F24)</f>
        <v>159</v>
      </c>
    </row>
    <row r="26" spans="1:6" x14ac:dyDescent="0.35">
      <c r="A26" t="s">
        <v>103</v>
      </c>
      <c r="D26" s="23"/>
      <c r="E26" s="20"/>
      <c r="F26" s="20"/>
    </row>
    <row r="27" spans="1:6" x14ac:dyDescent="0.35">
      <c r="B27" t="s">
        <v>104</v>
      </c>
      <c r="D27" s="23">
        <v>350</v>
      </c>
      <c r="E27" s="20">
        <v>350</v>
      </c>
      <c r="F27" s="20">
        <v>350</v>
      </c>
    </row>
    <row r="28" spans="1:6" x14ac:dyDescent="0.35">
      <c r="B28" t="s">
        <v>110</v>
      </c>
      <c r="D28" s="24">
        <v>-120</v>
      </c>
      <c r="E28" s="22">
        <v>-100</v>
      </c>
      <c r="F28" s="19">
        <v>-100</v>
      </c>
    </row>
    <row r="29" spans="1:6" x14ac:dyDescent="0.35">
      <c r="D29" s="23">
        <f>SUM(D27:D28)</f>
        <v>230</v>
      </c>
      <c r="E29" s="20">
        <f>SUM(E27:E28)</f>
        <v>250</v>
      </c>
      <c r="F29" s="20">
        <f>SUM(F27:F28)</f>
        <v>250</v>
      </c>
    </row>
    <row r="30" spans="1:6" x14ac:dyDescent="0.35">
      <c r="D30" s="23"/>
      <c r="E30" s="20"/>
      <c r="F30" s="20"/>
    </row>
    <row r="31" spans="1:6" s="31" customFormat="1" x14ac:dyDescent="0.35">
      <c r="D31" s="78">
        <f>D29+D25</f>
        <v>429</v>
      </c>
      <c r="E31" s="75">
        <f>E29+E25</f>
        <v>409</v>
      </c>
      <c r="F31" s="75">
        <f>F29+F25</f>
        <v>409</v>
      </c>
    </row>
    <row r="32" spans="1:6" x14ac:dyDescent="0.35">
      <c r="D32" s="23"/>
      <c r="E32" s="20"/>
      <c r="F32" s="20"/>
    </row>
    <row r="33" spans="1:8" x14ac:dyDescent="0.35">
      <c r="A33" t="s">
        <v>6</v>
      </c>
      <c r="D33" s="23"/>
      <c r="E33" s="20"/>
      <c r="F33" s="20"/>
    </row>
    <row r="34" spans="1:8" x14ac:dyDescent="0.35">
      <c r="B34" t="s">
        <v>80</v>
      </c>
      <c r="D34" s="23">
        <v>110</v>
      </c>
      <c r="E34" s="20">
        <v>110</v>
      </c>
      <c r="F34" s="20"/>
    </row>
    <row r="35" spans="1:8" x14ac:dyDescent="0.35">
      <c r="B35" t="s">
        <v>106</v>
      </c>
      <c r="C35" t="s">
        <v>18</v>
      </c>
      <c r="D35" s="24">
        <v>313</v>
      </c>
      <c r="E35" s="19">
        <v>261</v>
      </c>
      <c r="F35" s="19"/>
    </row>
    <row r="36" spans="1:8" s="31" customFormat="1" x14ac:dyDescent="0.35">
      <c r="D36" s="77">
        <f>SUM(D34:D35)</f>
        <v>423</v>
      </c>
      <c r="E36" s="52">
        <f>SUM(E34:E35)</f>
        <v>371</v>
      </c>
      <c r="F36" s="52"/>
    </row>
    <row r="37" spans="1:8" x14ac:dyDescent="0.35">
      <c r="D37" s="20"/>
      <c r="E37" s="18"/>
      <c r="F37" s="18"/>
    </row>
    <row r="38" spans="1:8" x14ac:dyDescent="0.35">
      <c r="D38" s="123">
        <f>D36+D31</f>
        <v>852</v>
      </c>
      <c r="E38" s="123">
        <f>E36+E31</f>
        <v>780</v>
      </c>
      <c r="F38" s="87"/>
    </row>
    <row r="39" spans="1:8" x14ac:dyDescent="0.35">
      <c r="D39" s="18">
        <f>D18-D36-D31</f>
        <v>0</v>
      </c>
      <c r="E39" s="18">
        <f>E18-E36-E31</f>
        <v>0</v>
      </c>
      <c r="F39" s="18"/>
    </row>
    <row r="42" spans="1:8" x14ac:dyDescent="0.35">
      <c r="B42" s="31" t="str">
        <f>C9</f>
        <v>Note 1</v>
      </c>
    </row>
    <row r="43" spans="1:8" x14ac:dyDescent="0.35">
      <c r="B43" s="139" t="s">
        <v>75</v>
      </c>
      <c r="C43" s="139"/>
      <c r="D43" s="139"/>
      <c r="E43" s="139"/>
      <c r="F43" s="139"/>
    </row>
    <row r="44" spans="1:8" x14ac:dyDescent="0.35">
      <c r="B44" s="139"/>
      <c r="C44" s="139"/>
      <c r="D44" s="139"/>
      <c r="E44" s="139"/>
      <c r="F44" s="139"/>
    </row>
    <row r="46" spans="1:8" x14ac:dyDescent="0.35">
      <c r="B46" s="31" t="str">
        <f>C14</f>
        <v>Note 2</v>
      </c>
    </row>
    <row r="47" spans="1:8" x14ac:dyDescent="0.35">
      <c r="B47" t="s">
        <v>114</v>
      </c>
      <c r="F47"/>
    </row>
    <row r="48" spans="1:8" x14ac:dyDescent="0.35">
      <c r="D48" s="74" t="s">
        <v>152</v>
      </c>
      <c r="G48" s="138" t="s">
        <v>156</v>
      </c>
      <c r="H48" s="138"/>
    </row>
    <row r="49" spans="2:9" ht="29" x14ac:dyDescent="0.35">
      <c r="D49" s="5" t="s">
        <v>9</v>
      </c>
      <c r="F49" s="5" t="s">
        <v>9</v>
      </c>
      <c r="H49" s="5" t="s">
        <v>10</v>
      </c>
      <c r="I49" s="5" t="s">
        <v>21</v>
      </c>
    </row>
    <row r="50" spans="2:9" x14ac:dyDescent="0.35">
      <c r="C50" s="7" t="s">
        <v>19</v>
      </c>
      <c r="D50" s="18">
        <f>F50</f>
        <v>12</v>
      </c>
      <c r="F50" s="18">
        <v>12</v>
      </c>
      <c r="H50" s="18">
        <v>8</v>
      </c>
      <c r="I50" s="25">
        <v>4</v>
      </c>
    </row>
    <row r="51" spans="2:9" x14ac:dyDescent="0.35">
      <c r="C51" s="7"/>
      <c r="D51" s="18">
        <f>D50/I50*-2</f>
        <v>-6</v>
      </c>
      <c r="E51" s="18">
        <v>6</v>
      </c>
      <c r="F51" s="18">
        <f>F50/I50*-1</f>
        <v>-3</v>
      </c>
      <c r="G51">
        <v>9</v>
      </c>
      <c r="H51" s="18"/>
      <c r="I51" s="25"/>
    </row>
    <row r="52" spans="2:9" x14ac:dyDescent="0.35">
      <c r="C52" s="7" t="s">
        <v>20</v>
      </c>
      <c r="D52" s="18">
        <f>F52</f>
        <v>10</v>
      </c>
      <c r="E52" s="18"/>
      <c r="F52" s="18">
        <v>10</v>
      </c>
      <c r="H52" s="18">
        <v>6</v>
      </c>
      <c r="I52" s="25">
        <v>10</v>
      </c>
    </row>
    <row r="53" spans="2:9" x14ac:dyDescent="0.35">
      <c r="C53" s="7"/>
      <c r="D53" s="19">
        <f>-F52/I52*3</f>
        <v>-3</v>
      </c>
      <c r="E53" s="19">
        <v>7</v>
      </c>
      <c r="F53" s="19">
        <f>-F52/I52*2</f>
        <v>-2</v>
      </c>
      <c r="G53" s="8">
        <v>8</v>
      </c>
      <c r="H53" s="19"/>
      <c r="I53" s="25"/>
    </row>
    <row r="54" spans="2:9" x14ac:dyDescent="0.35">
      <c r="E54" s="18">
        <f>SUM(D50:D53)</f>
        <v>13</v>
      </c>
      <c r="G54" s="18">
        <f>SUM(F50:F53)</f>
        <v>17</v>
      </c>
      <c r="H54" s="18">
        <f>SUM(H50:H53)</f>
        <v>14</v>
      </c>
      <c r="I54" s="25"/>
    </row>
    <row r="56" spans="2:9" x14ac:dyDescent="0.35">
      <c r="B56" s="31" t="str">
        <f>C15</f>
        <v>Note 3</v>
      </c>
    </row>
    <row r="57" spans="2:9" x14ac:dyDescent="0.35">
      <c r="B57" t="s">
        <v>111</v>
      </c>
      <c r="F57"/>
    </row>
    <row r="58" spans="2:9" x14ac:dyDescent="0.35">
      <c r="D58" s="74" t="s">
        <v>152</v>
      </c>
      <c r="G58" s="138" t="s">
        <v>156</v>
      </c>
      <c r="H58" s="138"/>
    </row>
    <row r="59" spans="2:9" ht="29" x14ac:dyDescent="0.35">
      <c r="D59" s="5" t="s">
        <v>9</v>
      </c>
      <c r="F59" s="5" t="s">
        <v>9</v>
      </c>
      <c r="H59" s="5" t="s">
        <v>10</v>
      </c>
      <c r="I59" s="5" t="s">
        <v>21</v>
      </c>
    </row>
    <row r="60" spans="2:9" x14ac:dyDescent="0.35">
      <c r="C60" s="7" t="s">
        <v>23</v>
      </c>
      <c r="D60" s="18">
        <v>120</v>
      </c>
      <c r="E60" s="18"/>
      <c r="F60" s="18">
        <v>120</v>
      </c>
      <c r="H60" s="18">
        <v>215</v>
      </c>
      <c r="I60" s="25">
        <v>5</v>
      </c>
    </row>
    <row r="61" spans="2:9" x14ac:dyDescent="0.35">
      <c r="D61" s="18">
        <f>F61-D60/I60</f>
        <v>-72</v>
      </c>
      <c r="E61" s="18">
        <f>SUM(D60:D61)</f>
        <v>48</v>
      </c>
      <c r="F61" s="18">
        <v>-48</v>
      </c>
      <c r="G61" s="18">
        <f>SUM(F60:F61)</f>
        <v>72</v>
      </c>
      <c r="H61" s="18"/>
      <c r="I61" s="25"/>
    </row>
    <row r="62" spans="2:9" x14ac:dyDescent="0.35">
      <c r="C62" s="7" t="s">
        <v>22</v>
      </c>
      <c r="D62" s="18">
        <f>F62</f>
        <v>300</v>
      </c>
      <c r="E62" s="18"/>
      <c r="F62" s="18">
        <v>300</v>
      </c>
      <c r="H62" s="18">
        <v>560</v>
      </c>
      <c r="I62" s="25">
        <v>5</v>
      </c>
    </row>
    <row r="63" spans="2:9" x14ac:dyDescent="0.35">
      <c r="D63" s="19">
        <f>F63-D62/I62</f>
        <v>-120</v>
      </c>
      <c r="E63" s="19">
        <f>SUM(D62:D63)</f>
        <v>180</v>
      </c>
      <c r="F63" s="19">
        <v>-60</v>
      </c>
      <c r="G63" s="19">
        <f>SUM(F62:F63)</f>
        <v>240</v>
      </c>
      <c r="H63" s="19"/>
      <c r="I63" s="25"/>
    </row>
    <row r="64" spans="2:9" x14ac:dyDescent="0.35">
      <c r="E64" s="18">
        <f>SUM(D60:D63)</f>
        <v>228</v>
      </c>
      <c r="G64" s="18">
        <f>SUM(F60:F63)</f>
        <v>312</v>
      </c>
      <c r="H64" s="18">
        <f t="shared" ref="H64" si="0">SUM(H60:H63)</f>
        <v>775</v>
      </c>
      <c r="I64" s="25"/>
    </row>
    <row r="65" spans="2:5" x14ac:dyDescent="0.35">
      <c r="E65" s="18"/>
    </row>
    <row r="66" spans="2:5" x14ac:dyDescent="0.35">
      <c r="B66" s="31" t="str">
        <f>C35</f>
        <v>Note 4</v>
      </c>
    </row>
    <row r="67" spans="2:5" x14ac:dyDescent="0.35">
      <c r="B67" t="s">
        <v>119</v>
      </c>
    </row>
    <row r="68" spans="2:5" x14ac:dyDescent="0.35">
      <c r="D68" s="74" t="s">
        <v>152</v>
      </c>
    </row>
    <row r="69" spans="2:5" x14ac:dyDescent="0.35">
      <c r="C69" s="7" t="s">
        <v>127</v>
      </c>
      <c r="D69" s="18">
        <f>E35</f>
        <v>261</v>
      </c>
    </row>
    <row r="70" spans="2:5" x14ac:dyDescent="0.35">
      <c r="C70" s="7" t="s">
        <v>25</v>
      </c>
      <c r="D70" s="18">
        <v>102</v>
      </c>
    </row>
    <row r="71" spans="2:5" x14ac:dyDescent="0.35">
      <c r="C71" s="7" t="s">
        <v>26</v>
      </c>
      <c r="D71" s="19">
        <v>-50</v>
      </c>
    </row>
    <row r="72" spans="2:5" x14ac:dyDescent="0.35">
      <c r="C72" s="7" t="s">
        <v>128</v>
      </c>
      <c r="D72" s="18">
        <f>SUM(D69:D71)</f>
        <v>313</v>
      </c>
    </row>
    <row r="73" spans="2:5" x14ac:dyDescent="0.35">
      <c r="D73" s="25"/>
    </row>
  </sheetData>
  <mergeCells count="6">
    <mergeCell ref="G58:H58"/>
    <mergeCell ref="E4:F4"/>
    <mergeCell ref="D3:F3"/>
    <mergeCell ref="D2:F2"/>
    <mergeCell ref="B43:F44"/>
    <mergeCell ref="G48:H48"/>
  </mergeCells>
  <pageMargins left="0.7" right="0.7" top="0.75" bottom="0.75" header="0.3" footer="0.3"/>
  <pageSetup scale="75" fitToHeight="0"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4248C-0A4B-4FEB-9E92-DE445C819DD1}">
  <sheetPr>
    <pageSetUpPr fitToPage="1"/>
  </sheetPr>
  <dimension ref="A1:J94"/>
  <sheetViews>
    <sheetView showGridLines="0" topLeftCell="A68" workbookViewId="0">
      <selection activeCell="F24" sqref="F24"/>
    </sheetView>
  </sheetViews>
  <sheetFormatPr baseColWidth="10" defaultColWidth="10.90625" defaultRowHeight="14.5" x14ac:dyDescent="0.35"/>
  <cols>
    <col min="1" max="1" width="3" customWidth="1"/>
    <col min="2" max="2" width="38.81640625" customWidth="1"/>
    <col min="3" max="3" width="9" customWidth="1"/>
    <col min="4" max="5" width="18.1796875" style="4" customWidth="1"/>
    <col min="6" max="6" width="18.1796875" customWidth="1"/>
    <col min="7" max="7" width="13.1796875" customWidth="1"/>
  </cols>
  <sheetData>
    <row r="1" spans="1:8" x14ac:dyDescent="0.35">
      <c r="D1" s="109"/>
      <c r="E1" s="109"/>
    </row>
    <row r="2" spans="1:8" x14ac:dyDescent="0.35">
      <c r="D2" s="141" t="s">
        <v>14</v>
      </c>
      <c r="E2" s="141"/>
      <c r="F2" s="141"/>
      <c r="H2" s="15"/>
    </row>
    <row r="3" spans="1:8" x14ac:dyDescent="0.35">
      <c r="D3" s="141" t="s">
        <v>77</v>
      </c>
      <c r="E3" s="141"/>
      <c r="F3" s="141"/>
    </row>
    <row r="4" spans="1:8" x14ac:dyDescent="0.35">
      <c r="D4" s="110" t="s">
        <v>152</v>
      </c>
      <c r="E4" s="140" t="s">
        <v>156</v>
      </c>
      <c r="F4" s="140"/>
    </row>
    <row r="5" spans="1:8" s="7" customFormat="1" x14ac:dyDescent="0.35">
      <c r="A5" s="6"/>
      <c r="B5" s="6"/>
      <c r="C5" s="6"/>
      <c r="D5" s="111" t="s">
        <v>9</v>
      </c>
      <c r="E5" s="112" t="s">
        <v>9</v>
      </c>
      <c r="F5" s="112" t="s">
        <v>10</v>
      </c>
    </row>
    <row r="6" spans="1:8" x14ac:dyDescent="0.35">
      <c r="A6" t="s">
        <v>98</v>
      </c>
      <c r="D6" s="113"/>
      <c r="E6" s="114"/>
    </row>
    <row r="7" spans="1:8" x14ac:dyDescent="0.35">
      <c r="B7" t="s">
        <v>1</v>
      </c>
      <c r="D7" s="115">
        <v>488.5</v>
      </c>
      <c r="E7" s="26">
        <v>350</v>
      </c>
      <c r="F7" s="26">
        <v>350</v>
      </c>
      <c r="H7" s="25"/>
    </row>
    <row r="8" spans="1:8" x14ac:dyDescent="0.35">
      <c r="B8" t="s">
        <v>28</v>
      </c>
      <c r="D8" s="115">
        <v>215</v>
      </c>
      <c r="E8" s="26">
        <v>209</v>
      </c>
      <c r="F8" s="26">
        <v>209</v>
      </c>
      <c r="H8" s="25"/>
    </row>
    <row r="9" spans="1:8" x14ac:dyDescent="0.35">
      <c r="B9" t="s">
        <v>3</v>
      </c>
      <c r="C9" t="s">
        <v>15</v>
      </c>
      <c r="D9" s="27">
        <v>12</v>
      </c>
      <c r="E9" s="116">
        <v>20</v>
      </c>
      <c r="F9" s="116">
        <v>25</v>
      </c>
      <c r="H9" s="25"/>
    </row>
    <row r="10" spans="1:8" x14ac:dyDescent="0.35">
      <c r="D10" s="115">
        <f>SUM(D7:D9)</f>
        <v>715.5</v>
      </c>
      <c r="E10" s="26">
        <f>SUM(E7:E9)</f>
        <v>579</v>
      </c>
      <c r="F10" s="26">
        <f>SUM(F7:F9)</f>
        <v>584</v>
      </c>
    </row>
    <row r="11" spans="1:8" x14ac:dyDescent="0.35">
      <c r="A11" t="s">
        <v>99</v>
      </c>
      <c r="D11" s="115"/>
      <c r="E11" s="26"/>
      <c r="F11" s="26"/>
    </row>
    <row r="12" spans="1:8" x14ac:dyDescent="0.35">
      <c r="B12" t="s">
        <v>136</v>
      </c>
      <c r="C12" t="s">
        <v>16</v>
      </c>
      <c r="D12" s="23">
        <v>0</v>
      </c>
      <c r="E12" s="20">
        <v>15</v>
      </c>
      <c r="F12" s="20">
        <v>17</v>
      </c>
    </row>
    <row r="13" spans="1:8" x14ac:dyDescent="0.35">
      <c r="B13" t="s">
        <v>85</v>
      </c>
      <c r="C13" t="s">
        <v>17</v>
      </c>
      <c r="D13" s="115">
        <f>E62</f>
        <v>18</v>
      </c>
      <c r="E13" s="26">
        <v>30</v>
      </c>
      <c r="F13" s="26">
        <v>25</v>
      </c>
      <c r="H13" s="25"/>
    </row>
    <row r="14" spans="1:8" x14ac:dyDescent="0.35">
      <c r="B14" t="s">
        <v>113</v>
      </c>
      <c r="C14" t="s">
        <v>18</v>
      </c>
      <c r="D14" s="27">
        <f>E73</f>
        <v>500</v>
      </c>
      <c r="E14" s="116">
        <v>600</v>
      </c>
      <c r="F14" s="116">
        <v>2400</v>
      </c>
      <c r="H14" s="25"/>
    </row>
    <row r="15" spans="1:8" x14ac:dyDescent="0.35">
      <c r="D15" s="23">
        <f>SUM(D12:D14)</f>
        <v>518</v>
      </c>
      <c r="E15" s="26">
        <f>SUM(E12:E14)</f>
        <v>645</v>
      </c>
      <c r="F15" s="26">
        <f>SUM(F12:F14)</f>
        <v>2442</v>
      </c>
      <c r="H15" s="25"/>
    </row>
    <row r="16" spans="1:8" x14ac:dyDescent="0.35">
      <c r="D16" s="115"/>
      <c r="E16" s="26"/>
      <c r="F16" s="26"/>
      <c r="H16" s="25"/>
    </row>
    <row r="17" spans="1:10" s="31" customFormat="1" x14ac:dyDescent="0.35">
      <c r="D17" s="117">
        <f>D15+D10</f>
        <v>1233.5</v>
      </c>
      <c r="E17" s="118">
        <f>E15+E10</f>
        <v>1224</v>
      </c>
      <c r="F17" s="118">
        <f>F15+F10</f>
        <v>3026</v>
      </c>
      <c r="H17" s="50"/>
    </row>
    <row r="18" spans="1:10" x14ac:dyDescent="0.35">
      <c r="D18" s="115"/>
      <c r="E18" s="26"/>
      <c r="F18" s="26"/>
    </row>
    <row r="19" spans="1:10" x14ac:dyDescent="0.35">
      <c r="A19" t="s">
        <v>101</v>
      </c>
      <c r="D19" s="115"/>
      <c r="E19" s="26"/>
      <c r="F19" s="26"/>
    </row>
    <row r="20" spans="1:10" x14ac:dyDescent="0.35">
      <c r="B20" t="s">
        <v>4</v>
      </c>
      <c r="D20" s="115">
        <v>355</v>
      </c>
      <c r="E20" s="26">
        <v>310</v>
      </c>
      <c r="F20" s="26">
        <v>310</v>
      </c>
    </row>
    <row r="21" spans="1:10" x14ac:dyDescent="0.35">
      <c r="B21" t="s">
        <v>70</v>
      </c>
      <c r="D21" s="115">
        <v>135</v>
      </c>
      <c r="E21" s="26">
        <v>29</v>
      </c>
      <c r="F21" s="26">
        <v>29</v>
      </c>
    </row>
    <row r="22" spans="1:10" x14ac:dyDescent="0.35">
      <c r="B22" t="s">
        <v>29</v>
      </c>
      <c r="D22" s="115">
        <v>15</v>
      </c>
      <c r="E22" s="26"/>
      <c r="F22" s="26"/>
    </row>
    <row r="23" spans="1:10" x14ac:dyDescent="0.35">
      <c r="B23" t="s">
        <v>78</v>
      </c>
      <c r="D23" s="27">
        <v>40</v>
      </c>
      <c r="E23" s="116">
        <v>40</v>
      </c>
      <c r="F23" s="119">
        <v>40</v>
      </c>
    </row>
    <row r="24" spans="1:10" x14ac:dyDescent="0.35">
      <c r="D24" s="115">
        <f>SUM(D20:D23)</f>
        <v>545</v>
      </c>
      <c r="E24" s="26">
        <f>SUM(E20:E23)</f>
        <v>379</v>
      </c>
      <c r="F24" s="26">
        <f>SUM(F20:F23)</f>
        <v>379</v>
      </c>
    </row>
    <row r="25" spans="1:10" x14ac:dyDescent="0.35">
      <c r="A25" t="s">
        <v>103</v>
      </c>
      <c r="D25" s="115"/>
      <c r="E25" s="26"/>
      <c r="F25" s="26"/>
      <c r="I25" s="17"/>
      <c r="J25" s="17"/>
    </row>
    <row r="26" spans="1:10" x14ac:dyDescent="0.35">
      <c r="B26" t="s">
        <v>135</v>
      </c>
      <c r="C26" t="s">
        <v>16</v>
      </c>
      <c r="D26" s="23">
        <v>22</v>
      </c>
      <c r="E26" s="20"/>
      <c r="F26" s="20"/>
      <c r="I26" s="17"/>
      <c r="J26" s="17"/>
    </row>
    <row r="27" spans="1:10" x14ac:dyDescent="0.35">
      <c r="B27" t="s">
        <v>12</v>
      </c>
      <c r="D27" s="115">
        <v>400</v>
      </c>
      <c r="E27" s="26">
        <v>440</v>
      </c>
      <c r="F27" s="120">
        <v>444</v>
      </c>
      <c r="H27" s="25"/>
      <c r="I27" s="28"/>
      <c r="J27" s="28"/>
    </row>
    <row r="28" spans="1:10" x14ac:dyDescent="0.35">
      <c r="B28" t="s">
        <v>79</v>
      </c>
      <c r="D28" s="27">
        <v>-40</v>
      </c>
      <c r="E28" s="121">
        <v>-40</v>
      </c>
      <c r="F28" s="116">
        <f>E28</f>
        <v>-40</v>
      </c>
    </row>
    <row r="29" spans="1:10" x14ac:dyDescent="0.35">
      <c r="D29" s="115">
        <f>SUM(D26:D28)</f>
        <v>382</v>
      </c>
      <c r="E29" s="26">
        <f>SUM(E27:E28)</f>
        <v>400</v>
      </c>
      <c r="F29" s="26">
        <f>SUM(F27:F28)</f>
        <v>404</v>
      </c>
    </row>
    <row r="30" spans="1:10" x14ac:dyDescent="0.35">
      <c r="D30" s="115"/>
      <c r="E30" s="26"/>
      <c r="F30" s="26"/>
    </row>
    <row r="31" spans="1:10" s="31" customFormat="1" x14ac:dyDescent="0.35">
      <c r="D31" s="117">
        <f>D29+D24</f>
        <v>927</v>
      </c>
      <c r="E31" s="118">
        <f>E29+E24</f>
        <v>779</v>
      </c>
      <c r="F31" s="118">
        <f>F29+F24</f>
        <v>783</v>
      </c>
    </row>
    <row r="32" spans="1:10" x14ac:dyDescent="0.35">
      <c r="D32" s="115"/>
      <c r="E32" s="26"/>
      <c r="F32" s="26"/>
    </row>
    <row r="33" spans="1:6" x14ac:dyDescent="0.35">
      <c r="A33" t="s">
        <v>6</v>
      </c>
      <c r="D33" s="115"/>
      <c r="E33" s="26"/>
      <c r="F33" s="26"/>
    </row>
    <row r="34" spans="1:6" x14ac:dyDescent="0.35">
      <c r="B34" t="s">
        <v>80</v>
      </c>
      <c r="D34" s="115">
        <v>170</v>
      </c>
      <c r="E34" s="26">
        <v>170</v>
      </c>
      <c r="F34" s="26"/>
    </row>
    <row r="35" spans="1:6" x14ac:dyDescent="0.35">
      <c r="B35" t="s">
        <v>106</v>
      </c>
      <c r="D35" s="27">
        <v>136</v>
      </c>
      <c r="E35" s="116">
        <v>275</v>
      </c>
      <c r="F35" s="116"/>
    </row>
    <row r="36" spans="1:6" s="31" customFormat="1" x14ac:dyDescent="0.35">
      <c r="D36" s="122">
        <f>SUM(D34:D35)</f>
        <v>306</v>
      </c>
      <c r="E36" s="118">
        <f>SUM(E34:E35)</f>
        <v>445</v>
      </c>
      <c r="F36" s="50"/>
    </row>
    <row r="37" spans="1:6" x14ac:dyDescent="0.35">
      <c r="D37" s="109"/>
      <c r="E37" s="109"/>
    </row>
    <row r="38" spans="1:6" s="31" customFormat="1" x14ac:dyDescent="0.35">
      <c r="D38" s="123">
        <f>D36+D31</f>
        <v>1233</v>
      </c>
      <c r="E38" s="123">
        <f>E36+E31</f>
        <v>1224</v>
      </c>
      <c r="F38" s="123"/>
    </row>
    <row r="40" spans="1:6" x14ac:dyDescent="0.35">
      <c r="D40" s="4">
        <f>D17-D36-D31</f>
        <v>0.5</v>
      </c>
      <c r="E40" s="4">
        <f>E17-E36-E31</f>
        <v>0</v>
      </c>
      <c r="F40" s="18"/>
    </row>
    <row r="42" spans="1:6" x14ac:dyDescent="0.35">
      <c r="B42" t="str">
        <f>C9</f>
        <v>Note 1</v>
      </c>
      <c r="F42" s="25"/>
    </row>
    <row r="43" spans="1:6" x14ac:dyDescent="0.35">
      <c r="B43" s="139" t="s">
        <v>157</v>
      </c>
      <c r="C43" s="139"/>
      <c r="D43" s="139"/>
      <c r="E43" s="139"/>
      <c r="F43" s="139"/>
    </row>
    <row r="44" spans="1:6" x14ac:dyDescent="0.35">
      <c r="B44" s="139"/>
      <c r="C44" s="139"/>
      <c r="D44" s="139"/>
      <c r="E44" s="139"/>
      <c r="F44" s="139"/>
    </row>
    <row r="45" spans="1:6" x14ac:dyDescent="0.35">
      <c r="B45" s="139"/>
      <c r="C45" s="139"/>
      <c r="D45" s="139"/>
      <c r="E45" s="139"/>
      <c r="F45" s="139"/>
    </row>
    <row r="46" spans="1:6" x14ac:dyDescent="0.35">
      <c r="B46" s="139"/>
      <c r="C46" s="139"/>
      <c r="D46" s="139"/>
      <c r="E46" s="139"/>
      <c r="F46" s="139"/>
    </row>
    <row r="47" spans="1:6" x14ac:dyDescent="0.35">
      <c r="B47" s="108"/>
      <c r="C47" s="108"/>
      <c r="D47" s="108"/>
      <c r="E47" s="108"/>
      <c r="F47" s="108"/>
    </row>
    <row r="48" spans="1:6" x14ac:dyDescent="0.35">
      <c r="B48" s="108" t="s">
        <v>16</v>
      </c>
      <c r="C48" s="108"/>
      <c r="D48" s="108"/>
      <c r="E48" s="108"/>
      <c r="F48" s="108"/>
    </row>
    <row r="49" spans="2:10" x14ac:dyDescent="0.35">
      <c r="B49" s="139" t="s">
        <v>158</v>
      </c>
      <c r="C49" s="139"/>
      <c r="D49" s="139"/>
      <c r="E49" s="139"/>
      <c r="F49" s="139"/>
    </row>
    <row r="50" spans="2:10" x14ac:dyDescent="0.35">
      <c r="B50" s="139"/>
      <c r="C50" s="139"/>
      <c r="D50" s="139"/>
      <c r="E50" s="139"/>
      <c r="F50" s="139"/>
    </row>
    <row r="51" spans="2:10" x14ac:dyDescent="0.35">
      <c r="B51" s="139"/>
      <c r="C51" s="139"/>
      <c r="D51" s="139"/>
      <c r="E51" s="139"/>
      <c r="F51" s="139"/>
    </row>
    <row r="52" spans="2:10" x14ac:dyDescent="0.35">
      <c r="B52" s="139"/>
      <c r="C52" s="139"/>
      <c r="D52" s="139"/>
      <c r="E52" s="139"/>
      <c r="F52" s="139"/>
    </row>
    <row r="54" spans="2:10" x14ac:dyDescent="0.35">
      <c r="B54" t="str">
        <f>C13</f>
        <v>Note 3</v>
      </c>
    </row>
    <row r="55" spans="2:10" x14ac:dyDescent="0.35">
      <c r="B55" t="s">
        <v>115</v>
      </c>
    </row>
    <row r="56" spans="2:10" x14ac:dyDescent="0.35">
      <c r="D56" s="74" t="s">
        <v>152</v>
      </c>
      <c r="E56" s="142" t="s">
        <v>156</v>
      </c>
      <c r="F56" s="142"/>
      <c r="I56" s="138" t="s">
        <v>156</v>
      </c>
      <c r="J56" s="138"/>
    </row>
    <row r="57" spans="2:10" ht="29" x14ac:dyDescent="0.35">
      <c r="D57" s="5" t="s">
        <v>9</v>
      </c>
      <c r="F57" s="5" t="s">
        <v>9</v>
      </c>
      <c r="H57" s="5" t="s">
        <v>10</v>
      </c>
      <c r="I57" s="5" t="s">
        <v>21</v>
      </c>
    </row>
    <row r="58" spans="2:10" x14ac:dyDescent="0.35">
      <c r="C58" s="7" t="s">
        <v>19</v>
      </c>
      <c r="D58" s="18">
        <f>F58</f>
        <v>30</v>
      </c>
      <c r="F58" s="18">
        <v>30</v>
      </c>
      <c r="H58" s="18">
        <v>15</v>
      </c>
      <c r="I58" s="2">
        <v>3</v>
      </c>
    </row>
    <row r="59" spans="2:10" x14ac:dyDescent="0.35">
      <c r="C59" s="7"/>
      <c r="D59" s="18">
        <v>-20</v>
      </c>
      <c r="E59" s="18">
        <f>D58+D59</f>
        <v>10</v>
      </c>
      <c r="F59" s="18">
        <f>-F58/I58</f>
        <v>-10</v>
      </c>
      <c r="G59">
        <v>20</v>
      </c>
      <c r="H59" s="18"/>
      <c r="I59" s="2"/>
    </row>
    <row r="60" spans="2:10" x14ac:dyDescent="0.35">
      <c r="C60" s="7" t="s">
        <v>20</v>
      </c>
      <c r="D60" s="18">
        <v>20</v>
      </c>
      <c r="E60" s="18"/>
      <c r="F60" s="18">
        <v>20</v>
      </c>
      <c r="H60" s="18">
        <v>10</v>
      </c>
      <c r="I60" s="2">
        <v>8</v>
      </c>
    </row>
    <row r="61" spans="2:10" x14ac:dyDescent="0.35">
      <c r="C61" s="7"/>
      <c r="D61" s="19">
        <v>-12</v>
      </c>
      <c r="E61" s="19">
        <f>D60+D61</f>
        <v>8</v>
      </c>
      <c r="F61" s="19">
        <f>-F60/I60*4</f>
        <v>-10</v>
      </c>
      <c r="G61" s="8">
        <v>10</v>
      </c>
      <c r="H61" s="19"/>
    </row>
    <row r="62" spans="2:10" x14ac:dyDescent="0.35">
      <c r="D62" s="18"/>
      <c r="E62" s="18">
        <f>E59+E61</f>
        <v>18</v>
      </c>
      <c r="G62" s="18">
        <f>SUM(F58:F61)</f>
        <v>30</v>
      </c>
      <c r="H62" s="18">
        <f>SUM(H58:H61)</f>
        <v>25</v>
      </c>
    </row>
    <row r="63" spans="2:10" x14ac:dyDescent="0.35">
      <c r="D63" s="18"/>
      <c r="E63" s="18"/>
      <c r="F63" s="18"/>
      <c r="H63" s="18"/>
    </row>
    <row r="64" spans="2:10" x14ac:dyDescent="0.35">
      <c r="F64" s="4"/>
    </row>
    <row r="65" spans="2:9" x14ac:dyDescent="0.35">
      <c r="B65" t="str">
        <f>C14</f>
        <v>Note 4</v>
      </c>
    </row>
    <row r="66" spans="2:9" x14ac:dyDescent="0.35">
      <c r="B66" t="s">
        <v>112</v>
      </c>
    </row>
    <row r="67" spans="2:9" x14ac:dyDescent="0.35">
      <c r="D67" s="74" t="s">
        <v>152</v>
      </c>
      <c r="G67" s="138" t="s">
        <v>156</v>
      </c>
      <c r="H67" s="138"/>
    </row>
    <row r="68" spans="2:9" ht="29" x14ac:dyDescent="0.35">
      <c r="D68" s="5" t="s">
        <v>9</v>
      </c>
      <c r="F68" s="5" t="s">
        <v>9</v>
      </c>
      <c r="H68" s="5" t="s">
        <v>10</v>
      </c>
      <c r="I68" s="5" t="s">
        <v>21</v>
      </c>
    </row>
    <row r="69" spans="2:9" x14ac:dyDescent="0.35">
      <c r="C69" s="7" t="s">
        <v>23</v>
      </c>
      <c r="D69" s="18">
        <v>200</v>
      </c>
      <c r="F69" s="18">
        <v>200</v>
      </c>
      <c r="H69" s="18">
        <v>600</v>
      </c>
      <c r="I69" s="2">
        <v>5</v>
      </c>
    </row>
    <row r="70" spans="2:9" x14ac:dyDescent="0.35">
      <c r="D70" s="18">
        <f>D69/I69*-3</f>
        <v>-120</v>
      </c>
      <c r="E70" s="4">
        <f>D69+D70</f>
        <v>80</v>
      </c>
      <c r="F70" s="18">
        <f>-F69/I69*2</f>
        <v>-80</v>
      </c>
      <c r="G70">
        <v>120</v>
      </c>
      <c r="H70" s="18"/>
      <c r="I70" s="2"/>
    </row>
    <row r="71" spans="2:9" x14ac:dyDescent="0.35">
      <c r="C71" s="7" t="s">
        <v>22</v>
      </c>
      <c r="D71" s="18">
        <v>600</v>
      </c>
      <c r="F71" s="18">
        <v>600</v>
      </c>
      <c r="H71" s="18">
        <v>1800</v>
      </c>
      <c r="I71" s="2">
        <v>5</v>
      </c>
    </row>
    <row r="72" spans="2:9" x14ac:dyDescent="0.35">
      <c r="D72" s="19">
        <f>-D71/I71*0.5+F72</f>
        <v>-180</v>
      </c>
      <c r="E72" s="102">
        <f>D71+D72</f>
        <v>420</v>
      </c>
      <c r="F72" s="19">
        <v>-120</v>
      </c>
      <c r="G72" s="8">
        <v>480</v>
      </c>
      <c r="H72" s="19"/>
    </row>
    <row r="73" spans="2:9" x14ac:dyDescent="0.35">
      <c r="E73" s="18">
        <f>SUM(D69:D72)</f>
        <v>500</v>
      </c>
      <c r="G73" s="18">
        <f>SUM(F69:F72)</f>
        <v>600</v>
      </c>
      <c r="H73" s="18">
        <f t="shared" ref="H73" si="0">SUM(H69:H72)</f>
        <v>2400</v>
      </c>
    </row>
    <row r="74" spans="2:9" x14ac:dyDescent="0.35">
      <c r="D74" s="18"/>
      <c r="F74" s="18"/>
      <c r="H74" s="18"/>
      <c r="I74" s="25">
        <f>F71/5</f>
        <v>120</v>
      </c>
    </row>
    <row r="75" spans="2:9" x14ac:dyDescent="0.35">
      <c r="G75" s="25"/>
    </row>
    <row r="79" spans="2:9" ht="15" customHeight="1" x14ac:dyDescent="0.35">
      <c r="B79" s="139"/>
      <c r="C79" s="139"/>
      <c r="D79" s="139"/>
      <c r="E79" s="139"/>
      <c r="F79" s="139"/>
    </row>
    <row r="80" spans="2:9" x14ac:dyDescent="0.35">
      <c r="B80" s="139"/>
      <c r="C80" s="139"/>
      <c r="D80" s="139"/>
      <c r="E80" s="139"/>
      <c r="F80" s="139"/>
    </row>
    <row r="81" spans="2:6" x14ac:dyDescent="0.35">
      <c r="B81" s="139"/>
      <c r="C81" s="139"/>
      <c r="D81" s="139"/>
      <c r="E81" s="139"/>
      <c r="F81" s="139"/>
    </row>
    <row r="82" spans="2:6" x14ac:dyDescent="0.35">
      <c r="B82" s="139"/>
      <c r="C82" s="139"/>
      <c r="D82" s="139"/>
      <c r="E82" s="139"/>
      <c r="F82" s="139"/>
    </row>
    <row r="83" spans="2:6" x14ac:dyDescent="0.35">
      <c r="B83" s="139"/>
      <c r="C83" s="139"/>
      <c r="D83" s="139"/>
      <c r="E83" s="139"/>
      <c r="F83" s="139"/>
    </row>
    <row r="87" spans="2:6" s="15" customFormat="1" x14ac:dyDescent="0.35">
      <c r="D87" s="16"/>
    </row>
    <row r="88" spans="2:6" s="15" customFormat="1" x14ac:dyDescent="0.35">
      <c r="D88" s="16"/>
    </row>
    <row r="89" spans="2:6" s="15" customFormat="1" x14ac:dyDescent="0.35">
      <c r="D89" s="16"/>
    </row>
    <row r="90" spans="2:6" s="15" customFormat="1" x14ac:dyDescent="0.35">
      <c r="D90" s="16"/>
    </row>
    <row r="91" spans="2:6" s="15" customFormat="1" x14ac:dyDescent="0.35">
      <c r="D91" s="16"/>
    </row>
    <row r="92" spans="2:6" s="15" customFormat="1" x14ac:dyDescent="0.35">
      <c r="D92" s="16"/>
    </row>
    <row r="93" spans="2:6" s="15" customFormat="1" x14ac:dyDescent="0.35">
      <c r="D93" s="16"/>
    </row>
    <row r="94" spans="2:6" s="15" customFormat="1" x14ac:dyDescent="0.35">
      <c r="D94" s="16"/>
      <c r="E94" s="16"/>
    </row>
  </sheetData>
  <mergeCells count="9">
    <mergeCell ref="I56:J56"/>
    <mergeCell ref="B79:F83"/>
    <mergeCell ref="E4:F4"/>
    <mergeCell ref="D2:F2"/>
    <mergeCell ref="D3:F3"/>
    <mergeCell ref="B43:F46"/>
    <mergeCell ref="E56:F56"/>
    <mergeCell ref="G67:H67"/>
    <mergeCell ref="B49:F52"/>
  </mergeCells>
  <pageMargins left="0.7" right="0.7" top="0.75" bottom="0.75" header="0.3" footer="0.3"/>
  <pageSetup scale="77" fitToHeight="0"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FDB56-81AF-45E1-BEFF-2FEF2F538933}">
  <sheetPr>
    <pageSetUpPr fitToPage="1"/>
  </sheetPr>
  <dimension ref="A1:H33"/>
  <sheetViews>
    <sheetView showGridLines="0" tabSelected="1" workbookViewId="0">
      <selection activeCell="D3" sqref="D3"/>
    </sheetView>
  </sheetViews>
  <sheetFormatPr baseColWidth="10" defaultColWidth="10.90625" defaultRowHeight="14.5" x14ac:dyDescent="0.35"/>
  <cols>
    <col min="2" max="2" width="2.54296875" style="48" customWidth="1"/>
    <col min="3" max="3" width="49.453125" customWidth="1"/>
    <col min="8" max="8" width="12" bestFit="1" customWidth="1"/>
  </cols>
  <sheetData>
    <row r="1" spans="1:8" ht="18.5" x14ac:dyDescent="0.45">
      <c r="A1" s="47" t="s">
        <v>35</v>
      </c>
    </row>
    <row r="2" spans="1:8" x14ac:dyDescent="0.35">
      <c r="A2" s="31" t="s">
        <v>87</v>
      </c>
      <c r="D2" s="82" t="s">
        <v>156</v>
      </c>
    </row>
    <row r="4" spans="1:8" x14ac:dyDescent="0.35">
      <c r="A4" s="31" t="s">
        <v>86</v>
      </c>
    </row>
    <row r="6" spans="1:8" x14ac:dyDescent="0.35">
      <c r="C6" t="s">
        <v>39</v>
      </c>
      <c r="D6" s="18">
        <v>2500</v>
      </c>
      <c r="E6" s="86"/>
      <c r="F6" s="79"/>
    </row>
    <row r="7" spans="1:8" x14ac:dyDescent="0.35">
      <c r="C7" t="s">
        <v>72</v>
      </c>
      <c r="D7" s="18"/>
      <c r="E7" s="31"/>
    </row>
    <row r="8" spans="1:8" x14ac:dyDescent="0.35">
      <c r="C8" s="8" t="s">
        <v>73</v>
      </c>
      <c r="D8" s="19">
        <f>'1.3 EAI'!E36</f>
        <v>445</v>
      </c>
      <c r="E8" s="31"/>
    </row>
    <row r="9" spans="1:8" x14ac:dyDescent="0.35">
      <c r="C9" t="s">
        <v>161</v>
      </c>
      <c r="D9" s="18">
        <f>D6-D8</f>
        <v>2055</v>
      </c>
      <c r="E9" s="31"/>
      <c r="G9" s="25"/>
    </row>
    <row r="10" spans="1:8" x14ac:dyDescent="0.35">
      <c r="C10" s="51"/>
      <c r="D10" s="18"/>
      <c r="E10" s="31"/>
    </row>
    <row r="11" spans="1:8" x14ac:dyDescent="0.35">
      <c r="C11" t="s">
        <v>3</v>
      </c>
      <c r="D11" s="18">
        <f>-'1.3 EAI'!F9+'1.3 EAI'!E9</f>
        <v>-5</v>
      </c>
      <c r="E11" s="31"/>
    </row>
    <row r="12" spans="1:8" x14ac:dyDescent="0.35">
      <c r="C12" t="s">
        <v>116</v>
      </c>
      <c r="D12" s="18">
        <f>-'1.3 EAI'!F13+'1.3 EAI'!E13</f>
        <v>5</v>
      </c>
      <c r="E12" s="31"/>
    </row>
    <row r="13" spans="1:8" x14ac:dyDescent="0.35">
      <c r="C13" t="s">
        <v>113</v>
      </c>
      <c r="D13" s="18">
        <f>-'1.3 EAI'!F14+'1.3 EAI'!E14</f>
        <v>-1800</v>
      </c>
      <c r="E13" s="31"/>
    </row>
    <row r="14" spans="1:8" x14ac:dyDescent="0.35">
      <c r="C14" t="s">
        <v>12</v>
      </c>
      <c r="D14" s="18">
        <v>4</v>
      </c>
      <c r="G14" s="25"/>
      <c r="H14" s="25"/>
    </row>
    <row r="15" spans="1:8" x14ac:dyDescent="0.35">
      <c r="C15" t="s">
        <v>38</v>
      </c>
      <c r="D15" s="18">
        <f>+F26</f>
        <v>281.25</v>
      </c>
      <c r="E15" s="86" t="s">
        <v>15</v>
      </c>
    </row>
    <row r="16" spans="1:8" x14ac:dyDescent="0.35">
      <c r="C16" s="8" t="s">
        <v>137</v>
      </c>
      <c r="D16" s="19">
        <f>D33</f>
        <v>454.42500000000001</v>
      </c>
      <c r="E16" s="86" t="s">
        <v>16</v>
      </c>
    </row>
    <row r="17" spans="3:6" x14ac:dyDescent="0.35">
      <c r="C17" t="s">
        <v>120</v>
      </c>
      <c r="D17" s="18">
        <f>SUM(D9:D16)</f>
        <v>994.67499999999995</v>
      </c>
    </row>
    <row r="18" spans="3:6" x14ac:dyDescent="0.35">
      <c r="C18" s="51" t="s">
        <v>121</v>
      </c>
      <c r="D18" s="18"/>
    </row>
    <row r="19" spans="3:6" x14ac:dyDescent="0.35">
      <c r="D19" s="18"/>
    </row>
    <row r="20" spans="3:6" x14ac:dyDescent="0.35">
      <c r="D20" s="18"/>
    </row>
    <row r="21" spans="3:6" x14ac:dyDescent="0.35">
      <c r="C21" s="86" t="str">
        <f>+E15</f>
        <v>Note 1</v>
      </c>
      <c r="D21" s="25"/>
    </row>
    <row r="22" spans="3:6" x14ac:dyDescent="0.35">
      <c r="C22" s="79" t="s">
        <v>88</v>
      </c>
      <c r="D22" s="25"/>
    </row>
    <row r="23" spans="3:6" x14ac:dyDescent="0.35">
      <c r="C23" s="79"/>
      <c r="D23" t="s">
        <v>90</v>
      </c>
      <c r="E23" s="2" t="s">
        <v>92</v>
      </c>
    </row>
    <row r="24" spans="3:6" x14ac:dyDescent="0.35">
      <c r="C24" t="s">
        <v>89</v>
      </c>
      <c r="D24" s="55">
        <v>0.55000000000000004</v>
      </c>
      <c r="E24">
        <v>0</v>
      </c>
      <c r="F24">
        <f>+D24*E24</f>
        <v>0</v>
      </c>
    </row>
    <row r="25" spans="3:6" x14ac:dyDescent="0.35">
      <c r="C25" t="s">
        <v>91</v>
      </c>
      <c r="D25" s="13">
        <v>0.45</v>
      </c>
      <c r="E25">
        <f>(500+750)/2</f>
        <v>625</v>
      </c>
      <c r="F25" s="80">
        <f>+D25*E25</f>
        <v>281.25</v>
      </c>
    </row>
    <row r="26" spans="3:6" x14ac:dyDescent="0.35">
      <c r="D26" s="25"/>
      <c r="F26" s="81">
        <f>SUM(F24:F25)</f>
        <v>281.25</v>
      </c>
    </row>
    <row r="27" spans="3:6" x14ac:dyDescent="0.35">
      <c r="D27" s="25"/>
      <c r="F27" s="81"/>
    </row>
    <row r="28" spans="3:6" x14ac:dyDescent="0.35">
      <c r="C28" s="86" t="str">
        <f>E16</f>
        <v>Note 2</v>
      </c>
      <c r="D28" s="25"/>
      <c r="E28" s="124" t="s">
        <v>138</v>
      </c>
    </row>
    <row r="29" spans="3:6" x14ac:dyDescent="0.35">
      <c r="C29" t="s">
        <v>159</v>
      </c>
      <c r="D29" s="25">
        <f>D8</f>
        <v>445</v>
      </c>
    </row>
    <row r="30" spans="3:6" x14ac:dyDescent="0.35">
      <c r="C30" s="8" t="s">
        <v>160</v>
      </c>
      <c r="D30" s="125">
        <f>D8-SUM(D11:D15)</f>
        <v>1959.75</v>
      </c>
      <c r="F30" s="25"/>
    </row>
    <row r="31" spans="3:6" x14ac:dyDescent="0.35">
      <c r="C31" t="s">
        <v>139</v>
      </c>
      <c r="D31" s="25">
        <f>D30-D29</f>
        <v>1514.75</v>
      </c>
    </row>
    <row r="32" spans="3:6" x14ac:dyDescent="0.35">
      <c r="C32" s="8" t="s">
        <v>140</v>
      </c>
      <c r="D32" s="126">
        <v>0.3</v>
      </c>
      <c r="E32" s="51" t="s">
        <v>141</v>
      </c>
    </row>
    <row r="33" spans="3:4" x14ac:dyDescent="0.35">
      <c r="C33" t="s">
        <v>135</v>
      </c>
      <c r="D33" s="25">
        <f>D31*D32</f>
        <v>454.42500000000001</v>
      </c>
    </row>
  </sheetData>
  <pageMargins left="0.7" right="0.7" top="0.75" bottom="0.75" header="0.3" footer="0.3"/>
  <pageSetup scale="67" fitToHeight="0" orientation="landscape"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628CD-82AD-478A-8747-5AC8EDA153D0}">
  <sheetPr>
    <pageSetUpPr fitToPage="1"/>
  </sheetPr>
  <dimension ref="A1:I39"/>
  <sheetViews>
    <sheetView showGridLines="0" topLeftCell="A31" workbookViewId="0">
      <selection activeCell="C5" sqref="C5"/>
    </sheetView>
  </sheetViews>
  <sheetFormatPr baseColWidth="10" defaultColWidth="10.90625" defaultRowHeight="14.5" x14ac:dyDescent="0.35"/>
  <cols>
    <col min="2" max="2" width="3" customWidth="1"/>
    <col min="3" max="3" width="43.7265625" customWidth="1"/>
    <col min="4" max="6" width="15.453125" customWidth="1"/>
    <col min="8" max="8" width="15.1796875" customWidth="1"/>
  </cols>
  <sheetData>
    <row r="1" spans="1:9" ht="18.5" x14ac:dyDescent="0.45">
      <c r="A1" s="47" t="s">
        <v>35</v>
      </c>
      <c r="B1" s="48"/>
    </row>
    <row r="3" spans="1:9" x14ac:dyDescent="0.35">
      <c r="B3" s="48" t="s">
        <v>122</v>
      </c>
    </row>
    <row r="4" spans="1:9" x14ac:dyDescent="0.35">
      <c r="B4" s="48"/>
      <c r="C4" s="51" t="s">
        <v>174</v>
      </c>
    </row>
    <row r="5" spans="1:9" x14ac:dyDescent="0.35">
      <c r="B5" s="48"/>
      <c r="C5" t="s">
        <v>46</v>
      </c>
    </row>
    <row r="6" spans="1:9" x14ac:dyDescent="0.35">
      <c r="B6" s="48"/>
      <c r="C6" t="s">
        <v>123</v>
      </c>
      <c r="D6" s="18">
        <f>17%*'1.2 PI'!D70</f>
        <v>17.34</v>
      </c>
      <c r="E6" s="51"/>
    </row>
    <row r="7" spans="1:9" x14ac:dyDescent="0.35">
      <c r="B7" s="48"/>
      <c r="C7" s="8" t="s">
        <v>47</v>
      </c>
      <c r="D7" s="19">
        <f>-H18</f>
        <v>-21.604166666666668</v>
      </c>
      <c r="E7" t="s">
        <v>15</v>
      </c>
    </row>
    <row r="8" spans="1:9" x14ac:dyDescent="0.35">
      <c r="B8" s="48"/>
      <c r="C8" s="31" t="s">
        <v>57</v>
      </c>
      <c r="D8" s="52">
        <f>SUM(D6:D7)</f>
        <v>-4.264166666666668</v>
      </c>
    </row>
    <row r="9" spans="1:9" x14ac:dyDescent="0.35">
      <c r="B9" s="48"/>
    </row>
    <row r="10" spans="1:9" x14ac:dyDescent="0.35">
      <c r="B10" s="48"/>
      <c r="C10" s="31" t="str">
        <f>E7</f>
        <v>Note 1</v>
      </c>
    </row>
    <row r="11" spans="1:9" ht="43.5" x14ac:dyDescent="0.35">
      <c r="B11" s="48"/>
      <c r="D11" s="54" t="s">
        <v>10</v>
      </c>
      <c r="E11" s="54" t="s">
        <v>9</v>
      </c>
      <c r="F11" s="53" t="s">
        <v>42</v>
      </c>
      <c r="G11" s="53" t="s">
        <v>95</v>
      </c>
      <c r="H11" s="67" t="s">
        <v>62</v>
      </c>
      <c r="I11" s="53"/>
    </row>
    <row r="12" spans="1:9" x14ac:dyDescent="0.35">
      <c r="B12" s="48"/>
      <c r="C12" t="s">
        <v>19</v>
      </c>
      <c r="D12">
        <f>+'1.2 PI'!H50</f>
        <v>8</v>
      </c>
      <c r="E12">
        <f>+'1.2 PI'!F50+'1.2 PI'!F51</f>
        <v>9</v>
      </c>
      <c r="F12">
        <f>D12-E12</f>
        <v>-1</v>
      </c>
      <c r="G12">
        <v>3</v>
      </c>
      <c r="H12" s="105">
        <f>F12/G12</f>
        <v>-0.33333333333333331</v>
      </c>
    </row>
    <row r="13" spans="1:9" x14ac:dyDescent="0.35">
      <c r="B13" s="48"/>
      <c r="C13" t="s">
        <v>20</v>
      </c>
      <c r="D13">
        <f>+'1.2 PI'!H52</f>
        <v>6</v>
      </c>
      <c r="E13">
        <f>+'1.2 PI'!F52+'1.2 PI'!F53</f>
        <v>8</v>
      </c>
      <c r="F13">
        <f>D13-E13</f>
        <v>-2</v>
      </c>
      <c r="G13">
        <v>8</v>
      </c>
      <c r="H13" s="105">
        <f>F13/G13</f>
        <v>-0.25</v>
      </c>
    </row>
    <row r="14" spans="1:9" x14ac:dyDescent="0.35">
      <c r="B14" s="48"/>
      <c r="C14" t="s">
        <v>23</v>
      </c>
      <c r="D14">
        <f>+'1.2 PI'!H60</f>
        <v>215</v>
      </c>
      <c r="E14">
        <f>+'1.2 PI'!F60+'1.2 PI'!F61</f>
        <v>72</v>
      </c>
      <c r="F14">
        <f t="shared" ref="F14:F15" si="0">D14-E14</f>
        <v>143</v>
      </c>
      <c r="G14">
        <v>3</v>
      </c>
      <c r="H14" s="81">
        <f>F14/G14</f>
        <v>47.666666666666664</v>
      </c>
    </row>
    <row r="15" spans="1:9" x14ac:dyDescent="0.35">
      <c r="B15" s="48"/>
      <c r="C15" s="8" t="s">
        <v>22</v>
      </c>
      <c r="D15" s="8">
        <f>+'1.2 PI'!H62</f>
        <v>560</v>
      </c>
      <c r="E15" s="8">
        <f>+'1.2 PI'!F62+'1.2 PI'!F63</f>
        <v>240</v>
      </c>
      <c r="F15" s="8">
        <f t="shared" si="0"/>
        <v>320</v>
      </c>
      <c r="G15" s="8">
        <v>4</v>
      </c>
      <c r="H15" s="84">
        <f t="shared" ref="H15" si="1">F15/G15</f>
        <v>80</v>
      </c>
    </row>
    <row r="16" spans="1:9" x14ac:dyDescent="0.35">
      <c r="B16" s="48"/>
      <c r="G16" s="7" t="s">
        <v>55</v>
      </c>
      <c r="H16" s="18">
        <f>SUM(H12:H15)</f>
        <v>127.08333333333333</v>
      </c>
    </row>
    <row r="17" spans="2:9" x14ac:dyDescent="0.35">
      <c r="B17" s="48"/>
      <c r="G17" s="7" t="s">
        <v>43</v>
      </c>
      <c r="H17" s="55">
        <v>0.17</v>
      </c>
    </row>
    <row r="18" spans="2:9" x14ac:dyDescent="0.35">
      <c r="B18" s="48"/>
      <c r="G18" s="56" t="s">
        <v>44</v>
      </c>
      <c r="H18" s="52">
        <f>H16*H17</f>
        <v>21.604166666666668</v>
      </c>
      <c r="I18" s="51" t="s">
        <v>45</v>
      </c>
    </row>
    <row r="19" spans="2:9" x14ac:dyDescent="0.35">
      <c r="B19" s="48"/>
    </row>
    <row r="20" spans="2:9" x14ac:dyDescent="0.35">
      <c r="B20" s="48"/>
      <c r="C20" t="s">
        <v>48</v>
      </c>
      <c r="D20" s="18">
        <v>400</v>
      </c>
    </row>
    <row r="21" spans="2:9" x14ac:dyDescent="0.35">
      <c r="B21" s="48"/>
      <c r="C21" t="s">
        <v>51</v>
      </c>
      <c r="D21" s="18"/>
    </row>
    <row r="22" spans="2:9" x14ac:dyDescent="0.35">
      <c r="B22" s="48"/>
      <c r="C22" t="s">
        <v>49</v>
      </c>
      <c r="D22" s="18">
        <f>'1.2 PI'!F18*17%</f>
        <v>210.8</v>
      </c>
      <c r="E22" s="51" t="s">
        <v>71</v>
      </c>
    </row>
    <row r="23" spans="2:9" x14ac:dyDescent="0.35">
      <c r="B23" s="48"/>
      <c r="C23" s="8" t="s">
        <v>50</v>
      </c>
      <c r="D23" s="19">
        <f>+'1.2 PI'!F31*17%</f>
        <v>69.53</v>
      </c>
      <c r="E23" s="51" t="s">
        <v>71</v>
      </c>
    </row>
    <row r="24" spans="2:9" x14ac:dyDescent="0.35">
      <c r="B24" s="48"/>
      <c r="C24" t="s">
        <v>125</v>
      </c>
      <c r="D24" s="18">
        <f>D20-(D22-D23)</f>
        <v>258.73</v>
      </c>
      <c r="E24" s="51" t="s">
        <v>132</v>
      </c>
    </row>
    <row r="25" spans="2:9" x14ac:dyDescent="0.35">
      <c r="B25" s="48"/>
    </row>
    <row r="26" spans="2:9" x14ac:dyDescent="0.35">
      <c r="B26" s="48"/>
    </row>
    <row r="27" spans="2:9" x14ac:dyDescent="0.35">
      <c r="B27" s="48"/>
    </row>
    <row r="28" spans="2:9" x14ac:dyDescent="0.35">
      <c r="B28" s="48"/>
      <c r="C28" s="51" t="s">
        <v>170</v>
      </c>
    </row>
    <row r="29" spans="2:9" x14ac:dyDescent="0.35">
      <c r="B29" s="48"/>
      <c r="C29" t="s">
        <v>48</v>
      </c>
      <c r="D29" s="18">
        <f>D20</f>
        <v>400</v>
      </c>
    </row>
    <row r="30" spans="2:9" x14ac:dyDescent="0.35">
      <c r="B30" s="48"/>
      <c r="C30" t="s">
        <v>46</v>
      </c>
      <c r="D30" s="18">
        <f>D8</f>
        <v>-4.264166666666668</v>
      </c>
    </row>
    <row r="31" spans="2:9" x14ac:dyDescent="0.35">
      <c r="B31" s="48"/>
      <c r="C31" s="8" t="s">
        <v>53</v>
      </c>
      <c r="D31" s="19">
        <f>--'1.2 PI'!D71*0.17</f>
        <v>-8.5</v>
      </c>
    </row>
    <row r="32" spans="2:9" x14ac:dyDescent="0.35">
      <c r="B32" s="48"/>
      <c r="C32" s="31" t="s">
        <v>52</v>
      </c>
      <c r="D32" s="52">
        <f>SUM(D29:D31)</f>
        <v>387.23583333333335</v>
      </c>
    </row>
    <row r="33" spans="2:5" x14ac:dyDescent="0.35">
      <c r="B33" s="48"/>
    </row>
    <row r="34" spans="2:5" ht="15" thickBot="1" x14ac:dyDescent="0.4"/>
    <row r="35" spans="2:5" x14ac:dyDescent="0.35">
      <c r="B35" s="57" t="s">
        <v>171</v>
      </c>
      <c r="C35" s="58"/>
      <c r="D35" s="58"/>
      <c r="E35" s="41"/>
    </row>
    <row r="36" spans="2:5" x14ac:dyDescent="0.35">
      <c r="B36" s="34"/>
      <c r="C36" s="59" t="s">
        <v>40</v>
      </c>
      <c r="E36" s="35"/>
    </row>
    <row r="37" spans="2:5" x14ac:dyDescent="0.35">
      <c r="B37" s="34"/>
      <c r="C37" t="s">
        <v>54</v>
      </c>
      <c r="D37" s="25">
        <f>-D31</f>
        <v>8.5</v>
      </c>
      <c r="E37" s="35"/>
    </row>
    <row r="38" spans="2:5" x14ac:dyDescent="0.35">
      <c r="B38" s="34"/>
      <c r="C38" s="49" t="s">
        <v>46</v>
      </c>
      <c r="D38" s="25">
        <f>-D8</f>
        <v>4.264166666666668</v>
      </c>
      <c r="E38" s="37"/>
    </row>
    <row r="39" spans="2:5" ht="15" thickBot="1" x14ac:dyDescent="0.4">
      <c r="B39" s="60"/>
      <c r="C39" s="61" t="s">
        <v>124</v>
      </c>
      <c r="D39" s="62"/>
      <c r="E39" s="63">
        <f>SUM(D37:D38)</f>
        <v>12.764166666666668</v>
      </c>
    </row>
  </sheetData>
  <pageMargins left="0.7" right="0.7" top="0.75" bottom="0.75" header="0.3" footer="0.3"/>
  <pageSetup scale="66" fitToHeight="0" orientation="landscape"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4B88B-CA9B-47FC-BD28-25F74A1DF180}">
  <sheetPr>
    <pageSetUpPr fitToPage="1"/>
  </sheetPr>
  <dimension ref="A1:L90"/>
  <sheetViews>
    <sheetView showGridLines="0" topLeftCell="A79" workbookViewId="0">
      <selection activeCell="C44" sqref="C44"/>
    </sheetView>
  </sheetViews>
  <sheetFormatPr baseColWidth="10" defaultColWidth="10.90625" defaultRowHeight="14.5" x14ac:dyDescent="0.35"/>
  <cols>
    <col min="1" max="1" width="1.453125" customWidth="1"/>
    <col min="2" max="2" width="2.1796875" style="31" customWidth="1"/>
    <col min="3" max="3" width="46.81640625" customWidth="1"/>
    <col min="4" max="5" width="11.26953125" customWidth="1"/>
    <col min="6" max="6" width="15" customWidth="1"/>
    <col min="7" max="8" width="8" customWidth="1"/>
    <col min="9" max="9" width="18.26953125" style="46" customWidth="1"/>
    <col min="10" max="11" width="7.453125" style="46" customWidth="1"/>
    <col min="12" max="12" width="13.26953125" customWidth="1"/>
  </cols>
  <sheetData>
    <row r="1" spans="1:11" ht="18.5" x14ac:dyDescent="0.45">
      <c r="A1" s="47" t="s">
        <v>35</v>
      </c>
      <c r="B1" s="48"/>
      <c r="I1"/>
      <c r="J1"/>
      <c r="K1"/>
    </row>
    <row r="2" spans="1:11" x14ac:dyDescent="0.35">
      <c r="A2" t="s">
        <v>36</v>
      </c>
      <c r="B2" s="48"/>
      <c r="I2"/>
      <c r="J2"/>
      <c r="K2"/>
    </row>
    <row r="3" spans="1:11" x14ac:dyDescent="0.35">
      <c r="A3" t="s">
        <v>37</v>
      </c>
      <c r="B3" s="48"/>
      <c r="G3" s="25"/>
      <c r="I3"/>
      <c r="J3"/>
      <c r="K3"/>
    </row>
    <row r="4" spans="1:11" ht="7.5" customHeight="1" thickBot="1" x14ac:dyDescent="0.4"/>
    <row r="5" spans="1:11" s="31" customFormat="1" ht="29.25" customHeight="1" thickBot="1" x14ac:dyDescent="0.4">
      <c r="D5" s="143" t="s">
        <v>162</v>
      </c>
      <c r="E5" s="144"/>
      <c r="F5" s="145" t="s">
        <v>33</v>
      </c>
      <c r="G5" s="146"/>
      <c r="H5" s="147"/>
      <c r="I5" s="98" t="s">
        <v>162</v>
      </c>
    </row>
    <row r="6" spans="1:11" s="33" customFormat="1" ht="15" thickBot="1" x14ac:dyDescent="0.4">
      <c r="B6" s="32"/>
      <c r="C6" s="72"/>
      <c r="D6" s="73" t="s">
        <v>31</v>
      </c>
      <c r="E6" s="70" t="s">
        <v>32</v>
      </c>
      <c r="F6" s="91" t="s">
        <v>15</v>
      </c>
      <c r="G6" s="92" t="s">
        <v>16</v>
      </c>
      <c r="H6" s="92" t="s">
        <v>17</v>
      </c>
      <c r="I6" s="71" t="s">
        <v>34</v>
      </c>
    </row>
    <row r="7" spans="1:11" x14ac:dyDescent="0.35">
      <c r="B7" s="44" t="s">
        <v>98</v>
      </c>
      <c r="C7" s="41"/>
      <c r="D7" s="34"/>
      <c r="E7" s="41"/>
      <c r="F7" s="64"/>
      <c r="G7" s="65"/>
      <c r="H7" s="65"/>
      <c r="I7" s="68"/>
    </row>
    <row r="8" spans="1:11" x14ac:dyDescent="0.35">
      <c r="B8" s="42"/>
      <c r="C8" s="35" t="s">
        <v>1</v>
      </c>
      <c r="D8" s="36">
        <v>1511</v>
      </c>
      <c r="E8" s="37">
        <v>488.5</v>
      </c>
      <c r="F8" s="64"/>
      <c r="G8" s="65"/>
      <c r="H8" s="65"/>
      <c r="I8" s="69">
        <f>D8+E8+SUM(F8:H8)</f>
        <v>1999.5</v>
      </c>
    </row>
    <row r="9" spans="1:11" x14ac:dyDescent="0.35">
      <c r="B9" s="42"/>
      <c r="C9" s="35" t="s">
        <v>13</v>
      </c>
      <c r="D9" s="36">
        <v>700</v>
      </c>
      <c r="E9" s="35"/>
      <c r="F9" s="64"/>
      <c r="G9" s="65"/>
      <c r="H9" s="65"/>
      <c r="I9" s="69">
        <f t="shared" ref="I9:I39" si="0">D9+E9+SUM(F9:H9)</f>
        <v>700</v>
      </c>
    </row>
    <row r="10" spans="1:11" x14ac:dyDescent="0.35">
      <c r="B10" s="42"/>
      <c r="C10" s="35" t="s">
        <v>24</v>
      </c>
      <c r="D10" s="36">
        <v>9</v>
      </c>
      <c r="E10" s="35"/>
      <c r="F10" s="64"/>
      <c r="G10" s="65"/>
      <c r="H10" s="65"/>
      <c r="I10" s="69">
        <f t="shared" si="0"/>
        <v>9</v>
      </c>
    </row>
    <row r="11" spans="1:11" x14ac:dyDescent="0.35">
      <c r="B11" s="42"/>
      <c r="C11" s="35" t="s">
        <v>28</v>
      </c>
      <c r="D11" s="36">
        <v>1291</v>
      </c>
      <c r="E11" s="37">
        <v>215</v>
      </c>
      <c r="F11" s="88"/>
      <c r="G11" s="65"/>
      <c r="H11" s="65"/>
      <c r="I11" s="69">
        <f t="shared" si="0"/>
        <v>1506</v>
      </c>
    </row>
    <row r="12" spans="1:11" x14ac:dyDescent="0.35">
      <c r="B12" s="42"/>
      <c r="C12" s="35" t="s">
        <v>30</v>
      </c>
      <c r="D12" s="36">
        <v>15</v>
      </c>
      <c r="E12" s="37"/>
      <c r="F12" s="88"/>
      <c r="G12" s="65"/>
      <c r="H12" s="65">
        <v>-15</v>
      </c>
      <c r="I12" s="69">
        <f t="shared" si="0"/>
        <v>0</v>
      </c>
    </row>
    <row r="13" spans="1:11" x14ac:dyDescent="0.35">
      <c r="B13" s="42"/>
      <c r="C13" s="35" t="s">
        <v>2</v>
      </c>
      <c r="D13" s="36">
        <v>300</v>
      </c>
      <c r="E13" s="35"/>
      <c r="F13" s="88"/>
      <c r="G13" s="65"/>
      <c r="H13" s="65"/>
      <c r="I13" s="69">
        <f t="shared" si="0"/>
        <v>300</v>
      </c>
    </row>
    <row r="14" spans="1:11" x14ac:dyDescent="0.35">
      <c r="B14" s="42"/>
      <c r="C14" s="35" t="s">
        <v>3</v>
      </c>
      <c r="D14" s="36">
        <v>100</v>
      </c>
      <c r="E14" s="37">
        <v>12</v>
      </c>
      <c r="F14" s="88">
        <f>D44</f>
        <v>5</v>
      </c>
      <c r="G14" s="65">
        <f>-D63</f>
        <v>-3.3333333333333335</v>
      </c>
      <c r="H14" s="65"/>
      <c r="I14" s="69">
        <f>D14+E14+SUM(F14:H14)</f>
        <v>113.66666666666667</v>
      </c>
    </row>
    <row r="15" spans="1:11" x14ac:dyDescent="0.35">
      <c r="B15" s="42"/>
      <c r="C15" s="35"/>
      <c r="D15" s="36"/>
      <c r="E15" s="37"/>
      <c r="F15" s="88"/>
      <c r="G15" s="65"/>
      <c r="H15" s="65"/>
      <c r="I15" s="69"/>
    </row>
    <row r="16" spans="1:11" x14ac:dyDescent="0.35">
      <c r="B16" s="45" t="s">
        <v>129</v>
      </c>
      <c r="C16" s="35"/>
      <c r="D16" s="36"/>
      <c r="E16" s="37"/>
      <c r="F16" s="88"/>
      <c r="G16" s="65"/>
      <c r="H16" s="65"/>
      <c r="I16" s="69"/>
    </row>
    <row r="17" spans="2:9" x14ac:dyDescent="0.35">
      <c r="B17" s="42"/>
      <c r="C17" s="35" t="s">
        <v>136</v>
      </c>
      <c r="D17" s="36"/>
      <c r="E17" s="37"/>
      <c r="F17" s="88">
        <f>D45</f>
        <v>2</v>
      </c>
      <c r="G17" s="127">
        <f>-F17</f>
        <v>-2</v>
      </c>
      <c r="H17" s="65"/>
      <c r="I17" s="69">
        <f>D17+E17+SUM(F17:H17)</f>
        <v>0</v>
      </c>
    </row>
    <row r="18" spans="2:9" x14ac:dyDescent="0.35">
      <c r="B18" s="42"/>
      <c r="C18" s="35" t="s">
        <v>100</v>
      </c>
      <c r="D18" s="36">
        <v>833</v>
      </c>
      <c r="E18" s="37"/>
      <c r="F18" s="88"/>
      <c r="G18" s="65"/>
      <c r="H18" s="65"/>
      <c r="I18" s="69">
        <f t="shared" si="0"/>
        <v>833</v>
      </c>
    </row>
    <row r="19" spans="2:9" x14ac:dyDescent="0.35">
      <c r="B19" s="42"/>
      <c r="C19" s="35" t="s">
        <v>85</v>
      </c>
      <c r="D19" s="36"/>
      <c r="E19" s="37">
        <f>'1.3 EAI'!D13</f>
        <v>18</v>
      </c>
      <c r="F19" s="88">
        <v>-5</v>
      </c>
      <c r="G19" s="65">
        <f>-H67</f>
        <v>2.5</v>
      </c>
      <c r="H19" s="65"/>
      <c r="I19" s="69">
        <f t="shared" si="0"/>
        <v>15.5</v>
      </c>
    </row>
    <row r="20" spans="2:9" x14ac:dyDescent="0.35">
      <c r="B20" s="42"/>
      <c r="C20" s="35" t="s">
        <v>113</v>
      </c>
      <c r="D20" s="36">
        <v>2100</v>
      </c>
      <c r="E20" s="37">
        <f>'1.3 EAI'!D14</f>
        <v>500</v>
      </c>
      <c r="F20" s="88">
        <f>D46</f>
        <v>1800</v>
      </c>
      <c r="G20" s="65">
        <f>-H68-H69</f>
        <v>-490</v>
      </c>
      <c r="H20" s="65"/>
      <c r="I20" s="69">
        <f t="shared" si="0"/>
        <v>3910</v>
      </c>
    </row>
    <row r="21" spans="2:9" x14ac:dyDescent="0.35">
      <c r="B21" s="42"/>
      <c r="C21" s="35" t="s">
        <v>13</v>
      </c>
      <c r="D21" s="36">
        <v>2900</v>
      </c>
      <c r="E21" s="37"/>
      <c r="F21" s="88">
        <f>-E50</f>
        <v>-2500</v>
      </c>
      <c r="G21" s="65"/>
      <c r="H21" s="65"/>
      <c r="I21" s="69">
        <f t="shared" si="0"/>
        <v>400</v>
      </c>
    </row>
    <row r="22" spans="2:9" x14ac:dyDescent="0.35">
      <c r="B22" s="42"/>
      <c r="C22" s="35" t="s">
        <v>120</v>
      </c>
      <c r="D22" s="36"/>
      <c r="E22" s="37"/>
      <c r="F22" s="88">
        <f>+D47</f>
        <v>994.67499999999995</v>
      </c>
      <c r="G22" s="65"/>
      <c r="H22" s="65"/>
      <c r="I22" s="69">
        <f t="shared" si="0"/>
        <v>994.67499999999995</v>
      </c>
    </row>
    <row r="23" spans="2:9" x14ac:dyDescent="0.35">
      <c r="B23" s="42"/>
      <c r="C23" s="35"/>
      <c r="D23" s="36"/>
      <c r="E23" s="37"/>
      <c r="F23" s="88"/>
      <c r="G23" s="65"/>
      <c r="H23" s="65"/>
      <c r="I23" s="69"/>
    </row>
    <row r="24" spans="2:9" x14ac:dyDescent="0.35">
      <c r="B24" s="45" t="s">
        <v>101</v>
      </c>
      <c r="C24" s="35"/>
      <c r="D24" s="36"/>
      <c r="E24" s="37"/>
      <c r="F24" s="88"/>
      <c r="G24" s="65"/>
      <c r="H24" s="65"/>
      <c r="I24" s="69"/>
    </row>
    <row r="25" spans="2:9" x14ac:dyDescent="0.35">
      <c r="B25" s="42"/>
      <c r="C25" s="35" t="s">
        <v>4</v>
      </c>
      <c r="D25" s="36">
        <v>75</v>
      </c>
      <c r="E25" s="37">
        <v>355</v>
      </c>
      <c r="F25" s="88"/>
      <c r="G25" s="65"/>
      <c r="H25" s="65"/>
      <c r="I25" s="69">
        <f t="shared" si="0"/>
        <v>430</v>
      </c>
    </row>
    <row r="26" spans="2:9" x14ac:dyDescent="0.35">
      <c r="B26" s="42"/>
      <c r="C26" s="35" t="s">
        <v>11</v>
      </c>
      <c r="D26" s="36">
        <v>215</v>
      </c>
      <c r="E26" s="37">
        <v>135</v>
      </c>
      <c r="F26" s="88"/>
      <c r="G26" s="65"/>
      <c r="H26" s="65"/>
      <c r="I26" s="69">
        <f t="shared" si="0"/>
        <v>350</v>
      </c>
    </row>
    <row r="27" spans="2:9" x14ac:dyDescent="0.35">
      <c r="B27" s="42"/>
      <c r="C27" s="35" t="s">
        <v>29</v>
      </c>
      <c r="D27" s="107"/>
      <c r="E27" s="37">
        <v>15</v>
      </c>
      <c r="F27" s="88"/>
      <c r="G27" s="65"/>
      <c r="H27" s="65">
        <v>-15</v>
      </c>
      <c r="I27" s="69">
        <f t="shared" si="0"/>
        <v>0</v>
      </c>
    </row>
    <row r="28" spans="2:9" x14ac:dyDescent="0.35">
      <c r="B28" s="42"/>
      <c r="C28" s="35" t="s">
        <v>38</v>
      </c>
      <c r="D28" s="36"/>
      <c r="E28" s="37"/>
      <c r="F28" s="88">
        <f>+E52</f>
        <v>281.25</v>
      </c>
      <c r="G28" s="65"/>
      <c r="H28" s="65"/>
      <c r="I28" s="69">
        <f t="shared" si="0"/>
        <v>281.25</v>
      </c>
    </row>
    <row r="29" spans="2:9" x14ac:dyDescent="0.35">
      <c r="B29" s="42"/>
      <c r="C29" s="35" t="s">
        <v>78</v>
      </c>
      <c r="D29" s="36">
        <v>500</v>
      </c>
      <c r="E29" s="37">
        <v>40</v>
      </c>
      <c r="F29" s="88"/>
      <c r="G29" s="65"/>
      <c r="H29" s="65"/>
      <c r="I29" s="69">
        <f t="shared" si="0"/>
        <v>540</v>
      </c>
    </row>
    <row r="30" spans="2:9" x14ac:dyDescent="0.35">
      <c r="B30" s="42"/>
      <c r="C30" s="35"/>
      <c r="D30" s="36"/>
      <c r="E30" s="37"/>
      <c r="F30" s="88"/>
      <c r="G30" s="65"/>
      <c r="H30" s="65"/>
      <c r="I30" s="69"/>
    </row>
    <row r="31" spans="2:9" x14ac:dyDescent="0.35">
      <c r="B31" s="45" t="s">
        <v>103</v>
      </c>
      <c r="C31" s="35"/>
      <c r="D31" s="36"/>
      <c r="E31" s="37"/>
      <c r="F31" s="88"/>
      <c r="G31" s="65"/>
      <c r="H31" s="65"/>
      <c r="I31" s="69"/>
    </row>
    <row r="32" spans="2:9" x14ac:dyDescent="0.35">
      <c r="B32" s="42"/>
      <c r="C32" s="35" t="s">
        <v>5</v>
      </c>
      <c r="D32" s="36">
        <v>915</v>
      </c>
      <c r="E32" s="37"/>
      <c r="F32" s="88"/>
      <c r="G32" s="65"/>
      <c r="H32" s="65"/>
      <c r="I32" s="69">
        <f t="shared" si="0"/>
        <v>915</v>
      </c>
    </row>
    <row r="33" spans="2:12" x14ac:dyDescent="0.35">
      <c r="B33" s="42"/>
      <c r="C33" s="35" t="s">
        <v>135</v>
      </c>
      <c r="D33" s="36">
        <v>214</v>
      </c>
      <c r="E33" s="37">
        <v>22</v>
      </c>
      <c r="F33" s="88">
        <v>455</v>
      </c>
      <c r="G33" s="127">
        <f>D85</f>
        <v>-148.04999999999998</v>
      </c>
      <c r="H33" s="65"/>
      <c r="I33" s="69">
        <f t="shared" ref="I33" si="1">D33+E33+SUM(F33:H33)</f>
        <v>542.95000000000005</v>
      </c>
    </row>
    <row r="34" spans="2:12" x14ac:dyDescent="0.35">
      <c r="B34" s="42"/>
      <c r="C34" s="35" t="s">
        <v>12</v>
      </c>
      <c r="D34" s="36">
        <v>3500</v>
      </c>
      <c r="E34" s="37">
        <v>400</v>
      </c>
      <c r="F34" s="88">
        <f>+E54</f>
        <v>4</v>
      </c>
      <c r="G34" s="65">
        <f>-F74</f>
        <v>-0.66666666666666663</v>
      </c>
      <c r="H34" s="65"/>
      <c r="I34" s="69">
        <f t="shared" si="0"/>
        <v>3903.3333333333335</v>
      </c>
    </row>
    <row r="35" spans="2:12" x14ac:dyDescent="0.35">
      <c r="B35" s="42"/>
      <c r="C35" s="35" t="s">
        <v>79</v>
      </c>
      <c r="D35" s="36">
        <v>-500</v>
      </c>
      <c r="E35" s="37">
        <v>-40</v>
      </c>
      <c r="F35" s="88"/>
      <c r="G35" s="65"/>
      <c r="H35" s="65"/>
      <c r="I35" s="69">
        <f t="shared" si="0"/>
        <v>-540</v>
      </c>
    </row>
    <row r="36" spans="2:12" x14ac:dyDescent="0.35">
      <c r="B36" s="42"/>
      <c r="C36" s="35"/>
      <c r="D36" s="36"/>
      <c r="E36" s="37"/>
      <c r="F36" s="88"/>
      <c r="G36" s="65"/>
      <c r="H36" s="65"/>
      <c r="I36" s="69">
        <f t="shared" si="0"/>
        <v>0</v>
      </c>
    </row>
    <row r="37" spans="2:12" x14ac:dyDescent="0.35">
      <c r="B37" s="45" t="s">
        <v>6</v>
      </c>
      <c r="C37" s="35"/>
      <c r="D37" s="36"/>
      <c r="E37" s="37"/>
      <c r="F37" s="88"/>
      <c r="G37" s="65"/>
      <c r="H37" s="65"/>
      <c r="I37" s="69">
        <f t="shared" si="0"/>
        <v>0</v>
      </c>
      <c r="L37" s="25"/>
    </row>
    <row r="38" spans="2:12" x14ac:dyDescent="0.35">
      <c r="B38" s="42"/>
      <c r="C38" s="35" t="s">
        <v>80</v>
      </c>
      <c r="D38" s="36">
        <v>500</v>
      </c>
      <c r="E38" s="37">
        <f>'1.3 EAI'!D34</f>
        <v>170</v>
      </c>
      <c r="F38" s="88">
        <f>-D48</f>
        <v>-170</v>
      </c>
      <c r="G38" s="65"/>
      <c r="H38" s="65"/>
      <c r="I38" s="69">
        <f t="shared" si="0"/>
        <v>500</v>
      </c>
    </row>
    <row r="39" spans="2:12" ht="15" thickBot="1" x14ac:dyDescent="0.4">
      <c r="B39" s="43"/>
      <c r="C39" s="40" t="s">
        <v>106</v>
      </c>
      <c r="D39" s="38">
        <f>'1.1 EGI'!D38</f>
        <v>4340</v>
      </c>
      <c r="E39" s="39">
        <f>'1.3 EAI'!D35</f>
        <v>136</v>
      </c>
      <c r="F39" s="89">
        <f>-D49</f>
        <v>-275</v>
      </c>
      <c r="G39" s="66">
        <f>+SUM(G8:G22)-SUM(G25:G35)</f>
        <v>-344.11666666666667</v>
      </c>
      <c r="H39" s="66"/>
      <c r="I39" s="97">
        <f t="shared" si="0"/>
        <v>3856.8833333333332</v>
      </c>
      <c r="J39" s="106"/>
    </row>
    <row r="41" spans="2:12" x14ac:dyDescent="0.35">
      <c r="D41" s="25"/>
      <c r="E41" s="25"/>
      <c r="F41" s="25"/>
      <c r="G41" s="25"/>
      <c r="H41" s="25"/>
      <c r="I41" s="25"/>
      <c r="J41" s="25"/>
      <c r="K41" s="25"/>
      <c r="L41" s="25"/>
    </row>
    <row r="42" spans="2:12" x14ac:dyDescent="0.35">
      <c r="C42" s="86" t="s">
        <v>15</v>
      </c>
    </row>
    <row r="43" spans="2:12" x14ac:dyDescent="0.35">
      <c r="C43" t="s">
        <v>175</v>
      </c>
    </row>
    <row r="44" spans="2:12" x14ac:dyDescent="0.35">
      <c r="C44" t="s">
        <v>3</v>
      </c>
      <c r="D44" s="87">
        <f>'1.3 EAI'!F9-'1.3 EAI'!E9</f>
        <v>5</v>
      </c>
      <c r="E44" s="87"/>
      <c r="H44" s="25"/>
    </row>
    <row r="45" spans="2:12" x14ac:dyDescent="0.35">
      <c r="C45" t="s">
        <v>136</v>
      </c>
      <c r="D45" s="87">
        <v>2</v>
      </c>
      <c r="E45" s="87"/>
      <c r="H45" s="25"/>
    </row>
    <row r="46" spans="2:12" x14ac:dyDescent="0.35">
      <c r="C46" t="s">
        <v>126</v>
      </c>
      <c r="D46" s="87">
        <f>'1.3 EAI'!F14-'1.3 EAI'!E14</f>
        <v>1800</v>
      </c>
      <c r="E46" s="87"/>
    </row>
    <row r="47" spans="2:12" x14ac:dyDescent="0.35">
      <c r="C47" t="s">
        <v>120</v>
      </c>
      <c r="D47" s="87">
        <f>+'A.2) Regroupement'!D17</f>
        <v>994.67499999999995</v>
      </c>
      <c r="E47" s="87"/>
    </row>
    <row r="48" spans="2:12" x14ac:dyDescent="0.35">
      <c r="C48" s="49" t="s">
        <v>7</v>
      </c>
      <c r="D48" s="87">
        <f>+'1.3 EAI'!E34</f>
        <v>170</v>
      </c>
    </row>
    <row r="49" spans="3:8" x14ac:dyDescent="0.35">
      <c r="C49" s="49" t="s">
        <v>60</v>
      </c>
      <c r="D49" s="87">
        <f>+'1.3 EAI'!E35</f>
        <v>275</v>
      </c>
    </row>
    <row r="50" spans="3:8" x14ac:dyDescent="0.35">
      <c r="C50" s="49" t="s">
        <v>41</v>
      </c>
      <c r="D50" s="87"/>
      <c r="E50" s="87">
        <f>+'A.2) Regroupement'!D6</f>
        <v>2500</v>
      </c>
    </row>
    <row r="51" spans="3:8" x14ac:dyDescent="0.35">
      <c r="C51" s="49" t="s">
        <v>117</v>
      </c>
      <c r="D51" s="87"/>
      <c r="E51" s="87">
        <f>'1.3 EAI'!E13-'1.3 EAI'!F13</f>
        <v>5</v>
      </c>
    </row>
    <row r="52" spans="3:8" x14ac:dyDescent="0.35">
      <c r="C52" s="49" t="s">
        <v>58</v>
      </c>
      <c r="D52" s="87"/>
      <c r="E52" s="87">
        <f>+'A.2) Regroupement'!D15</f>
        <v>281.25</v>
      </c>
    </row>
    <row r="53" spans="3:8" x14ac:dyDescent="0.35">
      <c r="C53" s="49" t="s">
        <v>142</v>
      </c>
      <c r="D53" s="87"/>
      <c r="E53" s="87">
        <f>'A.2) Regroupement'!D33</f>
        <v>454.42500000000001</v>
      </c>
      <c r="G53" s="25"/>
    </row>
    <row r="54" spans="3:8" x14ac:dyDescent="0.35">
      <c r="C54" s="49" t="s">
        <v>59</v>
      </c>
      <c r="D54" s="87"/>
      <c r="E54" s="87">
        <f>+'A.2) Regroupement'!D14</f>
        <v>4</v>
      </c>
    </row>
    <row r="55" spans="3:8" x14ac:dyDescent="0.35">
      <c r="C55" s="49"/>
      <c r="D55" s="87"/>
      <c r="E55" s="87"/>
      <c r="G55" s="25"/>
    </row>
    <row r="56" spans="3:8" x14ac:dyDescent="0.35">
      <c r="C56" s="49"/>
      <c r="D56" s="18"/>
      <c r="E56" s="18"/>
      <c r="G56" s="25"/>
      <c r="H56" s="25"/>
    </row>
    <row r="57" spans="3:8" x14ac:dyDescent="0.35">
      <c r="H57" s="25"/>
    </row>
    <row r="58" spans="3:8" x14ac:dyDescent="0.35">
      <c r="C58" s="86" t="str">
        <f>G6</f>
        <v>Note 2</v>
      </c>
    </row>
    <row r="59" spans="3:8" x14ac:dyDescent="0.35">
      <c r="C59" t="s">
        <v>172</v>
      </c>
    </row>
    <row r="60" spans="3:8" x14ac:dyDescent="0.35">
      <c r="C60" s="48" t="s">
        <v>63</v>
      </c>
      <c r="D60" s="2"/>
    </row>
    <row r="61" spans="3:8" x14ac:dyDescent="0.35">
      <c r="C61" t="s">
        <v>64</v>
      </c>
      <c r="D61">
        <v>5</v>
      </c>
    </row>
    <row r="62" spans="3:8" x14ac:dyDescent="0.35">
      <c r="C62" t="s">
        <v>65</v>
      </c>
      <c r="D62">
        <v>18</v>
      </c>
    </row>
    <row r="63" spans="3:8" x14ac:dyDescent="0.35">
      <c r="C63" s="31" t="s">
        <v>66</v>
      </c>
      <c r="D63" s="90">
        <f>D61/D62*12</f>
        <v>3.3333333333333335</v>
      </c>
      <c r="E63" s="51" t="s">
        <v>163</v>
      </c>
    </row>
    <row r="65" spans="3:9" x14ac:dyDescent="0.35">
      <c r="C65" s="48" t="s">
        <v>118</v>
      </c>
    </row>
    <row r="66" spans="3:9" ht="58" x14ac:dyDescent="0.35">
      <c r="D66" s="53" t="s">
        <v>173</v>
      </c>
      <c r="E66" s="53" t="s">
        <v>9</v>
      </c>
      <c r="F66" s="53" t="s">
        <v>61</v>
      </c>
      <c r="G66" s="53" t="s">
        <v>95</v>
      </c>
      <c r="H66" s="67" t="s">
        <v>165</v>
      </c>
    </row>
    <row r="67" spans="3:9" x14ac:dyDescent="0.35">
      <c r="C67" t="s">
        <v>19</v>
      </c>
      <c r="D67" s="18">
        <v>15</v>
      </c>
      <c r="E67" s="18">
        <f>+'1.3 EAI'!F58+'1.3 EAI'!F59</f>
        <v>20</v>
      </c>
      <c r="F67" s="18">
        <f t="shared" ref="F67:F69" si="2">D67-E67</f>
        <v>-5</v>
      </c>
      <c r="G67" s="18">
        <v>2</v>
      </c>
      <c r="H67" s="18">
        <f>F67/G67</f>
        <v>-2.5</v>
      </c>
      <c r="I67" s="51" t="s">
        <v>164</v>
      </c>
    </row>
    <row r="68" spans="3:9" x14ac:dyDescent="0.35">
      <c r="C68" t="s">
        <v>23</v>
      </c>
      <c r="D68" s="18">
        <f>+'1.3 EAI'!H69</f>
        <v>600</v>
      </c>
      <c r="E68" s="18">
        <f>+'1.3 EAI'!F69+'1.3 EAI'!F70</f>
        <v>120</v>
      </c>
      <c r="F68" s="18">
        <f t="shared" si="2"/>
        <v>480</v>
      </c>
      <c r="G68" s="18">
        <v>3</v>
      </c>
      <c r="H68" s="93">
        <f>F68/G68</f>
        <v>160</v>
      </c>
      <c r="I68" s="51" t="s">
        <v>164</v>
      </c>
    </row>
    <row r="69" spans="3:9" x14ac:dyDescent="0.35">
      <c r="C69" t="s">
        <v>22</v>
      </c>
      <c r="D69" s="18">
        <f>+'1.3 EAI'!H71</f>
        <v>1800</v>
      </c>
      <c r="E69" s="18">
        <f>+'1.3 EAI'!F71+'1.3 EAI'!F72</f>
        <v>480</v>
      </c>
      <c r="F69" s="18">
        <f t="shared" si="2"/>
        <v>1320</v>
      </c>
      <c r="G69" s="18">
        <v>4</v>
      </c>
      <c r="H69" s="94">
        <f>F69/G69</f>
        <v>330</v>
      </c>
      <c r="I69" s="51" t="s">
        <v>164</v>
      </c>
    </row>
    <row r="70" spans="3:9" x14ac:dyDescent="0.35">
      <c r="G70" s="56" t="s">
        <v>67</v>
      </c>
      <c r="H70" s="50">
        <f>SUM(H67:H69)</f>
        <v>487.5</v>
      </c>
      <c r="I70" s="51" t="s">
        <v>134</v>
      </c>
    </row>
    <row r="71" spans="3:9" x14ac:dyDescent="0.35">
      <c r="H71" s="25"/>
    </row>
    <row r="72" spans="3:9" x14ac:dyDescent="0.35">
      <c r="C72" s="48" t="s">
        <v>68</v>
      </c>
    </row>
    <row r="73" spans="3:9" ht="43.5" customHeight="1" x14ac:dyDescent="0.35">
      <c r="C73" s="48"/>
      <c r="E73" s="53" t="s">
        <v>95</v>
      </c>
      <c r="F73" s="67" t="s">
        <v>165</v>
      </c>
      <c r="G73" s="46"/>
    </row>
    <row r="74" spans="3:9" x14ac:dyDescent="0.35">
      <c r="C74" t="s">
        <v>96</v>
      </c>
      <c r="D74" s="87">
        <v>4</v>
      </c>
      <c r="E74" s="18">
        <v>6</v>
      </c>
      <c r="F74" s="18">
        <f>D74/E74</f>
        <v>0.66666666666666663</v>
      </c>
      <c r="G74" s="51" t="s">
        <v>164</v>
      </c>
    </row>
    <row r="75" spans="3:9" x14ac:dyDescent="0.35">
      <c r="C75" s="51" t="s">
        <v>69</v>
      </c>
      <c r="D75" s="50"/>
      <c r="E75" s="51"/>
      <c r="G75" s="51" t="s">
        <v>97</v>
      </c>
    </row>
    <row r="77" spans="3:9" x14ac:dyDescent="0.35">
      <c r="C77" s="48" t="s">
        <v>143</v>
      </c>
      <c r="D77" s="14"/>
    </row>
    <row r="78" spans="3:9" x14ac:dyDescent="0.35">
      <c r="C78" s="128" t="s">
        <v>166</v>
      </c>
      <c r="D78" s="14"/>
    </row>
    <row r="79" spans="3:9" x14ac:dyDescent="0.35">
      <c r="C79" t="str">
        <f>+C14</f>
        <v>Frais payés d'avance</v>
      </c>
      <c r="D79" s="18">
        <f>G14</f>
        <v>-3.3333333333333335</v>
      </c>
    </row>
    <row r="80" spans="3:9" x14ac:dyDescent="0.35">
      <c r="C80" t="s">
        <v>136</v>
      </c>
      <c r="D80" s="18">
        <f>G17</f>
        <v>-2</v>
      </c>
    </row>
    <row r="81" spans="3:4" x14ac:dyDescent="0.35">
      <c r="C81" t="s">
        <v>144</v>
      </c>
      <c r="D81" s="18">
        <f>G20+G19</f>
        <v>-487.5</v>
      </c>
    </row>
    <row r="82" spans="3:4" ht="16" x14ac:dyDescent="0.5">
      <c r="C82" t="s">
        <v>68</v>
      </c>
      <c r="D82" s="129">
        <f>+G34</f>
        <v>-0.66666666666666663</v>
      </c>
    </row>
    <row r="83" spans="3:4" x14ac:dyDescent="0.35">
      <c r="D83" s="25">
        <f>SUM(D79:D82)</f>
        <v>-493.5</v>
      </c>
    </row>
    <row r="84" spans="3:4" x14ac:dyDescent="0.35">
      <c r="C84" t="s">
        <v>145</v>
      </c>
      <c r="D84" s="55">
        <v>0.3</v>
      </c>
    </row>
    <row r="85" spans="3:4" x14ac:dyDescent="0.35">
      <c r="C85" s="31" t="s">
        <v>167</v>
      </c>
      <c r="D85" s="50">
        <f>D84*D83</f>
        <v>-148.04999999999998</v>
      </c>
    </row>
    <row r="89" spans="3:4" x14ac:dyDescent="0.35">
      <c r="C89" s="95" t="str">
        <f>H6</f>
        <v>Note 3</v>
      </c>
    </row>
    <row r="90" spans="3:4" x14ac:dyDescent="0.35">
      <c r="C90" t="s">
        <v>133</v>
      </c>
    </row>
  </sheetData>
  <mergeCells count="2">
    <mergeCell ref="D5:E5"/>
    <mergeCell ref="F5:H5"/>
  </mergeCells>
  <phoneticPr fontId="17" type="noConversion"/>
  <pageMargins left="0.7" right="0.7" top="0.75" bottom="0.75" header="0.3" footer="0.3"/>
  <pageSetup scale="68" fitToHeight="0" orientation="landscape"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CBD7F-3E85-46AF-97F1-2AC64699F907}">
  <sheetPr>
    <pageSetUpPr fitToPage="1"/>
  </sheetPr>
  <dimension ref="A1:M40"/>
  <sheetViews>
    <sheetView showGridLines="0" workbookViewId="0">
      <selection activeCell="D3" sqref="D3"/>
    </sheetView>
  </sheetViews>
  <sheetFormatPr baseColWidth="10" defaultColWidth="10.90625" defaultRowHeight="14.5" x14ac:dyDescent="0.35"/>
  <cols>
    <col min="2" max="2" width="2.54296875" style="48" customWidth="1"/>
    <col min="3" max="3" width="49.453125" customWidth="1"/>
    <col min="8" max="8" width="12" bestFit="1" customWidth="1"/>
  </cols>
  <sheetData>
    <row r="1" spans="1:8" ht="18.5" x14ac:dyDescent="0.45">
      <c r="A1" s="47" t="s">
        <v>35</v>
      </c>
    </row>
    <row r="2" spans="1:8" x14ac:dyDescent="0.35">
      <c r="A2" s="31" t="s">
        <v>87</v>
      </c>
      <c r="D2" t="s">
        <v>156</v>
      </c>
    </row>
    <row r="4" spans="1:8" x14ac:dyDescent="0.35">
      <c r="A4" s="99" t="s">
        <v>86</v>
      </c>
      <c r="B4" s="100"/>
      <c r="C4" s="101"/>
      <c r="D4" s="101"/>
      <c r="E4" s="101"/>
      <c r="F4" s="101"/>
    </row>
    <row r="6" spans="1:8" x14ac:dyDescent="0.35">
      <c r="C6" t="s">
        <v>39</v>
      </c>
      <c r="D6" s="18">
        <v>2500</v>
      </c>
      <c r="E6" s="86"/>
      <c r="F6" s="79"/>
    </row>
    <row r="7" spans="1:8" x14ac:dyDescent="0.35">
      <c r="C7" t="s">
        <v>72</v>
      </c>
      <c r="D7" s="18"/>
      <c r="E7" s="31"/>
    </row>
    <row r="8" spans="1:8" x14ac:dyDescent="0.35">
      <c r="C8" s="8" t="s">
        <v>73</v>
      </c>
      <c r="D8" s="19">
        <f>'1.3 EAI'!E36</f>
        <v>445</v>
      </c>
      <c r="E8" s="31"/>
    </row>
    <row r="9" spans="1:8" x14ac:dyDescent="0.35">
      <c r="C9" t="s">
        <v>74</v>
      </c>
      <c r="D9" s="18">
        <f>D6-D8</f>
        <v>2055</v>
      </c>
      <c r="E9" s="31"/>
      <c r="G9" s="25"/>
    </row>
    <row r="10" spans="1:8" x14ac:dyDescent="0.35">
      <c r="C10" s="51"/>
      <c r="D10" s="18"/>
      <c r="E10" s="31"/>
    </row>
    <row r="11" spans="1:8" x14ac:dyDescent="0.35">
      <c r="C11" t="s">
        <v>3</v>
      </c>
      <c r="D11" s="18">
        <f>-'[1]1.3 EAI'!F9+'[1]1.3 EAI'!E9</f>
        <v>-5</v>
      </c>
      <c r="E11" s="31"/>
    </row>
    <row r="12" spans="1:8" x14ac:dyDescent="0.35">
      <c r="C12" t="s">
        <v>146</v>
      </c>
      <c r="D12" s="18">
        <v>-2</v>
      </c>
      <c r="E12" s="31"/>
    </row>
    <row r="13" spans="1:8" x14ac:dyDescent="0.35">
      <c r="C13" t="s">
        <v>130</v>
      </c>
      <c r="D13" s="18">
        <v>5</v>
      </c>
      <c r="E13" s="31"/>
    </row>
    <row r="14" spans="1:8" x14ac:dyDescent="0.35">
      <c r="C14" t="s">
        <v>131</v>
      </c>
      <c r="D14" s="18">
        <v>-1800</v>
      </c>
      <c r="E14" s="31"/>
    </row>
    <row r="15" spans="1:8" x14ac:dyDescent="0.35">
      <c r="C15" t="s">
        <v>12</v>
      </c>
      <c r="D15" s="18">
        <f>+D25</f>
        <v>4</v>
      </c>
      <c r="E15" s="86" t="s">
        <v>15</v>
      </c>
      <c r="G15" s="25"/>
      <c r="H15" s="25"/>
    </row>
    <row r="16" spans="1:8" x14ac:dyDescent="0.35">
      <c r="C16" t="s">
        <v>38</v>
      </c>
      <c r="D16" s="18">
        <f>+F32</f>
        <v>281.25</v>
      </c>
      <c r="E16" s="86" t="s">
        <v>16</v>
      </c>
    </row>
    <row r="17" spans="3:13" x14ac:dyDescent="0.35">
      <c r="C17" s="8" t="s">
        <v>147</v>
      </c>
      <c r="D17" s="19">
        <v>0</v>
      </c>
      <c r="E17" s="86" t="s">
        <v>17</v>
      </c>
    </row>
    <row r="18" spans="3:13" x14ac:dyDescent="0.35">
      <c r="C18" t="s">
        <v>120</v>
      </c>
      <c r="D18" s="18">
        <f>SUM(D9:D16)</f>
        <v>538.25</v>
      </c>
    </row>
    <row r="19" spans="3:13" x14ac:dyDescent="0.35">
      <c r="C19" s="51" t="s">
        <v>168</v>
      </c>
      <c r="D19" s="18"/>
    </row>
    <row r="20" spans="3:13" x14ac:dyDescent="0.35">
      <c r="C20" s="51" t="s">
        <v>169</v>
      </c>
      <c r="D20" s="18"/>
    </row>
    <row r="21" spans="3:13" x14ac:dyDescent="0.35">
      <c r="D21" s="18"/>
    </row>
    <row r="22" spans="3:13" x14ac:dyDescent="0.35">
      <c r="C22" s="86" t="str">
        <f>+E15</f>
        <v>Note 1</v>
      </c>
      <c r="D22" s="25"/>
    </row>
    <row r="23" spans="3:13" x14ac:dyDescent="0.35">
      <c r="C23" t="s">
        <v>93</v>
      </c>
      <c r="D23" s="25">
        <v>444</v>
      </c>
      <c r="G23" s="82"/>
      <c r="H23" s="82"/>
      <c r="I23" s="82"/>
      <c r="J23" s="82"/>
      <c r="K23" s="82"/>
      <c r="L23" s="82"/>
      <c r="M23" s="82"/>
    </row>
    <row r="24" spans="3:13" ht="16" x14ac:dyDescent="0.5">
      <c r="C24" t="s">
        <v>94</v>
      </c>
      <c r="D24" s="85">
        <v>440</v>
      </c>
    </row>
    <row r="25" spans="3:13" x14ac:dyDescent="0.35">
      <c r="D25" s="25">
        <f>D23-D24</f>
        <v>4</v>
      </c>
    </row>
    <row r="26" spans="3:13" x14ac:dyDescent="0.35">
      <c r="D26" s="25"/>
      <c r="E26" s="83"/>
      <c r="H26" s="81"/>
      <c r="I26" s="81"/>
      <c r="J26" s="81"/>
      <c r="K26" s="81"/>
      <c r="L26" s="81"/>
      <c r="M26" s="81"/>
    </row>
    <row r="27" spans="3:13" x14ac:dyDescent="0.35">
      <c r="C27" s="86" t="str">
        <f>+E16</f>
        <v>Note 2</v>
      </c>
      <c r="D27" s="25"/>
    </row>
    <row r="28" spans="3:13" x14ac:dyDescent="0.35">
      <c r="C28" s="79" t="s">
        <v>88</v>
      </c>
      <c r="D28" s="25"/>
    </row>
    <row r="29" spans="3:13" x14ac:dyDescent="0.35">
      <c r="C29" s="79"/>
      <c r="D29" t="s">
        <v>90</v>
      </c>
      <c r="E29" s="2" t="s">
        <v>92</v>
      </c>
    </row>
    <row r="30" spans="3:13" x14ac:dyDescent="0.35">
      <c r="C30" t="s">
        <v>89</v>
      </c>
      <c r="D30" s="55">
        <v>0.55000000000000004</v>
      </c>
      <c r="E30">
        <v>0</v>
      </c>
      <c r="F30">
        <f>+D30*E30</f>
        <v>0</v>
      </c>
    </row>
    <row r="31" spans="3:13" x14ac:dyDescent="0.35">
      <c r="C31" t="s">
        <v>91</v>
      </c>
      <c r="D31" s="13">
        <v>0.45</v>
      </c>
      <c r="E31">
        <f>(500+750)/2</f>
        <v>625</v>
      </c>
      <c r="F31" s="80">
        <f>+D31*E31</f>
        <v>281.25</v>
      </c>
    </row>
    <row r="32" spans="3:13" x14ac:dyDescent="0.35">
      <c r="D32" s="25"/>
      <c r="F32" s="81">
        <f>SUM(F30:F31)</f>
        <v>281.25</v>
      </c>
    </row>
    <row r="33" spans="3:11" x14ac:dyDescent="0.35">
      <c r="C33" s="86" t="str">
        <f>E17</f>
        <v>Note 3</v>
      </c>
      <c r="D33" s="25"/>
      <c r="E33" s="124" t="s">
        <v>138</v>
      </c>
    </row>
    <row r="34" spans="3:11" x14ac:dyDescent="0.35">
      <c r="C34" s="130" t="s">
        <v>148</v>
      </c>
      <c r="D34" s="131">
        <f>D8</f>
        <v>445</v>
      </c>
      <c r="E34" s="130"/>
      <c r="F34" s="130"/>
      <c r="G34" s="130"/>
      <c r="H34" s="130"/>
      <c r="I34" s="130"/>
      <c r="J34" s="130"/>
      <c r="K34" s="130"/>
    </row>
    <row r="35" spans="3:11" x14ac:dyDescent="0.35">
      <c r="C35" s="132" t="s">
        <v>149</v>
      </c>
      <c r="D35" s="133">
        <f>-SUM(D11:D17)+D8</f>
        <v>1961.75</v>
      </c>
      <c r="E35" s="130"/>
      <c r="F35" s="131"/>
      <c r="G35" s="130"/>
      <c r="H35" s="130"/>
      <c r="I35" s="130"/>
      <c r="J35" s="130"/>
      <c r="K35" s="130"/>
    </row>
    <row r="36" spans="3:11" x14ac:dyDescent="0.35">
      <c r="C36" s="130" t="s">
        <v>139</v>
      </c>
      <c r="D36" s="131">
        <f>D35-D34</f>
        <v>1516.75</v>
      </c>
      <c r="E36" s="130"/>
      <c r="F36" s="130"/>
      <c r="G36" s="130"/>
      <c r="H36" s="130"/>
      <c r="I36" s="130"/>
      <c r="J36" s="130"/>
      <c r="K36" s="130"/>
    </row>
    <row r="37" spans="3:11" x14ac:dyDescent="0.35">
      <c r="C37" s="132" t="s">
        <v>140</v>
      </c>
      <c r="D37" s="134">
        <v>0.3</v>
      </c>
      <c r="E37" s="135" t="s">
        <v>141</v>
      </c>
      <c r="F37" s="130"/>
      <c r="G37" s="130"/>
      <c r="H37" s="130"/>
      <c r="I37" s="130"/>
      <c r="J37" s="130"/>
      <c r="K37" s="130"/>
    </row>
    <row r="38" spans="3:11" x14ac:dyDescent="0.35">
      <c r="C38" s="130" t="s">
        <v>135</v>
      </c>
      <c r="D38" s="131">
        <f>D36*D37</f>
        <v>455.02499999999998</v>
      </c>
      <c r="E38" s="130"/>
      <c r="F38" s="130"/>
      <c r="G38" s="130"/>
      <c r="H38" s="130"/>
      <c r="I38" s="130"/>
      <c r="J38" s="130"/>
      <c r="K38" s="130"/>
    </row>
    <row r="40" spans="3:11" x14ac:dyDescent="0.35">
      <c r="C40" s="124" t="s">
        <v>151</v>
      </c>
    </row>
  </sheetData>
  <pageMargins left="0.7" right="0.7" top="0.75" bottom="0.75" header="0.3" footer="0.3"/>
  <pageSetup scale="67" fitToHeight="0"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1.1 EGI</vt:lpstr>
      <vt:lpstr>1.2 PI</vt:lpstr>
      <vt:lpstr>1.3 EAI</vt:lpstr>
      <vt:lpstr>A.2) Regroupement</vt:lpstr>
      <vt:lpstr>A.3) Placement avec influence</vt:lpstr>
      <vt:lpstr>A.4) Consolidé</vt:lpstr>
      <vt:lpstr>Actifs nets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veronique beland</dc:creator>
  <cp:lastModifiedBy>Louise Overbeek</cp:lastModifiedBy>
  <cp:lastPrinted>2022-11-03T12:24:48Z</cp:lastPrinted>
  <dcterms:created xsi:type="dcterms:W3CDTF">2022-01-19T17:42:07Z</dcterms:created>
  <dcterms:modified xsi:type="dcterms:W3CDTF">2025-03-13T17:24:27Z</dcterms:modified>
</cp:coreProperties>
</file>