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DESS\Information financiere intégrité et confirmité\Séance 9 Regroupement\"/>
    </mc:Choice>
  </mc:AlternateContent>
  <xr:revisionPtr revIDLastSave="0" documentId="13_ncr:1_{458C4059-2913-4E3E-B6BB-E4FF67CE3DAD}" xr6:coauthVersionLast="47" xr6:coauthVersionMax="47" xr10:uidLastSave="{00000000-0000-0000-0000-000000000000}"/>
  <bookViews>
    <workbookView xWindow="-108" yWindow="-108" windowWidth="23256" windowHeight="13896" tabRatio="740" activeTab="3" xr2:uid="{0D8EDAFB-DD13-456B-854B-523F025759F6}"/>
  </bookViews>
  <sheets>
    <sheet name="1.1 EGI" sheetId="1" r:id="rId1"/>
    <sheet name="1.2 PI" sheetId="2" r:id="rId2"/>
    <sheet name="1.3 EAI" sheetId="3" r:id="rId3"/>
    <sheet name="A.2) Regroupement" sheetId="8" r:id="rId4"/>
    <sheet name="A.3) Placement avec influence" sheetId="6" r:id="rId5"/>
    <sheet name="A.4) Consolidé" sheetId="4" r:id="rId6"/>
    <sheet name="Actifs nets" sheetId="9" r:id="rId7"/>
    <sheet name="B) Ajustements"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8" l="1"/>
  <c r="G30" i="8"/>
  <c r="D28" i="8" s="1"/>
  <c r="D15" i="8"/>
  <c r="F50" i="8"/>
  <c r="E49" i="8"/>
  <c r="D78" i="4"/>
  <c r="F94" i="4"/>
  <c r="F89" i="4"/>
  <c r="H84" i="4"/>
  <c r="H83" i="4"/>
  <c r="H82" i="4"/>
  <c r="D24" i="6" l="1"/>
  <c r="E64" i="2"/>
  <c r="E62" i="2"/>
  <c r="G64" i="2"/>
  <c r="G62" i="2"/>
  <c r="G54" i="2"/>
  <c r="F16" i="2" l="1"/>
  <c r="F24" i="3"/>
  <c r="G73" i="3"/>
  <c r="G72" i="3"/>
  <c r="G70" i="3"/>
  <c r="E73" i="3"/>
  <c r="E72" i="3"/>
  <c r="E70" i="3"/>
  <c r="G61" i="3"/>
  <c r="G59" i="3"/>
  <c r="E61" i="3"/>
  <c r="E59" i="3"/>
  <c r="D23" i="6" l="1"/>
  <c r="D69" i="8"/>
  <c r="I41" i="8"/>
  <c r="H41" i="8"/>
  <c r="D8" i="7"/>
  <c r="D71" i="9"/>
  <c r="G68" i="9"/>
  <c r="G66" i="8"/>
  <c r="D70" i="8" s="1"/>
  <c r="C52" i="9"/>
  <c r="E49" i="9"/>
  <c r="F49" i="9" s="1"/>
  <c r="F48" i="9"/>
  <c r="C45" i="9"/>
  <c r="M41" i="9"/>
  <c r="L41" i="9"/>
  <c r="L42" i="9" s="1"/>
  <c r="K41" i="9"/>
  <c r="K42" i="9" s="1"/>
  <c r="J41" i="9"/>
  <c r="J42" i="9" s="1"/>
  <c r="I41" i="9"/>
  <c r="I42" i="9" s="1"/>
  <c r="H41" i="9"/>
  <c r="H42" i="9" s="1"/>
  <c r="M40" i="9"/>
  <c r="D39" i="9"/>
  <c r="C37" i="9"/>
  <c r="D34" i="9"/>
  <c r="D33" i="9"/>
  <c r="C32" i="9"/>
  <c r="G30" i="9"/>
  <c r="D28" i="9" s="1"/>
  <c r="D29" i="9" s="1"/>
  <c r="D6" i="9" s="1"/>
  <c r="C25" i="9"/>
  <c r="D14" i="9"/>
  <c r="D13" i="9"/>
  <c r="D12" i="9"/>
  <c r="D11" i="9"/>
  <c r="D8" i="9"/>
  <c r="D35" i="9" l="1"/>
  <c r="D15" i="9" s="1"/>
  <c r="D72" i="9"/>
  <c r="M42" i="9"/>
  <c r="F50" i="9"/>
  <c r="D18" i="9" s="1"/>
  <c r="D9" i="9"/>
  <c r="G43" i="9"/>
  <c r="D38" i="9" s="1"/>
  <c r="D40" i="9" s="1"/>
  <c r="D17" i="9" s="1"/>
  <c r="D54" i="9" s="1"/>
  <c r="D53" i="9"/>
  <c r="D31" i="6"/>
  <c r="E15" i="6"/>
  <c r="D15" i="6"/>
  <c r="E14" i="6"/>
  <c r="D14" i="6"/>
  <c r="D13" i="6"/>
  <c r="D12" i="6"/>
  <c r="D6" i="6"/>
  <c r="G28" i="4"/>
  <c r="C100" i="4"/>
  <c r="E84" i="4"/>
  <c r="D84" i="4"/>
  <c r="D83" i="4"/>
  <c r="H49" i="4"/>
  <c r="I49" i="4"/>
  <c r="E29" i="4" s="1"/>
  <c r="J49" i="4"/>
  <c r="H50" i="4"/>
  <c r="G50" i="4"/>
  <c r="H48" i="4"/>
  <c r="I48" i="4"/>
  <c r="J48" i="4"/>
  <c r="G48" i="4"/>
  <c r="D65" i="4"/>
  <c r="D64" i="4"/>
  <c r="D39" i="8"/>
  <c r="I42" i="8"/>
  <c r="H42" i="8"/>
  <c r="M40" i="8"/>
  <c r="M41" i="8"/>
  <c r="L41" i="8"/>
  <c r="L42" i="8" s="1"/>
  <c r="K41" i="8"/>
  <c r="K42" i="8" s="1"/>
  <c r="J41" i="8"/>
  <c r="J42" i="8" s="1"/>
  <c r="C45" i="8"/>
  <c r="D29" i="8"/>
  <c r="D6" i="8" s="1"/>
  <c r="E66" i="4" s="1"/>
  <c r="I21" i="4" s="1"/>
  <c r="D20" i="9" l="1"/>
  <c r="G29" i="4"/>
  <c r="L29" i="4" s="1"/>
  <c r="M42" i="8"/>
  <c r="G43" i="8"/>
  <c r="D38" i="8" s="1"/>
  <c r="D40" i="8" s="1"/>
  <c r="D55" i="9"/>
  <c r="D57" i="9" s="1"/>
  <c r="E53" i="4"/>
  <c r="E36" i="4" s="1"/>
  <c r="G36" i="4" s="1"/>
  <c r="L36" i="4" s="1"/>
  <c r="C25" i="8"/>
  <c r="G21" i="4"/>
  <c r="F48" i="8"/>
  <c r="F49" i="8"/>
  <c r="D8" i="8"/>
  <c r="D9" i="8" s="1"/>
  <c r="H73" i="3"/>
  <c r="D72" i="3"/>
  <c r="F70" i="3"/>
  <c r="B65" i="3"/>
  <c r="H62" i="3"/>
  <c r="F61" i="3"/>
  <c r="F59" i="3"/>
  <c r="E82" i="4" s="1"/>
  <c r="D58" i="3"/>
  <c r="B54" i="3"/>
  <c r="B48" i="3"/>
  <c r="B42" i="3"/>
  <c r="E36" i="3"/>
  <c r="E38" i="3" s="1"/>
  <c r="D36" i="3"/>
  <c r="D38" i="3" s="1"/>
  <c r="F29" i="3"/>
  <c r="F31" i="3" s="1"/>
  <c r="E29" i="3"/>
  <c r="D29" i="3"/>
  <c r="D31" i="3" s="1"/>
  <c r="E24" i="3"/>
  <c r="E31" i="3" s="1"/>
  <c r="D24" i="3"/>
  <c r="F17" i="3"/>
  <c r="E17" i="3"/>
  <c r="E40" i="3" s="1"/>
  <c r="F15" i="3"/>
  <c r="E15" i="3"/>
  <c r="D15" i="3"/>
  <c r="F10" i="3"/>
  <c r="E10" i="3"/>
  <c r="D10" i="3"/>
  <c r="D71" i="2"/>
  <c r="D74" i="2" s="1"/>
  <c r="B68" i="2"/>
  <c r="H65" i="2"/>
  <c r="G65" i="2"/>
  <c r="D63" i="2"/>
  <c r="D64" i="2" s="1"/>
  <c r="D62" i="2"/>
  <c r="B57" i="2"/>
  <c r="H54" i="2"/>
  <c r="F53" i="2"/>
  <c r="E13" i="6" s="1"/>
  <c r="D53" i="2"/>
  <c r="D52" i="2"/>
  <c r="F51" i="2"/>
  <c r="D50" i="2"/>
  <c r="B46" i="2"/>
  <c r="B42" i="2"/>
  <c r="E36" i="2"/>
  <c r="E38" i="2" s="1"/>
  <c r="D36" i="2"/>
  <c r="D38" i="2" s="1"/>
  <c r="F29" i="2"/>
  <c r="E29" i="2"/>
  <c r="D29" i="2"/>
  <c r="D31" i="2" s="1"/>
  <c r="F25" i="2"/>
  <c r="F31" i="2" s="1"/>
  <c r="E25" i="2"/>
  <c r="E31" i="2" s="1"/>
  <c r="D25" i="2"/>
  <c r="E16" i="2"/>
  <c r="E18" i="2" s="1"/>
  <c r="D16" i="2"/>
  <c r="D18" i="2" s="1"/>
  <c r="F11" i="2"/>
  <c r="F18" i="2" s="1"/>
  <c r="D22" i="6" s="1"/>
  <c r="E11" i="2"/>
  <c r="D11" i="2"/>
  <c r="D52" i="1"/>
  <c r="D17" i="1" s="1"/>
  <c r="D18" i="1" s="1"/>
  <c r="B48" i="1"/>
  <c r="B45" i="1"/>
  <c r="E39" i="1"/>
  <c r="D39" i="1"/>
  <c r="E32" i="1"/>
  <c r="D32" i="1"/>
  <c r="D34" i="1" s="1"/>
  <c r="E26" i="1"/>
  <c r="D26" i="1"/>
  <c r="E18" i="1"/>
  <c r="E20" i="1" s="1"/>
  <c r="E13" i="1"/>
  <c r="D13" i="1"/>
  <c r="E42" i="4" l="1"/>
  <c r="E54" i="4"/>
  <c r="E65" i="2"/>
  <c r="E12" i="6"/>
  <c r="E39" i="2"/>
  <c r="D39" i="2"/>
  <c r="D17" i="3"/>
  <c r="D40" i="3" s="1"/>
  <c r="E83" i="4"/>
  <c r="G62" i="3"/>
  <c r="E62" i="3"/>
  <c r="E34" i="1"/>
  <c r="E41" i="1" s="1"/>
  <c r="D41" i="1"/>
  <c r="D20" i="1"/>
  <c r="D43" i="1" s="1"/>
  <c r="D17" i="8"/>
  <c r="D94" i="4"/>
  <c r="J37" i="4" s="1"/>
  <c r="D102" i="4" s="1"/>
  <c r="E45" i="4"/>
  <c r="D18" i="8"/>
  <c r="D51" i="2"/>
  <c r="E54" i="2" s="1"/>
  <c r="E43" i="1" l="1"/>
  <c r="E69" i="4"/>
  <c r="I37" i="4" s="1"/>
  <c r="E68" i="4"/>
  <c r="I28" i="4" s="1"/>
  <c r="D34" i="8"/>
  <c r="C32" i="8"/>
  <c r="D11" i="8"/>
  <c r="D13" i="8"/>
  <c r="D12" i="8"/>
  <c r="D14" i="8"/>
  <c r="D53" i="8"/>
  <c r="D33" i="8"/>
  <c r="D89" i="4" l="1"/>
  <c r="C14" i="7"/>
  <c r="D16" i="7"/>
  <c r="D18" i="7" s="1"/>
  <c r="D10" i="7" s="1"/>
  <c r="L21" i="4" l="1"/>
  <c r="L28" i="4"/>
  <c r="C73" i="4"/>
  <c r="I42" i="4"/>
  <c r="G30" i="4"/>
  <c r="L30" i="4" s="1"/>
  <c r="I41" i="4"/>
  <c r="E67" i="4"/>
  <c r="D61" i="4"/>
  <c r="D60" i="4"/>
  <c r="I17" i="4" s="1"/>
  <c r="D59" i="4"/>
  <c r="D62" i="4" l="1"/>
  <c r="D54" i="8"/>
  <c r="I14" i="4"/>
  <c r="J17" i="4"/>
  <c r="J14" i="4"/>
  <c r="D99" i="4" s="1"/>
  <c r="F84" i="4"/>
  <c r="L17" i="4" l="1"/>
  <c r="D100" i="4"/>
  <c r="G42" i="4"/>
  <c r="G22" i="4"/>
  <c r="G9" i="4"/>
  <c r="L9" i="4" s="1"/>
  <c r="G10" i="4"/>
  <c r="L10" i="4" s="1"/>
  <c r="G11" i="4"/>
  <c r="L11" i="4" s="1"/>
  <c r="G12" i="4"/>
  <c r="L12" i="4" s="1"/>
  <c r="G13" i="4"/>
  <c r="L13" i="4" s="1"/>
  <c r="G14" i="4"/>
  <c r="L14" i="4" s="1"/>
  <c r="G18" i="4"/>
  <c r="L18" i="4" s="1"/>
  <c r="G19" i="4"/>
  <c r="G20" i="4"/>
  <c r="G25" i="4"/>
  <c r="L25" i="4" s="1"/>
  <c r="G26" i="4"/>
  <c r="L26" i="4" s="1"/>
  <c r="G27" i="4"/>
  <c r="L27" i="4" s="1"/>
  <c r="G31" i="4"/>
  <c r="L31" i="4" s="1"/>
  <c r="G34" i="4"/>
  <c r="L34" i="4" s="1"/>
  <c r="G35" i="4"/>
  <c r="G37" i="4"/>
  <c r="L37" i="4" s="1"/>
  <c r="G38" i="4"/>
  <c r="L38" i="4" s="1"/>
  <c r="G41" i="4"/>
  <c r="L41" i="4" s="1"/>
  <c r="G8" i="4"/>
  <c r="L8" i="4" s="1"/>
  <c r="C10" i="6"/>
  <c r="D37" i="6"/>
  <c r="D29" i="6"/>
  <c r="G45" i="4" l="1"/>
  <c r="F15" i="6"/>
  <c r="H15" i="6" s="1"/>
  <c r="F14" i="6"/>
  <c r="H14" i="6" s="1"/>
  <c r="I20" i="4" l="1"/>
  <c r="K45" i="4"/>
  <c r="H45" i="4"/>
  <c r="D45" i="4"/>
  <c r="F12" i="6"/>
  <c r="H12" i="6" s="1"/>
  <c r="F13" i="6"/>
  <c r="H13" i="6" s="1"/>
  <c r="F82" i="4"/>
  <c r="F83" i="4" l="1"/>
  <c r="J20" i="4" s="1"/>
  <c r="J19" i="4"/>
  <c r="H16" i="6"/>
  <c r="H18" i="6" s="1"/>
  <c r="D7" i="6" s="1"/>
  <c r="D8" i="6" s="1"/>
  <c r="D38" i="6" s="1"/>
  <c r="E39" i="6" s="1"/>
  <c r="L19" i="4" l="1"/>
  <c r="D101" i="4"/>
  <c r="L20" i="4"/>
  <c r="H85" i="4"/>
  <c r="D30" i="6"/>
  <c r="D32" i="6" s="1"/>
  <c r="D103" i="4" l="1"/>
  <c r="D105" i="4" s="1"/>
  <c r="J35" i="4" s="1"/>
  <c r="J42" i="4" s="1"/>
  <c r="L42" i="4" l="1"/>
  <c r="D55" i="8"/>
  <c r="D57" i="8" l="1"/>
  <c r="D19" i="8" s="1"/>
  <c r="D20" i="8" s="1"/>
  <c r="J45" i="4"/>
  <c r="D63" i="4" l="1"/>
  <c r="E70" i="4"/>
  <c r="I35" i="4" s="1"/>
  <c r="L35" i="4" s="1"/>
  <c r="D5" i="7" l="1"/>
  <c r="D11" i="7" s="1"/>
  <c r="G71" i="4"/>
  <c r="I22" i="4"/>
  <c r="L22" i="4" s="1"/>
  <c r="L45" i="4" s="1"/>
  <c r="I45" i="4" l="1"/>
</calcChain>
</file>

<file path=xl/sharedStrings.xml><?xml version="1.0" encoding="utf-8"?>
<sst xmlns="http://schemas.openxmlformats.org/spreadsheetml/2006/main" count="426" uniqueCount="195">
  <si>
    <t>Electronic Games inc.</t>
  </si>
  <si>
    <t>Trésorerie</t>
  </si>
  <si>
    <t>Stocks</t>
  </si>
  <si>
    <t>Frais payés d'avance</t>
  </si>
  <si>
    <t>Fournisseurs</t>
  </si>
  <si>
    <t>Obligations locatives</t>
  </si>
  <si>
    <t>Actifs incorporels</t>
  </si>
  <si>
    <t>CAPITAUX PROPRES</t>
  </si>
  <si>
    <t>Capital-actions</t>
  </si>
  <si>
    <t>Pintendo inc.</t>
  </si>
  <si>
    <t>Valeur comptable</t>
  </si>
  <si>
    <t>Juste valeur</t>
  </si>
  <si>
    <t>Salaires à payer</t>
  </si>
  <si>
    <t>Emprunt long-terme</t>
  </si>
  <si>
    <t>Placements</t>
  </si>
  <si>
    <t>Epic Arts inc.</t>
  </si>
  <si>
    <t>Actifs corporels</t>
  </si>
  <si>
    <t>Actif d'impôts futurs</t>
  </si>
  <si>
    <t>Note 1</t>
  </si>
  <si>
    <t>Note 2</t>
  </si>
  <si>
    <t>Note 3</t>
  </si>
  <si>
    <t>Note 4</t>
  </si>
  <si>
    <t>Note 5</t>
  </si>
  <si>
    <t>Passif d'impôts futurs</t>
  </si>
  <si>
    <t>Les actifs corporels d'EAI se détaillent comme suit :</t>
  </si>
  <si>
    <t>Ordinateurs</t>
  </si>
  <si>
    <t>Mobilier de bureau</t>
  </si>
  <si>
    <t>Durée de vie</t>
  </si>
  <si>
    <t>Les actifs incorporels d'EAI se détaillent comme suit :</t>
  </si>
  <si>
    <t>Jeux vidéo développés à l'interne</t>
  </si>
  <si>
    <t>Logiciels achetés ou développés à l'interne</t>
  </si>
  <si>
    <t>Bail avantageux</t>
  </si>
  <si>
    <t>Les bénéfices non répartis se détaillent comme suit :</t>
  </si>
  <si>
    <t>Dividende à recevoir - PI</t>
  </si>
  <si>
    <t>Résultat net</t>
  </si>
  <si>
    <t>Dividendes</t>
  </si>
  <si>
    <t>BNR - début</t>
  </si>
  <si>
    <t>BNR - fin</t>
  </si>
  <si>
    <t>ACTIF COURT TERME</t>
  </si>
  <si>
    <t>PASSIF COURT TERME</t>
  </si>
  <si>
    <t>ACTIF LONG TERME</t>
  </si>
  <si>
    <t>PASSIF LONG TERME</t>
  </si>
  <si>
    <t>Il s'agit de titres boursiers, principalement constitués d'actions de diverses entreprises.</t>
  </si>
  <si>
    <t>Immobilisation louée</t>
  </si>
  <si>
    <t>Bénéfices non répartis</t>
  </si>
  <si>
    <t>Les actifs incorporels de PI se détaillent comme suit :</t>
  </si>
  <si>
    <t>Les actifs corporels de PI se détaillent comme suit :</t>
  </si>
  <si>
    <t>Impôt et subventions à recevoir</t>
  </si>
  <si>
    <t>Effet à payer</t>
  </si>
  <si>
    <t>Effet à recevoir</t>
  </si>
  <si>
    <t>EGI</t>
  </si>
  <si>
    <t>EAI</t>
  </si>
  <si>
    <t>Ajustements</t>
  </si>
  <si>
    <t>EGI consolidé</t>
  </si>
  <si>
    <t>Cas Electronic Games inc.</t>
  </si>
  <si>
    <t xml:space="preserve">Ce n'est pas une solution exhaustive : il s'agit seulement d'un document de support pour la partie quantitative de ce cas. </t>
  </si>
  <si>
    <t>Se référer aux notes pédagogiques pour les problèmes d'informations financières.</t>
  </si>
  <si>
    <t>Passif éventuel</t>
  </si>
  <si>
    <t>Contrepartie transférée</t>
  </si>
  <si>
    <t>Écart d'acquisition</t>
  </si>
  <si>
    <t>Valeur actualisée des paiements selon le bail</t>
  </si>
  <si>
    <t>Valeur actualisée des paiements selon la juste valeur</t>
  </si>
  <si>
    <t>Immobilisation incorporelle</t>
  </si>
  <si>
    <t>Différence temporaire imposable</t>
  </si>
  <si>
    <t>Taux d'imposition</t>
  </si>
  <si>
    <t>hypothèse pour un taux combiné (tout autre taux raisonnable et justifié est acceptable)</t>
  </si>
  <si>
    <t>N.B. : l'écart d'acquisition sera présent dans les états financiers consolidés d'EGI.</t>
  </si>
  <si>
    <t>Correction :</t>
  </si>
  <si>
    <t>@Placement</t>
  </si>
  <si>
    <t>Plus-value (moins-value)</t>
  </si>
  <si>
    <t>quote part d'EGI</t>
  </si>
  <si>
    <t>amortissement à ajouter dans la valeur de consolidation</t>
  </si>
  <si>
    <t>en réduction de la participation et du revenu de participation</t>
  </si>
  <si>
    <t>Revenu de participation</t>
  </si>
  <si>
    <t>Quote-part du bénéfice net</t>
  </si>
  <si>
    <t>Quote-part de l'amortissement</t>
  </si>
  <si>
    <t>Coût d'acquisition</t>
  </si>
  <si>
    <t>Juste valeur des actifs</t>
  </si>
  <si>
    <t>Juste valeur des passifs</t>
  </si>
  <si>
    <t>Valeur nette :</t>
  </si>
  <si>
    <t>Écart d'acquisition sur valeur de consolidation</t>
  </si>
  <si>
    <t>Participation</t>
  </si>
  <si>
    <t>Quote-part des dividendes déclarés</t>
  </si>
  <si>
    <t>Revenu - dividendes</t>
  </si>
  <si>
    <t>@Participation - méthode de la valeur de consolidation</t>
  </si>
  <si>
    <t>pour 12 mois</t>
  </si>
  <si>
    <t>Dividende à payer</t>
  </si>
  <si>
    <t>Méthode de la comptabilisation à la valeur de consolidation</t>
  </si>
  <si>
    <t>Déterminer le revenu de participation en date du 30 avril 2022</t>
  </si>
  <si>
    <t>Revenu (perte) de participation</t>
  </si>
  <si>
    <t>Corrections préalables</t>
  </si>
  <si>
    <t>EGI corrigé</t>
  </si>
  <si>
    <t>Explication</t>
  </si>
  <si>
    <t>Actifs incorporels (plus-value)</t>
  </si>
  <si>
    <t>Actifs incorporels (bail avantageux)</t>
  </si>
  <si>
    <t>@Actifs corporels</t>
  </si>
  <si>
    <t>@Passif éventuel</t>
  </si>
  <si>
    <t>@Passif d'impôts futurs</t>
  </si>
  <si>
    <t>@Emprunt long-terme</t>
  </si>
  <si>
    <t>Contrepartie éventuelle</t>
  </si>
  <si>
    <t>Passif d'impôts futurs résultant des réévaluations</t>
  </si>
  <si>
    <t>RND</t>
  </si>
  <si>
    <t>Plus (moins)-value</t>
  </si>
  <si>
    <t>Juste valeur
31-10-2021</t>
  </si>
  <si>
    <t>Actifs corporels et incorporels</t>
  </si>
  <si>
    <t>Actif courant</t>
  </si>
  <si>
    <t>Frais payé d'avance</t>
  </si>
  <si>
    <t>Durée abonnement (mois)</t>
  </si>
  <si>
    <t>Frais d'exploitation (augmentation)</t>
  </si>
  <si>
    <t>Amortissement (augmentation)</t>
  </si>
  <si>
    <t>Dette long-terme</t>
  </si>
  <si>
    <t>Frais financiers (augmentation de la dette)</t>
  </si>
  <si>
    <t>Passif d'impôt futur</t>
  </si>
  <si>
    <t>Amortissement (actifs corporels et incorporels)</t>
  </si>
  <si>
    <t>Taux d'impôt</t>
  </si>
  <si>
    <t>Diminution du passif d'impôt futur au 30 avril 2022</t>
  </si>
  <si>
    <t>Salaires et boni à payer</t>
  </si>
  <si>
    <t>Ajustements :</t>
  </si>
  <si>
    <t>Logiciel</t>
  </si>
  <si>
    <t>Passif d'impôt futurs</t>
  </si>
  <si>
    <t>Boni à payer</t>
  </si>
  <si>
    <t>Écart d'acquisition initial</t>
  </si>
  <si>
    <t>selon la quote-part détenue par EGI</t>
  </si>
  <si>
    <t>Moins :</t>
  </si>
  <si>
    <t>Valeur comptable d'EAI</t>
  </si>
  <si>
    <t>Premier écart de consolidation</t>
  </si>
  <si>
    <t>Bail à conditions avantageuses</t>
  </si>
  <si>
    <t>Il s'agit de l'élimination des soldes réciproques, soit le compte à recevoir pour EGI et le compte à payer pour EAI, pour les frais de gestion encore impayés en date du 30 avril 2022.</t>
  </si>
  <si>
    <t>Les stocks de PI sont évalués au coût.
Étant donné la popularité des jeux de PI, le délai d'écoulement des stocks est de 34 jours seulement.</t>
  </si>
  <si>
    <t xml:space="preserve">  </t>
  </si>
  <si>
    <t>Bilan (en milliers)</t>
  </si>
  <si>
    <t>Portion court terme de l'emprunt long-terme</t>
  </si>
  <si>
    <t>Moins : portion court terme</t>
  </si>
  <si>
    <t>Capital-actions ordinaire</t>
  </si>
  <si>
    <t>Note A</t>
  </si>
  <si>
    <t>Le coût du placement comprend :</t>
  </si>
  <si>
    <t>Immobilistions corporelles</t>
  </si>
  <si>
    <t>Actif</t>
  </si>
  <si>
    <t>Immobilisations corporelles</t>
  </si>
  <si>
    <t>Il s'agit d'une suggestion de solution qui suit la structure vue dans le cadre du cours de Regroupement au BAA.</t>
  </si>
  <si>
    <t>Analyse à la date de regroupement</t>
  </si>
  <si>
    <t>à la juste valeur</t>
  </si>
  <si>
    <t>Scénario  : gagne la cause</t>
  </si>
  <si>
    <t>Probabilité</t>
  </si>
  <si>
    <t>Scénario : perd la cause</t>
  </si>
  <si>
    <t>$</t>
  </si>
  <si>
    <t>Contrepartie versée</t>
  </si>
  <si>
    <t>Salaire</t>
  </si>
  <si>
    <t>non lié à la vente des actions</t>
  </si>
  <si>
    <t>capital</t>
  </si>
  <si>
    <t>intérêts</t>
  </si>
  <si>
    <t>Juste valeur de la dette, taux marché 5%</t>
  </si>
  <si>
    <t>Valeur comptable de la dette</t>
  </si>
  <si>
    <t>objectif est de faire un calcul ultra rapide</t>
  </si>
  <si>
    <t>"Rémunération" additionnelle de 250 k$/an pendant 3 ans</t>
  </si>
  <si>
    <t>"Rémunération" additionnelle à verser</t>
  </si>
  <si>
    <t>250k$  passé en charge dans l'exercice 30 avril 2022</t>
  </si>
  <si>
    <t>250k$  à verser dans l'exercice 30 avril 2023 - court terme</t>
  </si>
  <si>
    <t>250k$  à verser dans l'exercice 30 avril 2024 - long terme</t>
  </si>
  <si>
    <t>écart étant les frais financiers liés à la désactualisation - BNR</t>
  </si>
  <si>
    <t>aurait dû être inclus dans le placement, donc augmenter le BNR</t>
  </si>
  <si>
    <t>Durée de vie résiduelle</t>
  </si>
  <si>
    <t>Ajustement juste valeur</t>
  </si>
  <si>
    <t>Il s'agit d'une approximation - théoriquement taux effectif 5% et refléter les montants réels sur la période de 6 ans</t>
  </si>
  <si>
    <t>Frais de location</t>
  </si>
  <si>
    <t>pas amortissable, sujet à un test de dépréciatiion</t>
  </si>
  <si>
    <t>Il aurait falllu mettre à 0 $ le montant d'impôts futurs présents dans les états financiers d'EAI liés aux écarts entre les bases comptables et fiscales existantes avant l'acqusition</t>
  </si>
  <si>
    <t>débiteur</t>
  </si>
  <si>
    <t>diminution de la juste valeur augmente l'écart d'acquisition</t>
  </si>
  <si>
    <t>augmentation du passif augmente l'écart d'acquisition</t>
  </si>
  <si>
    <t>Dû lié à la poursuite</t>
  </si>
  <si>
    <t>31 décembre 2025</t>
  </si>
  <si>
    <t>1er janvier 2025</t>
  </si>
  <si>
    <r>
      <t>·</t>
    </r>
    <r>
      <rPr>
        <sz val="7"/>
        <color theme="1"/>
        <rFont val="Times New Roman"/>
        <family val="1"/>
      </rPr>
      <t xml:space="preserve">       </t>
    </r>
    <r>
      <rPr>
        <sz val="12"/>
        <color theme="1"/>
        <rFont val="Times New Roman"/>
        <family val="1"/>
      </rPr>
      <t>2,5 millions de dollars versés le 1er janvier 2025.</t>
    </r>
  </si>
  <si>
    <t>Les placements, en date du 1er janvier 2025, sont constitués de :</t>
  </si>
  <si>
    <t>Les frais payés d'avance au 1er janvier 2025 correspondent à un accès à un logiciel pour les graphistes pour 18 mois, soit du 1er janvier 2025 au 30 juin 2026. En date du 1er janvier 2025, soit après qu’EAI ait signé son entente, le prix pour la même licence avait été augmenté par le fournisseur en question.</t>
  </si>
  <si>
    <t>En date du 1er janvier 2025, EAI avait un actif d'impôts différés, principalement grâce aux pertes fiscales encore partiellement inutilisées. En date du 31 décembre 2025, grâce à l'acquisition d'EAI par EGI, les pertes ont finalement pu être utilisées</t>
  </si>
  <si>
    <t>N = 48 (car reste 4 ans au bail de 5 ans, qui a commencé le 1er janvier 2024) ; i = 5% (car taux d'emprunt d'EAI) ; PMT = 80</t>
  </si>
  <si>
    <t>N = 48 (car reste 4 ans au bail de 5 ans, qui a commencé le 1er janvier 2024) ; i = 5% (car taux d'emprunt d'EAI) ; PMT = 100 $ (car 465 mètres carrés * 215$/mètre carré)</t>
  </si>
  <si>
    <t>VC de l'actif net au 1er janvier 2025</t>
  </si>
  <si>
    <t>JV de l'actif net au 1er janvier 2025</t>
  </si>
  <si>
    <t>États financiers individuels d'EGI en date du 31 décembre 2025</t>
  </si>
  <si>
    <t>250k$  passé en charge dans l'exercice 2025</t>
  </si>
  <si>
    <t>250k$  à verser dans l'exercice 2027 - long terme</t>
  </si>
  <si>
    <t>250k$  à verser dans l'exercice  2026 - court terme</t>
  </si>
  <si>
    <t>Déterminer la valeur comptable de la participation dans PI en en date du 31 décembre 2025</t>
  </si>
  <si>
    <t>31 décembre 2024</t>
  </si>
  <si>
    <t>250k$  passé en charge dans l'exercice2025</t>
  </si>
  <si>
    <t>250k$  à verser dans l'exercice 2026 - court terme</t>
  </si>
  <si>
    <t>Il s'agit de la répartition du coût d'acquisition en date du 1er janvier 2025 :</t>
  </si>
  <si>
    <t>1 an de matérialisation entre 1er janvier 2025 et 31 décembre 2025</t>
  </si>
  <si>
    <t>Matérialisation 2025</t>
  </si>
  <si>
    <t>Matérialisation des écarts de juste valeur en 2025 :</t>
  </si>
  <si>
    <t>Voici comment les plus-values (moins-values) se sont matérialisées en date du 31 décembre 2025</t>
  </si>
  <si>
    <t>Bilan au 31 décembre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</si>
</sst>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_);[Red]\(#,##0.00\ &quot;$&quot;\)"/>
    <numFmt numFmtId="43" formatCode="_ * #,##0.00_)_ ;_ * \(#,##0.00\)_ ;_ * &quot;-&quot;??_)_ ;_ @_ "/>
    <numFmt numFmtId="164" formatCode="&quot;$&quot;#,##0;[Red]\-&quot;$&quot;#,##0"/>
    <numFmt numFmtId="165" formatCode="&quot;$&quot;#,##0.00;[Red]\-&quot;$&quot;#,##0.00"/>
    <numFmt numFmtId="166" formatCode="_ * #,##0.00_)\ _$_ ;_ * \(#,##0.00\)\ _$_ ;_ * &quot;-&quot;??_)\ _$_ ;_ @_ "/>
    <numFmt numFmtId="167" formatCode="_ * #,##0_)_ ;_ * \(#,##0\)_ ;_ * &quot;-&quot;??_)_ ;_ @_ "/>
  </numFmts>
  <fonts count="18" x14ac:knownFonts="1">
    <font>
      <sz val="11"/>
      <color theme="1"/>
      <name val="Calibri"/>
      <family val="2"/>
      <scheme val="minor"/>
    </font>
    <font>
      <sz val="11"/>
      <color theme="1"/>
      <name val="Calibri"/>
      <family val="2"/>
      <scheme val="minor"/>
    </font>
    <font>
      <sz val="11"/>
      <color rgb="FF0000FF"/>
      <name val="Calibri"/>
      <family val="2"/>
      <scheme val="minor"/>
    </font>
    <font>
      <b/>
      <sz val="11"/>
      <color theme="1"/>
      <name val="Calibri"/>
      <family val="2"/>
      <scheme val="minor"/>
    </font>
    <font>
      <b/>
      <u/>
      <sz val="11"/>
      <color theme="1"/>
      <name val="Calibri"/>
      <family val="2"/>
      <scheme val="minor"/>
    </font>
    <font>
      <sz val="11"/>
      <name val="Calibri"/>
      <family val="2"/>
      <scheme val="minor"/>
    </font>
    <font>
      <b/>
      <u/>
      <sz val="11"/>
      <name val="Calibri"/>
      <family val="2"/>
      <scheme val="minor"/>
    </font>
    <font>
      <sz val="14"/>
      <color theme="1"/>
      <name val="Calibri"/>
      <family val="2"/>
      <scheme val="minor"/>
    </font>
    <font>
      <u/>
      <sz val="11"/>
      <color theme="1"/>
      <name val="Calibri"/>
      <family val="2"/>
      <scheme val="minor"/>
    </font>
    <font>
      <i/>
      <sz val="11"/>
      <color theme="1"/>
      <name val="Calibri"/>
      <family val="2"/>
      <scheme val="minor"/>
    </font>
    <font>
      <sz val="11"/>
      <color rgb="FFFF0000"/>
      <name val="Calibri"/>
      <family val="2"/>
      <scheme val="minor"/>
    </font>
    <font>
      <i/>
      <sz val="12"/>
      <color theme="1"/>
      <name val="Times New Roman"/>
      <family val="1"/>
    </font>
    <font>
      <sz val="7"/>
      <color theme="1"/>
      <name val="Times New Roman"/>
      <family val="1"/>
    </font>
    <font>
      <sz val="12"/>
      <color theme="1"/>
      <name val="Times New Roman"/>
      <family val="1"/>
    </font>
    <font>
      <i/>
      <sz val="11"/>
      <color rgb="FFFF0000"/>
      <name val="Calibri"/>
      <family val="2"/>
      <scheme val="minor"/>
    </font>
    <font>
      <u val="singleAccounting"/>
      <sz val="11"/>
      <color theme="1"/>
      <name val="Calibri"/>
      <family val="2"/>
      <scheme val="minor"/>
    </font>
    <font>
      <b/>
      <i/>
      <sz val="11"/>
      <color theme="1"/>
      <name val="Calibri"/>
      <family val="2"/>
      <scheme val="minor"/>
    </font>
    <font>
      <b/>
      <i/>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bgColor indexed="64"/>
      </patternFill>
    </fill>
  </fills>
  <borders count="21">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2">
    <xf numFmtId="0" fontId="0" fillId="0" borderId="0" xfId="0"/>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3" fontId="0" fillId="0" borderId="0" xfId="1" applyFont="1"/>
    <xf numFmtId="43" fontId="0" fillId="0" borderId="0" xfId="1" applyFont="1" applyAlignment="1">
      <alignment horizontal="center" wrapText="1"/>
    </xf>
    <xf numFmtId="49" fontId="0" fillId="0" borderId="0" xfId="0" applyNumberFormat="1" applyAlignment="1">
      <alignment horizontal="right"/>
    </xf>
    <xf numFmtId="0" fontId="0" fillId="0" borderId="0" xfId="0" applyAlignment="1">
      <alignment horizontal="right"/>
    </xf>
    <xf numFmtId="0" fontId="0" fillId="0" borderId="1" xfId="0" applyBorder="1"/>
    <xf numFmtId="43" fontId="0" fillId="0" borderId="2" xfId="1" applyFont="1" applyBorder="1" applyAlignment="1">
      <alignment horizontal="center" wrapText="1"/>
    </xf>
    <xf numFmtId="43" fontId="0" fillId="0" borderId="0" xfId="1" applyFont="1" applyBorder="1"/>
    <xf numFmtId="43" fontId="0" fillId="0" borderId="2" xfId="1" applyFont="1" applyBorder="1"/>
    <xf numFmtId="43" fontId="0" fillId="0" borderId="5" xfId="1" applyFont="1" applyBorder="1"/>
    <xf numFmtId="9" fontId="0" fillId="0" borderId="0" xfId="2" applyFont="1"/>
    <xf numFmtId="166" fontId="0" fillId="0" borderId="0" xfId="0" applyNumberFormat="1"/>
    <xf numFmtId="0" fontId="2" fillId="0" borderId="0" xfId="0" applyFont="1"/>
    <xf numFmtId="43" fontId="2" fillId="0" borderId="0" xfId="1" applyFont="1"/>
    <xf numFmtId="0" fontId="2" fillId="0" borderId="0" xfId="0" applyFont="1" applyAlignment="1">
      <alignment horizontal="center"/>
    </xf>
    <xf numFmtId="167" fontId="0" fillId="0" borderId="0" xfId="1" applyNumberFormat="1" applyFont="1"/>
    <xf numFmtId="167" fontId="0" fillId="0" borderId="1" xfId="1" applyNumberFormat="1" applyFont="1" applyBorder="1"/>
    <xf numFmtId="167" fontId="0" fillId="0" borderId="0" xfId="1" applyNumberFormat="1" applyFont="1" applyBorder="1"/>
    <xf numFmtId="167" fontId="0" fillId="0" borderId="5" xfId="1" applyNumberFormat="1" applyFont="1" applyBorder="1"/>
    <xf numFmtId="167" fontId="0" fillId="0" borderId="4" xfId="1" applyNumberFormat="1" applyFont="1" applyBorder="1"/>
    <xf numFmtId="167" fontId="0" fillId="0" borderId="2" xfId="1" applyNumberFormat="1" applyFont="1" applyBorder="1"/>
    <xf numFmtId="167" fontId="0" fillId="0" borderId="3" xfId="1" applyNumberFormat="1" applyFont="1" applyBorder="1"/>
    <xf numFmtId="167" fontId="0" fillId="0" borderId="0" xfId="0" applyNumberFormat="1"/>
    <xf numFmtId="167" fontId="0" fillId="0" borderId="0" xfId="1" applyNumberFormat="1" applyFont="1" applyFill="1" applyBorder="1"/>
    <xf numFmtId="167" fontId="0" fillId="0" borderId="3" xfId="1" applyNumberFormat="1" applyFont="1" applyFill="1" applyBorder="1"/>
    <xf numFmtId="8" fontId="2" fillId="0" borderId="0" xfId="1" applyNumberFormat="1" applyFont="1"/>
    <xf numFmtId="49" fontId="0" fillId="0" borderId="5" xfId="1" applyNumberFormat="1" applyFont="1" applyBorder="1" applyAlignment="1">
      <alignment horizontal="center"/>
    </xf>
    <xf numFmtId="49" fontId="0" fillId="0" borderId="0" xfId="1" applyNumberFormat="1" applyFont="1" applyBorder="1" applyAlignment="1">
      <alignment horizontal="center"/>
    </xf>
    <xf numFmtId="0" fontId="3" fillId="0" borderId="0" xfId="0" applyFont="1"/>
    <xf numFmtId="49" fontId="3" fillId="0" borderId="0" xfId="0" applyNumberFormat="1" applyFont="1" applyAlignment="1">
      <alignment horizontal="center"/>
    </xf>
    <xf numFmtId="0" fontId="3" fillId="0" borderId="0" xfId="0" applyFont="1" applyAlignment="1">
      <alignment horizontal="center"/>
    </xf>
    <xf numFmtId="0" fontId="0" fillId="0" borderId="10" xfId="0" applyBorder="1"/>
    <xf numFmtId="0" fontId="0" fillId="0" borderId="11" xfId="0" applyBorder="1"/>
    <xf numFmtId="167" fontId="0" fillId="0" borderId="10" xfId="1" applyNumberFormat="1" applyFont="1" applyBorder="1"/>
    <xf numFmtId="167" fontId="0" fillId="0" borderId="11" xfId="1" applyNumberFormat="1" applyFont="1" applyBorder="1"/>
    <xf numFmtId="167" fontId="0" fillId="0" borderId="12" xfId="1" applyNumberFormat="1" applyFont="1" applyBorder="1"/>
    <xf numFmtId="167" fontId="0" fillId="0" borderId="13" xfId="1" applyNumberFormat="1" applyFont="1" applyBorder="1"/>
    <xf numFmtId="167" fontId="0" fillId="0" borderId="14" xfId="1" applyNumberFormat="1" applyFont="1" applyBorder="1"/>
    <xf numFmtId="0" fontId="0" fillId="0" borderId="14" xfId="0" applyBorder="1"/>
    <xf numFmtId="0" fontId="0" fillId="0" borderId="9" xfId="0" applyBorder="1"/>
    <xf numFmtId="0" fontId="3" fillId="0" borderId="10" xfId="0" applyFont="1" applyBorder="1"/>
    <xf numFmtId="0" fontId="3" fillId="0" borderId="12" xfId="0" applyFont="1" applyBorder="1"/>
    <xf numFmtId="0" fontId="4" fillId="0" borderId="7" xfId="0" applyFont="1" applyBorder="1"/>
    <xf numFmtId="0" fontId="4" fillId="0" borderId="10" xfId="0" applyFont="1" applyBorder="1"/>
    <xf numFmtId="167" fontId="0" fillId="0" borderId="17" xfId="0" applyNumberFormat="1" applyBorder="1"/>
    <xf numFmtId="167" fontId="0" fillId="0" borderId="16" xfId="0" applyNumberFormat="1" applyBorder="1"/>
    <xf numFmtId="0" fontId="5" fillId="0" borderId="0" xfId="0" applyFont="1"/>
    <xf numFmtId="167" fontId="5" fillId="0" borderId="0" xfId="0" applyNumberFormat="1" applyFont="1"/>
    <xf numFmtId="0" fontId="7" fillId="0" borderId="0" xfId="0" applyFont="1"/>
    <xf numFmtId="0" fontId="8" fillId="0" borderId="0" xfId="0" applyFont="1"/>
    <xf numFmtId="167" fontId="0" fillId="0" borderId="1" xfId="0" applyNumberFormat="1" applyBorder="1"/>
    <xf numFmtId="0" fontId="0" fillId="0" borderId="0" xfId="0" quotePrefix="1"/>
    <xf numFmtId="0" fontId="9" fillId="0" borderId="0" xfId="0" quotePrefix="1" applyFont="1"/>
    <xf numFmtId="167" fontId="3" fillId="0" borderId="0" xfId="0" applyNumberFormat="1" applyFont="1"/>
    <xf numFmtId="0" fontId="9" fillId="0" borderId="0" xfId="0" applyFont="1"/>
    <xf numFmtId="9" fontId="0" fillId="0" borderId="1" xfId="2" applyFont="1" applyBorder="1"/>
    <xf numFmtId="167" fontId="3" fillId="0" borderId="0" xfId="1" applyNumberFormat="1" applyFont="1"/>
    <xf numFmtId="0" fontId="0" fillId="0" borderId="0" xfId="0" applyAlignment="1">
      <alignment horizontal="center" vertical="center" wrapText="1"/>
    </xf>
    <xf numFmtId="0" fontId="0" fillId="0" borderId="0" xfId="0" applyAlignment="1">
      <alignment horizontal="center" vertical="center"/>
    </xf>
    <xf numFmtId="43" fontId="0" fillId="0" borderId="0" xfId="0" applyNumberFormat="1"/>
    <xf numFmtId="9" fontId="0" fillId="0" borderId="0" xfId="0" applyNumberFormat="1"/>
    <xf numFmtId="0" fontId="3" fillId="0" borderId="0" xfId="0" applyFont="1" applyAlignment="1">
      <alignment horizontal="right"/>
    </xf>
    <xf numFmtId="0" fontId="8" fillId="0" borderId="7" xfId="0" applyFont="1" applyBorder="1"/>
    <xf numFmtId="0" fontId="0" fillId="0" borderId="8" xfId="0" applyBorder="1"/>
    <xf numFmtId="0" fontId="0" fillId="0" borderId="0" xfId="0" applyAlignment="1">
      <alignment horizontal="left"/>
    </xf>
    <xf numFmtId="0" fontId="0" fillId="0" borderId="12" xfId="0" applyBorder="1"/>
    <xf numFmtId="0" fontId="0" fillId="0" borderId="13" xfId="0" quotePrefix="1" applyBorder="1"/>
    <xf numFmtId="0" fontId="0" fillId="0" borderId="13" xfId="0" applyBorder="1"/>
    <xf numFmtId="167" fontId="0" fillId="0" borderId="14" xfId="0" applyNumberFormat="1" applyBorder="1"/>
    <xf numFmtId="0" fontId="4" fillId="0" borderId="0" xfId="0" applyFont="1"/>
    <xf numFmtId="0" fontId="0" fillId="0" borderId="7" xfId="0" applyBorder="1"/>
    <xf numFmtId="0" fontId="3" fillId="0" borderId="19" xfId="0" applyFont="1" applyBorder="1" applyAlignment="1">
      <alignment horizontal="center" vertical="center" wrapText="1"/>
    </xf>
    <xf numFmtId="0" fontId="3" fillId="0" borderId="18" xfId="0" applyFont="1" applyBorder="1" applyAlignment="1">
      <alignment horizontal="center" wrapText="1"/>
    </xf>
    <xf numFmtId="167" fontId="5" fillId="0" borderId="10" xfId="1" applyNumberFormat="1" applyFont="1" applyBorder="1"/>
    <xf numFmtId="167" fontId="5" fillId="0" borderId="0" xfId="1" applyNumberFormat="1" applyFont="1" applyBorder="1"/>
    <xf numFmtId="167" fontId="5" fillId="0" borderId="13" xfId="1" applyNumberFormat="1" applyFont="1" applyBorder="1"/>
    <xf numFmtId="0" fontId="5" fillId="0" borderId="0" xfId="0" applyFont="1" applyAlignment="1">
      <alignment horizontal="center" vertical="center" wrapText="1"/>
    </xf>
    <xf numFmtId="0" fontId="0" fillId="0" borderId="15" xfId="0" applyBorder="1"/>
    <xf numFmtId="167" fontId="0" fillId="0" borderId="17" xfId="1" applyNumberFormat="1" applyFont="1" applyBorder="1"/>
    <xf numFmtId="167" fontId="1" fillId="0" borderId="0" xfId="1" applyNumberFormat="1" applyFont="1"/>
    <xf numFmtId="167" fontId="5" fillId="0" borderId="0" xfId="1" applyNumberFormat="1" applyFont="1" applyFill="1" applyBorder="1"/>
    <xf numFmtId="0" fontId="3" fillId="0" borderId="19" xfId="0" applyFont="1" applyBorder="1" applyAlignment="1">
      <alignment horizontal="center" vertical="center"/>
    </xf>
    <xf numFmtId="0" fontId="3" fillId="0" borderId="16" xfId="0" applyFont="1" applyBorder="1" applyAlignment="1">
      <alignment horizontal="center" vertical="center"/>
    </xf>
    <xf numFmtId="49" fontId="3" fillId="0" borderId="0" xfId="0" applyNumberFormat="1" applyFont="1" applyAlignment="1">
      <alignment horizontal="center" vertical="center"/>
    </xf>
    <xf numFmtId="0" fontId="3" fillId="0" borderId="18" xfId="0" applyFont="1" applyBorder="1" applyAlignment="1">
      <alignment horizontal="center" vertical="center"/>
    </xf>
    <xf numFmtId="0" fontId="3" fillId="0" borderId="20" xfId="0" applyFont="1" applyBorder="1" applyAlignment="1">
      <alignment horizontal="center" vertical="center" wrapText="1"/>
    </xf>
    <xf numFmtId="0" fontId="4" fillId="0" borderId="15" xfId="0" applyFont="1" applyBorder="1" applyAlignment="1">
      <alignment horizontal="center" vertical="center" wrapText="1"/>
    </xf>
    <xf numFmtId="0" fontId="3" fillId="2" borderId="0" xfId="0" applyFont="1" applyFill="1"/>
    <xf numFmtId="0" fontId="8" fillId="2" borderId="0" xfId="0" applyFont="1" applyFill="1"/>
    <xf numFmtId="0" fontId="0" fillId="2" borderId="0" xfId="0" applyFill="1"/>
    <xf numFmtId="49" fontId="0" fillId="0" borderId="0" xfId="1" applyNumberFormat="1" applyFont="1" applyAlignment="1">
      <alignment horizontal="center"/>
    </xf>
    <xf numFmtId="0" fontId="10" fillId="0" borderId="0" xfId="0" applyFont="1"/>
    <xf numFmtId="167" fontId="3" fillId="0" borderId="0" xfId="1" applyNumberFormat="1" applyFont="1" applyBorder="1"/>
    <xf numFmtId="167" fontId="3" fillId="0" borderId="5" xfId="1" applyNumberFormat="1" applyFont="1" applyBorder="1"/>
    <xf numFmtId="167" fontId="3" fillId="0" borderId="6" xfId="1" applyNumberFormat="1" applyFont="1" applyBorder="1"/>
    <xf numFmtId="0" fontId="11" fillId="0" borderId="0" xfId="0" applyFont="1" applyAlignment="1">
      <alignment vertical="center"/>
    </xf>
    <xf numFmtId="167" fontId="3" fillId="0" borderId="2" xfId="1" applyNumberFormat="1" applyFont="1" applyBorder="1"/>
    <xf numFmtId="167" fontId="0" fillId="0" borderId="1" xfId="1" applyNumberFormat="1" applyFont="1" applyBorder="1" applyAlignment="1">
      <alignment horizontal="right"/>
    </xf>
    <xf numFmtId="0" fontId="14" fillId="0" borderId="0" xfId="0" applyFont="1"/>
    <xf numFmtId="1" fontId="8" fillId="0" borderId="0" xfId="0" applyNumberFormat="1" applyFont="1"/>
    <xf numFmtId="1" fontId="0" fillId="0" borderId="0" xfId="0" applyNumberFormat="1"/>
    <xf numFmtId="164" fontId="0" fillId="0" borderId="0" xfId="0" applyNumberFormat="1"/>
    <xf numFmtId="167" fontId="15" fillId="0" borderId="0" xfId="1" applyNumberFormat="1" applyFont="1"/>
    <xf numFmtId="1" fontId="0" fillId="0" borderId="1" xfId="0" applyNumberFormat="1" applyBorder="1"/>
    <xf numFmtId="0" fontId="16" fillId="0" borderId="0" xfId="0" applyFont="1"/>
    <xf numFmtId="9" fontId="0" fillId="0" borderId="1" xfId="2" applyFont="1" applyFill="1" applyBorder="1"/>
    <xf numFmtId="167" fontId="0" fillId="0" borderId="0" xfId="1" applyNumberFormat="1" applyFont="1" applyFill="1"/>
    <xf numFmtId="167" fontId="5" fillId="0" borderId="10" xfId="1" applyNumberFormat="1" applyFont="1" applyFill="1" applyBorder="1"/>
    <xf numFmtId="167" fontId="5" fillId="0" borderId="12" xfId="1" applyNumberFormat="1" applyFont="1" applyFill="1" applyBorder="1"/>
    <xf numFmtId="1" fontId="3" fillId="0" borderId="0" xfId="0" applyNumberFormat="1" applyFont="1"/>
    <xf numFmtId="167" fontId="16" fillId="0" borderId="11" xfId="1" applyNumberFormat="1" applyFont="1" applyBorder="1"/>
    <xf numFmtId="167" fontId="3" fillId="0" borderId="14" xfId="1" applyNumberFormat="1" applyFont="1" applyBorder="1"/>
    <xf numFmtId="0" fontId="17" fillId="0" borderId="18" xfId="0" applyFont="1" applyBorder="1" applyAlignment="1">
      <alignment horizontal="center" vertical="center"/>
    </xf>
    <xf numFmtId="0" fontId="17" fillId="0" borderId="20" xfId="0" applyFont="1" applyBorder="1" applyAlignment="1">
      <alignment horizontal="center" vertical="center"/>
    </xf>
    <xf numFmtId="167" fontId="5" fillId="0" borderId="0" xfId="1" applyNumberFormat="1" applyFont="1"/>
    <xf numFmtId="167" fontId="5" fillId="0" borderId="1" xfId="1" applyNumberFormat="1" applyFont="1" applyBorder="1"/>
    <xf numFmtId="43" fontId="9" fillId="0" borderId="0" xfId="0" applyNumberFormat="1" applyFont="1"/>
    <xf numFmtId="0" fontId="17" fillId="0" borderId="0" xfId="0" applyFont="1"/>
    <xf numFmtId="0" fontId="5" fillId="0" borderId="8" xfId="0" applyFont="1" applyBorder="1"/>
    <xf numFmtId="0" fontId="5" fillId="0" borderId="9" xfId="0" applyFont="1" applyBorder="1"/>
    <xf numFmtId="0" fontId="5" fillId="0" borderId="11" xfId="0" applyFont="1" applyBorder="1"/>
    <xf numFmtId="0" fontId="5" fillId="0" borderId="13" xfId="0" applyFont="1" applyBorder="1"/>
    <xf numFmtId="0" fontId="5" fillId="0" borderId="14" xfId="0" applyFont="1" applyBorder="1"/>
    <xf numFmtId="0" fontId="16" fillId="3" borderId="0" xfId="0" applyFont="1" applyFill="1"/>
    <xf numFmtId="0" fontId="0" fillId="3" borderId="0" xfId="0" applyFill="1"/>
    <xf numFmtId="0" fontId="0" fillId="4" borderId="0" xfId="0" applyFill="1"/>
    <xf numFmtId="167" fontId="0" fillId="4" borderId="0" xfId="0" applyNumberFormat="1" applyFill="1"/>
    <xf numFmtId="15" fontId="0" fillId="4" borderId="0" xfId="0" applyNumberFormat="1" applyFill="1"/>
    <xf numFmtId="167" fontId="15" fillId="4" borderId="0" xfId="0" applyNumberFormat="1" applyFont="1" applyFill="1"/>
    <xf numFmtId="10" fontId="0" fillId="4" borderId="0" xfId="0" applyNumberFormat="1" applyFill="1"/>
    <xf numFmtId="1" fontId="0" fillId="4" borderId="1" xfId="0" applyNumberFormat="1" applyFill="1" applyBorder="1"/>
    <xf numFmtId="165" fontId="0" fillId="4" borderId="0" xfId="0" applyNumberFormat="1" applyFill="1"/>
    <xf numFmtId="1" fontId="0" fillId="4" borderId="0" xfId="0" applyNumberFormat="1" applyFill="1"/>
    <xf numFmtId="164" fontId="0" fillId="4" borderId="0" xfId="0" applyNumberFormat="1" applyFill="1"/>
    <xf numFmtId="0" fontId="16" fillId="4" borderId="0" xfId="0" applyFont="1" applyFill="1"/>
    <xf numFmtId="0" fontId="0" fillId="5" borderId="0" xfId="0" applyFill="1"/>
    <xf numFmtId="167" fontId="0" fillId="5" borderId="0" xfId="0" applyNumberFormat="1" applyFill="1"/>
    <xf numFmtId="0" fontId="0" fillId="5" borderId="1" xfId="0" applyFill="1" applyBorder="1"/>
    <xf numFmtId="167" fontId="0" fillId="5" borderId="1" xfId="0" applyNumberFormat="1" applyFill="1" applyBorder="1"/>
    <xf numFmtId="9" fontId="0" fillId="5" borderId="1" xfId="2" applyFont="1" applyFill="1" applyBorder="1"/>
    <xf numFmtId="0" fontId="9" fillId="5" borderId="0" xfId="0" applyFont="1" applyFill="1"/>
    <xf numFmtId="43" fontId="0" fillId="0" borderId="0" xfId="1" applyFont="1" applyAlignment="1">
      <alignment horizontal="center"/>
    </xf>
    <xf numFmtId="49" fontId="0" fillId="0" borderId="0" xfId="1" applyNumberFormat="1" applyFont="1" applyAlignment="1">
      <alignment horizontal="center"/>
    </xf>
    <xf numFmtId="0" fontId="0" fillId="0" borderId="0" xfId="0" applyAlignment="1">
      <alignment horizontal="left" vertical="top" wrapText="1"/>
    </xf>
    <xf numFmtId="49" fontId="0" fillId="0" borderId="0" xfId="1" applyNumberFormat="1" applyFont="1" applyAlignment="1">
      <alignment horizontal="right"/>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4" fillId="0" borderId="7" xfId="0" applyFont="1" applyBorder="1" applyAlignment="1">
      <alignment horizontal="center" wrapText="1"/>
    </xf>
    <xf numFmtId="0" fontId="4" fillId="0" borderId="9" xfId="0" applyFont="1" applyBorder="1" applyAlignment="1">
      <alignment horizontal="center" wrapText="1"/>
    </xf>
  </cellXfs>
  <cellStyles count="3">
    <cellStyle name="Milliers" xfId="1" builtinId="3"/>
    <cellStyle name="Normal" xfId="0" builtinId="0"/>
    <cellStyle name="Pourcentage"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D47E-FA76-4856-9D23-486D13223E46}">
  <dimension ref="A2:E69"/>
  <sheetViews>
    <sheetView showGridLines="0" topLeftCell="A38" workbookViewId="0">
      <selection activeCell="F59" sqref="F59"/>
    </sheetView>
  </sheetViews>
  <sheetFormatPr baseColWidth="10" defaultColWidth="10.88671875" defaultRowHeight="14.4" x14ac:dyDescent="0.3"/>
  <cols>
    <col min="1" max="1" width="3" customWidth="1"/>
    <col min="2" max="2" width="38.77734375" customWidth="1"/>
    <col min="3" max="3" width="9.44140625" customWidth="1"/>
    <col min="4" max="5" width="14.77734375" style="4" customWidth="1"/>
    <col min="6" max="6" width="13.5546875" bestFit="1" customWidth="1"/>
  </cols>
  <sheetData>
    <row r="2" spans="1:5" x14ac:dyDescent="0.3">
      <c r="B2" t="s">
        <v>129</v>
      </c>
      <c r="D2" s="144" t="s">
        <v>0</v>
      </c>
      <c r="E2" s="144"/>
    </row>
    <row r="3" spans="1:5" x14ac:dyDescent="0.3">
      <c r="D3" s="144" t="s">
        <v>130</v>
      </c>
      <c r="E3" s="144"/>
    </row>
    <row r="4" spans="1:5" s="1" customFormat="1" x14ac:dyDescent="0.3">
      <c r="D4" s="30" t="s">
        <v>171</v>
      </c>
      <c r="E4" s="29" t="s">
        <v>186</v>
      </c>
    </row>
    <row r="5" spans="1:5" x14ac:dyDescent="0.3">
      <c r="A5" t="s">
        <v>38</v>
      </c>
      <c r="D5" s="10"/>
      <c r="E5" s="12"/>
    </row>
    <row r="6" spans="1:5" x14ac:dyDescent="0.3">
      <c r="B6" t="s">
        <v>1</v>
      </c>
      <c r="D6" s="20">
        <v>1511</v>
      </c>
      <c r="E6" s="21">
        <v>4193</v>
      </c>
    </row>
    <row r="7" spans="1:5" x14ac:dyDescent="0.3">
      <c r="B7" t="s">
        <v>14</v>
      </c>
      <c r="C7" t="s">
        <v>18</v>
      </c>
      <c r="D7" s="20">
        <v>700</v>
      </c>
      <c r="E7" s="21">
        <v>514</v>
      </c>
    </row>
    <row r="8" spans="1:5" x14ac:dyDescent="0.3">
      <c r="B8" t="s">
        <v>33</v>
      </c>
      <c r="D8" s="20">
        <v>9</v>
      </c>
      <c r="E8" s="21"/>
    </row>
    <row r="9" spans="1:5" x14ac:dyDescent="0.3">
      <c r="B9" t="s">
        <v>47</v>
      </c>
      <c r="D9" s="20">
        <v>1291</v>
      </c>
      <c r="E9" s="21">
        <v>1100</v>
      </c>
    </row>
    <row r="10" spans="1:5" x14ac:dyDescent="0.3">
      <c r="B10" t="s">
        <v>49</v>
      </c>
      <c r="D10" s="20">
        <v>15</v>
      </c>
      <c r="E10" s="21">
        <v>0</v>
      </c>
    </row>
    <row r="11" spans="1:5" x14ac:dyDescent="0.3">
      <c r="B11" t="s">
        <v>2</v>
      </c>
      <c r="D11" s="20">
        <v>300</v>
      </c>
      <c r="E11" s="21">
        <v>245</v>
      </c>
    </row>
    <row r="12" spans="1:5" x14ac:dyDescent="0.3">
      <c r="B12" t="s">
        <v>3</v>
      </c>
      <c r="D12" s="19">
        <v>100</v>
      </c>
      <c r="E12" s="22">
        <v>110</v>
      </c>
    </row>
    <row r="13" spans="1:5" x14ac:dyDescent="0.3">
      <c r="D13" s="20">
        <f>SUM(D6:D12)</f>
        <v>3926</v>
      </c>
      <c r="E13" s="21">
        <f>SUM(E6:E12)</f>
        <v>6162</v>
      </c>
    </row>
    <row r="14" spans="1:5" x14ac:dyDescent="0.3">
      <c r="A14" t="s">
        <v>40</v>
      </c>
      <c r="D14" s="20"/>
      <c r="E14" s="21"/>
    </row>
    <row r="15" spans="1:5" x14ac:dyDescent="0.3">
      <c r="B15" t="s">
        <v>43</v>
      </c>
      <c r="D15" s="20">
        <v>833</v>
      </c>
      <c r="E15" s="21">
        <v>1046</v>
      </c>
    </row>
    <row r="16" spans="1:5" x14ac:dyDescent="0.3">
      <c r="B16" t="s">
        <v>6</v>
      </c>
      <c r="D16" s="20">
        <v>2100</v>
      </c>
      <c r="E16" s="21">
        <v>1900</v>
      </c>
    </row>
    <row r="17" spans="1:5" x14ac:dyDescent="0.3">
      <c r="B17" t="s">
        <v>14</v>
      </c>
      <c r="C17" t="s">
        <v>19</v>
      </c>
      <c r="D17" s="19">
        <f>D52</f>
        <v>2900</v>
      </c>
      <c r="E17" s="22">
        <v>0</v>
      </c>
    </row>
    <row r="18" spans="1:5" x14ac:dyDescent="0.3">
      <c r="D18" s="20">
        <f>SUM(D15:D17)</f>
        <v>5833</v>
      </c>
      <c r="E18" s="21">
        <f>SUM(E15:E17)</f>
        <v>2946</v>
      </c>
    </row>
    <row r="19" spans="1:5" x14ac:dyDescent="0.3">
      <c r="D19" s="20"/>
      <c r="E19" s="21"/>
    </row>
    <row r="20" spans="1:5" s="31" customFormat="1" x14ac:dyDescent="0.3">
      <c r="D20" s="95">
        <f>D18+D13</f>
        <v>9759</v>
      </c>
      <c r="E20" s="96">
        <f>E18+E13</f>
        <v>9108</v>
      </c>
    </row>
    <row r="21" spans="1:5" x14ac:dyDescent="0.3">
      <c r="D21" s="20"/>
      <c r="E21" s="21"/>
    </row>
    <row r="22" spans="1:5" x14ac:dyDescent="0.3">
      <c r="A22" t="s">
        <v>39</v>
      </c>
      <c r="D22" s="20"/>
      <c r="E22" s="21"/>
    </row>
    <row r="23" spans="1:5" x14ac:dyDescent="0.3">
      <c r="B23" t="s">
        <v>4</v>
      </c>
      <c r="D23" s="20">
        <v>75</v>
      </c>
      <c r="E23" s="21">
        <v>79</v>
      </c>
    </row>
    <row r="24" spans="1:5" x14ac:dyDescent="0.3">
      <c r="B24" t="s">
        <v>12</v>
      </c>
      <c r="D24" s="20">
        <v>215</v>
      </c>
      <c r="E24" s="21">
        <v>191</v>
      </c>
    </row>
    <row r="25" spans="1:5" x14ac:dyDescent="0.3">
      <c r="B25" t="s">
        <v>131</v>
      </c>
      <c r="D25" s="19">
        <v>500</v>
      </c>
      <c r="E25" s="22">
        <v>500</v>
      </c>
    </row>
    <row r="26" spans="1:5" x14ac:dyDescent="0.3">
      <c r="D26" s="20">
        <f>SUM(D23:D25)</f>
        <v>790</v>
      </c>
      <c r="E26" s="21">
        <f>SUM(E23:E25)</f>
        <v>770</v>
      </c>
    </row>
    <row r="27" spans="1:5" x14ac:dyDescent="0.3">
      <c r="A27" t="s">
        <v>41</v>
      </c>
      <c r="D27" s="20"/>
      <c r="E27" s="21"/>
    </row>
    <row r="28" spans="1:5" x14ac:dyDescent="0.3">
      <c r="B28" t="s">
        <v>5</v>
      </c>
      <c r="D28" s="20">
        <v>915</v>
      </c>
      <c r="E28" s="21">
        <v>1045</v>
      </c>
    </row>
    <row r="29" spans="1:5" x14ac:dyDescent="0.3">
      <c r="B29" t="s">
        <v>23</v>
      </c>
      <c r="D29" s="20">
        <v>214</v>
      </c>
      <c r="E29" s="21">
        <v>193</v>
      </c>
    </row>
    <row r="30" spans="1:5" x14ac:dyDescent="0.3">
      <c r="B30" t="s">
        <v>13</v>
      </c>
      <c r="D30" s="20">
        <v>3500</v>
      </c>
      <c r="E30" s="21">
        <v>4000</v>
      </c>
    </row>
    <row r="31" spans="1:5" x14ac:dyDescent="0.3">
      <c r="B31" t="s">
        <v>132</v>
      </c>
      <c r="D31" s="24">
        <v>-500</v>
      </c>
      <c r="E31" s="22">
        <v>-500</v>
      </c>
    </row>
    <row r="32" spans="1:5" x14ac:dyDescent="0.3">
      <c r="D32" s="20">
        <f>SUM(D28:D31)</f>
        <v>4129</v>
      </c>
      <c r="E32" s="21">
        <f>SUM(E28:E31)</f>
        <v>4738</v>
      </c>
    </row>
    <row r="33" spans="1:5" x14ac:dyDescent="0.3">
      <c r="D33" s="20"/>
      <c r="E33" s="21"/>
    </row>
    <row r="34" spans="1:5" s="31" customFormat="1" x14ac:dyDescent="0.3">
      <c r="D34" s="95">
        <f>D32+D26</f>
        <v>4919</v>
      </c>
      <c r="E34" s="96">
        <f>E32+E26</f>
        <v>5508</v>
      </c>
    </row>
    <row r="35" spans="1:5" x14ac:dyDescent="0.3">
      <c r="D35" s="20"/>
      <c r="E35" s="21"/>
    </row>
    <row r="36" spans="1:5" x14ac:dyDescent="0.3">
      <c r="A36" t="s">
        <v>7</v>
      </c>
      <c r="D36" s="20"/>
      <c r="E36" s="21"/>
    </row>
    <row r="37" spans="1:5" x14ac:dyDescent="0.3">
      <c r="B37" t="s">
        <v>133</v>
      </c>
      <c r="D37" s="20">
        <v>500</v>
      </c>
      <c r="E37" s="21">
        <v>500</v>
      </c>
    </row>
    <row r="38" spans="1:5" x14ac:dyDescent="0.3">
      <c r="B38" t="s">
        <v>44</v>
      </c>
      <c r="D38" s="19">
        <v>4340</v>
      </c>
      <c r="E38" s="22">
        <v>3100</v>
      </c>
    </row>
    <row r="39" spans="1:5" s="31" customFormat="1" x14ac:dyDescent="0.3">
      <c r="D39" s="97">
        <f>SUM(D37:D38)</f>
        <v>4840</v>
      </c>
      <c r="E39" s="59">
        <f>SUM(E37:E38)</f>
        <v>3600</v>
      </c>
    </row>
    <row r="41" spans="1:5" x14ac:dyDescent="0.3">
      <c r="D41" s="59">
        <f>D39+D34</f>
        <v>9759</v>
      </c>
      <c r="E41" s="59">
        <f>E39+E34</f>
        <v>9108</v>
      </c>
    </row>
    <row r="43" spans="1:5" x14ac:dyDescent="0.3">
      <c r="D43" s="4">
        <f>D20-D39-D34</f>
        <v>0</v>
      </c>
      <c r="E43" s="4">
        <f>E20-E39-E34</f>
        <v>0</v>
      </c>
    </row>
    <row r="45" spans="1:5" x14ac:dyDescent="0.3">
      <c r="B45" t="str">
        <f>C7</f>
        <v>Note 1</v>
      </c>
    </row>
    <row r="46" spans="1:5" x14ac:dyDescent="0.3">
      <c r="B46" t="s">
        <v>42</v>
      </c>
    </row>
    <row r="48" spans="1:5" x14ac:dyDescent="0.3">
      <c r="B48" t="str">
        <f>C17</f>
        <v>Note 2</v>
      </c>
    </row>
    <row r="49" spans="2:5" x14ac:dyDescent="0.3">
      <c r="B49" t="s">
        <v>174</v>
      </c>
    </row>
    <row r="50" spans="2:5" x14ac:dyDescent="0.3">
      <c r="B50" t="s">
        <v>15</v>
      </c>
      <c r="D50" s="18">
        <v>2500</v>
      </c>
    </row>
    <row r="51" spans="2:5" x14ac:dyDescent="0.3">
      <c r="B51" s="8" t="s">
        <v>9</v>
      </c>
      <c r="C51" s="8"/>
      <c r="D51" s="19">
        <v>400</v>
      </c>
    </row>
    <row r="52" spans="2:5" x14ac:dyDescent="0.3">
      <c r="D52" s="18">
        <f>SUM(D50:D51)</f>
        <v>2900</v>
      </c>
      <c r="E52"/>
    </row>
    <row r="53" spans="2:5" x14ac:dyDescent="0.3">
      <c r="D53" s="13"/>
      <c r="E53" s="13"/>
    </row>
    <row r="54" spans="2:5" x14ac:dyDescent="0.3">
      <c r="D54"/>
      <c r="E54"/>
    </row>
    <row r="55" spans="2:5" ht="15.6" x14ac:dyDescent="0.3">
      <c r="B55" s="98" t="s">
        <v>134</v>
      </c>
      <c r="D55"/>
      <c r="E55"/>
    </row>
    <row r="56" spans="2:5" x14ac:dyDescent="0.3">
      <c r="B56" t="s">
        <v>135</v>
      </c>
      <c r="D56"/>
      <c r="E56"/>
    </row>
    <row r="57" spans="2:5" ht="14.55" customHeight="1" x14ac:dyDescent="0.3">
      <c r="B57" t="s">
        <v>173</v>
      </c>
      <c r="D57"/>
      <c r="E57"/>
    </row>
    <row r="58" spans="2:5" ht="14.55" customHeight="1" x14ac:dyDescent="0.3">
      <c r="D58"/>
      <c r="E58"/>
    </row>
    <row r="59" spans="2:5" ht="14.55" customHeight="1" x14ac:dyDescent="0.3">
      <c r="D59"/>
      <c r="E59"/>
    </row>
    <row r="60" spans="2:5" x14ac:dyDescent="0.3">
      <c r="D60"/>
      <c r="E60"/>
    </row>
    <row r="61" spans="2:5" x14ac:dyDescent="0.3">
      <c r="D61"/>
      <c r="E61"/>
    </row>
    <row r="62" spans="2:5" x14ac:dyDescent="0.3">
      <c r="D62"/>
      <c r="E62"/>
    </row>
    <row r="63" spans="2:5" x14ac:dyDescent="0.3">
      <c r="D63"/>
      <c r="E63"/>
    </row>
    <row r="64" spans="2:5" x14ac:dyDescent="0.3">
      <c r="D64"/>
      <c r="E64"/>
    </row>
    <row r="65" spans="4:5" x14ac:dyDescent="0.3">
      <c r="D65"/>
      <c r="E65"/>
    </row>
    <row r="66" spans="4:5" x14ac:dyDescent="0.3">
      <c r="D66"/>
      <c r="E66"/>
    </row>
    <row r="67" spans="4:5" x14ac:dyDescent="0.3">
      <c r="D67"/>
      <c r="E67"/>
    </row>
    <row r="68" spans="4:5" x14ac:dyDescent="0.3">
      <c r="D68"/>
      <c r="E68"/>
    </row>
    <row r="69" spans="4:5" x14ac:dyDescent="0.3">
      <c r="D69"/>
      <c r="E69"/>
    </row>
  </sheetData>
  <mergeCells count="2">
    <mergeCell ref="D2:E2"/>
    <mergeCell ref="D3:E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3C9E-0C66-43B1-BA59-77D873183A2C}">
  <sheetPr>
    <pageSetUpPr fitToPage="1"/>
  </sheetPr>
  <dimension ref="A2:I75"/>
  <sheetViews>
    <sheetView showGridLines="0" topLeftCell="A59" workbookViewId="0">
      <selection activeCell="D86" sqref="D86"/>
    </sheetView>
  </sheetViews>
  <sheetFormatPr baseColWidth="10" defaultColWidth="10.88671875" defaultRowHeight="14.4" x14ac:dyDescent="0.3"/>
  <cols>
    <col min="1" max="1" width="3" customWidth="1"/>
    <col min="2" max="2" width="38.77734375" customWidth="1"/>
    <col min="3" max="3" width="11" customWidth="1"/>
    <col min="4" max="6" width="17.77734375" style="4" customWidth="1"/>
    <col min="7" max="7" width="15.21875" customWidth="1"/>
  </cols>
  <sheetData>
    <row r="2" spans="1:8" x14ac:dyDescent="0.3">
      <c r="D2" s="144" t="s">
        <v>9</v>
      </c>
      <c r="E2" s="144"/>
      <c r="F2" s="144"/>
    </row>
    <row r="3" spans="1:8" x14ac:dyDescent="0.3">
      <c r="D3" s="144" t="s">
        <v>130</v>
      </c>
      <c r="E3" s="144"/>
      <c r="F3" s="144"/>
    </row>
    <row r="4" spans="1:8" x14ac:dyDescent="0.3">
      <c r="D4" s="93" t="s">
        <v>171</v>
      </c>
      <c r="E4" s="145" t="s">
        <v>172</v>
      </c>
      <c r="F4" s="145"/>
    </row>
    <row r="5" spans="1:8" s="2" customFormat="1" x14ac:dyDescent="0.3">
      <c r="A5" s="3"/>
      <c r="B5" s="3"/>
      <c r="C5" s="3"/>
      <c r="D5" s="9" t="s">
        <v>10</v>
      </c>
      <c r="E5" s="5" t="s">
        <v>10</v>
      </c>
      <c r="F5" s="5" t="s">
        <v>11</v>
      </c>
    </row>
    <row r="6" spans="1:8" x14ac:dyDescent="0.3">
      <c r="A6" t="s">
        <v>38</v>
      </c>
      <c r="D6" s="11"/>
      <c r="E6" s="10"/>
      <c r="F6" s="10"/>
    </row>
    <row r="7" spans="1:8" x14ac:dyDescent="0.3">
      <c r="B7" t="s">
        <v>1</v>
      </c>
      <c r="D7" s="23">
        <v>319</v>
      </c>
      <c r="E7" s="20">
        <v>48</v>
      </c>
      <c r="F7" s="20">
        <v>48</v>
      </c>
    </row>
    <row r="8" spans="1:8" x14ac:dyDescent="0.3">
      <c r="B8" t="s">
        <v>47</v>
      </c>
      <c r="D8" s="23">
        <v>167</v>
      </c>
      <c r="E8" s="20">
        <v>90</v>
      </c>
      <c r="F8" s="20">
        <v>90</v>
      </c>
    </row>
    <row r="9" spans="1:8" x14ac:dyDescent="0.3">
      <c r="B9" t="s">
        <v>2</v>
      </c>
      <c r="C9" t="s">
        <v>18</v>
      </c>
      <c r="D9" s="23">
        <v>76</v>
      </c>
      <c r="E9" s="20">
        <v>250</v>
      </c>
      <c r="F9" s="20">
        <v>250</v>
      </c>
      <c r="G9" s="14"/>
      <c r="H9" s="14"/>
    </row>
    <row r="10" spans="1:8" x14ac:dyDescent="0.3">
      <c r="B10" t="s">
        <v>3</v>
      </c>
      <c r="D10" s="24">
        <v>45</v>
      </c>
      <c r="E10" s="19">
        <v>20</v>
      </c>
      <c r="F10" s="19">
        <v>20</v>
      </c>
    </row>
    <row r="11" spans="1:8" x14ac:dyDescent="0.3">
      <c r="D11" s="23">
        <f>SUM(D7:D10)</f>
        <v>607</v>
      </c>
      <c r="E11" s="20">
        <f>SUM(E7:E10)</f>
        <v>408</v>
      </c>
      <c r="F11" s="20">
        <f>SUM(F7:F10)</f>
        <v>408</v>
      </c>
    </row>
    <row r="12" spans="1:8" x14ac:dyDescent="0.3">
      <c r="A12" t="s">
        <v>40</v>
      </c>
      <c r="D12" s="23"/>
      <c r="E12" s="20"/>
      <c r="F12" s="20"/>
    </row>
    <row r="13" spans="1:8" x14ac:dyDescent="0.3">
      <c r="B13" t="s">
        <v>17</v>
      </c>
      <c r="D13" s="23">
        <v>4</v>
      </c>
      <c r="E13" s="20">
        <v>43</v>
      </c>
      <c r="F13" s="20">
        <v>43</v>
      </c>
    </row>
    <row r="14" spans="1:8" x14ac:dyDescent="0.3">
      <c r="B14" t="s">
        <v>136</v>
      </c>
      <c r="C14" t="s">
        <v>19</v>
      </c>
      <c r="D14" s="23">
        <v>13</v>
      </c>
      <c r="E14" s="20">
        <v>17</v>
      </c>
      <c r="F14" s="20">
        <v>14</v>
      </c>
    </row>
    <row r="15" spans="1:8" x14ac:dyDescent="0.3">
      <c r="B15" t="s">
        <v>6</v>
      </c>
      <c r="C15" t="s">
        <v>20</v>
      </c>
      <c r="D15" s="24">
        <v>228</v>
      </c>
      <c r="E15" s="19">
        <v>312</v>
      </c>
      <c r="F15" s="19">
        <v>775</v>
      </c>
    </row>
    <row r="16" spans="1:8" x14ac:dyDescent="0.3">
      <c r="D16" s="23">
        <f>SUM(D13:D15)</f>
        <v>245</v>
      </c>
      <c r="E16" s="20">
        <f>SUM(E13:E15)</f>
        <v>372</v>
      </c>
      <c r="F16" s="20">
        <f>SUM(F13:F15)</f>
        <v>832</v>
      </c>
    </row>
    <row r="17" spans="1:6" x14ac:dyDescent="0.3">
      <c r="D17" s="23"/>
      <c r="E17" s="20"/>
      <c r="F17" s="20"/>
    </row>
    <row r="18" spans="1:6" x14ac:dyDescent="0.3">
      <c r="B18" t="s">
        <v>137</v>
      </c>
      <c r="D18" s="23">
        <f>D16+D11</f>
        <v>852</v>
      </c>
      <c r="E18" s="20">
        <f>E16+E11</f>
        <v>780</v>
      </c>
      <c r="F18" s="20">
        <f>F16+F11</f>
        <v>1240</v>
      </c>
    </row>
    <row r="19" spans="1:6" x14ac:dyDescent="0.3">
      <c r="D19" s="23"/>
      <c r="E19" s="20"/>
      <c r="F19" s="20"/>
    </row>
    <row r="20" spans="1:6" x14ac:dyDescent="0.3">
      <c r="A20" t="s">
        <v>39</v>
      </c>
      <c r="D20" s="23"/>
      <c r="E20" s="20"/>
      <c r="F20" s="20"/>
    </row>
    <row r="21" spans="1:6" x14ac:dyDescent="0.3">
      <c r="B21" t="s">
        <v>4</v>
      </c>
      <c r="D21" s="23">
        <v>12</v>
      </c>
      <c r="E21" s="20">
        <v>45</v>
      </c>
      <c r="F21" s="20">
        <v>45</v>
      </c>
    </row>
    <row r="22" spans="1:6" x14ac:dyDescent="0.3">
      <c r="B22" t="s">
        <v>12</v>
      </c>
      <c r="D22" s="23">
        <v>17</v>
      </c>
      <c r="E22" s="20">
        <v>14</v>
      </c>
      <c r="F22" s="20">
        <v>14</v>
      </c>
    </row>
    <row r="23" spans="1:6" x14ac:dyDescent="0.3">
      <c r="B23" t="s">
        <v>86</v>
      </c>
      <c r="D23" s="23">
        <v>50</v>
      </c>
      <c r="E23" s="20"/>
      <c r="F23" s="20"/>
    </row>
    <row r="24" spans="1:6" x14ac:dyDescent="0.3">
      <c r="B24" t="s">
        <v>131</v>
      </c>
      <c r="D24" s="24">
        <v>120</v>
      </c>
      <c r="E24" s="19">
        <v>100</v>
      </c>
      <c r="F24" s="19">
        <v>100</v>
      </c>
    </row>
    <row r="25" spans="1:6" x14ac:dyDescent="0.3">
      <c r="D25" s="23">
        <f>SUM(D21:D24)</f>
        <v>199</v>
      </c>
      <c r="E25" s="20">
        <f>SUM(E21:E24)</f>
        <v>159</v>
      </c>
      <c r="F25" s="20">
        <f>SUM(F21:F24)</f>
        <v>159</v>
      </c>
    </row>
    <row r="26" spans="1:6" x14ac:dyDescent="0.3">
      <c r="A26" t="s">
        <v>41</v>
      </c>
      <c r="D26" s="23"/>
      <c r="E26" s="20"/>
      <c r="F26" s="20"/>
    </row>
    <row r="27" spans="1:6" x14ac:dyDescent="0.3">
      <c r="B27" t="s">
        <v>13</v>
      </c>
      <c r="D27" s="23">
        <v>350</v>
      </c>
      <c r="E27" s="20">
        <v>350</v>
      </c>
      <c r="F27" s="20">
        <v>350</v>
      </c>
    </row>
    <row r="28" spans="1:6" x14ac:dyDescent="0.3">
      <c r="B28" t="s">
        <v>132</v>
      </c>
      <c r="D28" s="24">
        <v>-120</v>
      </c>
      <c r="E28" s="22">
        <v>-100</v>
      </c>
      <c r="F28" s="19">
        <v>-100</v>
      </c>
    </row>
    <row r="29" spans="1:6" x14ac:dyDescent="0.3">
      <c r="D29" s="23">
        <f>SUM(D27:D28)</f>
        <v>230</v>
      </c>
      <c r="E29" s="20">
        <f>SUM(E27:E28)</f>
        <v>250</v>
      </c>
      <c r="F29" s="20">
        <f>SUM(F27:F28)</f>
        <v>250</v>
      </c>
    </row>
    <row r="30" spans="1:6" x14ac:dyDescent="0.3">
      <c r="D30" s="23"/>
      <c r="E30" s="20"/>
      <c r="F30" s="20"/>
    </row>
    <row r="31" spans="1:6" s="31" customFormat="1" x14ac:dyDescent="0.3">
      <c r="D31" s="99">
        <f>D29+D25</f>
        <v>429</v>
      </c>
      <c r="E31" s="95">
        <f>E29+E25</f>
        <v>409</v>
      </c>
      <c r="F31" s="95">
        <f>F29+F25</f>
        <v>409</v>
      </c>
    </row>
    <row r="32" spans="1:6" x14ac:dyDescent="0.3">
      <c r="D32" s="23"/>
      <c r="E32" s="20"/>
      <c r="F32" s="20"/>
    </row>
    <row r="33" spans="1:6" x14ac:dyDescent="0.3">
      <c r="A33" t="s">
        <v>7</v>
      </c>
      <c r="D33" s="23"/>
      <c r="E33" s="20"/>
      <c r="F33" s="20"/>
    </row>
    <row r="34" spans="1:6" x14ac:dyDescent="0.3">
      <c r="B34" t="s">
        <v>133</v>
      </c>
      <c r="D34" s="23">
        <v>110</v>
      </c>
      <c r="E34" s="20">
        <v>110</v>
      </c>
      <c r="F34" s="20"/>
    </row>
    <row r="35" spans="1:6" x14ac:dyDescent="0.3">
      <c r="B35" t="s">
        <v>44</v>
      </c>
      <c r="C35" t="s">
        <v>21</v>
      </c>
      <c r="D35" s="24">
        <v>313</v>
      </c>
      <c r="E35" s="19">
        <v>261</v>
      </c>
      <c r="F35" s="19"/>
    </row>
    <row r="36" spans="1:6" s="31" customFormat="1" x14ac:dyDescent="0.3">
      <c r="D36" s="97">
        <f>SUM(D34:D35)</f>
        <v>423</v>
      </c>
      <c r="E36" s="59">
        <f>SUM(E34:E35)</f>
        <v>371</v>
      </c>
      <c r="F36" s="59"/>
    </row>
    <row r="37" spans="1:6" x14ac:dyDescent="0.3">
      <c r="D37" s="20"/>
      <c r="E37" s="18"/>
      <c r="F37" s="18"/>
    </row>
    <row r="38" spans="1:6" x14ac:dyDescent="0.3">
      <c r="D38" s="59">
        <f>D36+D31</f>
        <v>852</v>
      </c>
      <c r="E38" s="59">
        <f>E36+E31</f>
        <v>780</v>
      </c>
      <c r="F38" s="18"/>
    </row>
    <row r="39" spans="1:6" x14ac:dyDescent="0.3">
      <c r="D39" s="18">
        <f>D18-D36-D31</f>
        <v>0</v>
      </c>
      <c r="E39" s="18">
        <f>E18-E36-E31</f>
        <v>0</v>
      </c>
      <c r="F39" s="18"/>
    </row>
    <row r="42" spans="1:6" x14ac:dyDescent="0.3">
      <c r="B42" t="str">
        <f>C9</f>
        <v>Note 1</v>
      </c>
    </row>
    <row r="43" spans="1:6" x14ac:dyDescent="0.3">
      <c r="B43" s="146" t="s">
        <v>128</v>
      </c>
      <c r="C43" s="146"/>
      <c r="D43" s="146"/>
      <c r="E43" s="146"/>
      <c r="F43" s="146"/>
    </row>
    <row r="44" spans="1:6" x14ac:dyDescent="0.3">
      <c r="B44" s="146"/>
      <c r="C44" s="146"/>
      <c r="D44" s="146"/>
      <c r="E44" s="146"/>
      <c r="F44" s="146"/>
    </row>
    <row r="46" spans="1:6" x14ac:dyDescent="0.3">
      <c r="B46" t="str">
        <f>C14</f>
        <v>Note 2</v>
      </c>
    </row>
    <row r="47" spans="1:6" x14ac:dyDescent="0.3">
      <c r="B47" t="s">
        <v>46</v>
      </c>
      <c r="F47"/>
    </row>
    <row r="48" spans="1:6" x14ac:dyDescent="0.3">
      <c r="D48" s="93" t="s">
        <v>171</v>
      </c>
      <c r="E48" s="145" t="s">
        <v>172</v>
      </c>
      <c r="F48" s="145"/>
    </row>
    <row r="49" spans="2:9" ht="28.8" x14ac:dyDescent="0.3">
      <c r="D49" s="5" t="s">
        <v>10</v>
      </c>
      <c r="F49" s="5" t="s">
        <v>10</v>
      </c>
      <c r="H49" s="5" t="s">
        <v>11</v>
      </c>
      <c r="I49" s="5" t="s">
        <v>27</v>
      </c>
    </row>
    <row r="50" spans="2:9" x14ac:dyDescent="0.3">
      <c r="C50" s="7" t="s">
        <v>25</v>
      </c>
      <c r="D50" s="18">
        <f>F50</f>
        <v>12</v>
      </c>
      <c r="F50" s="18">
        <v>12</v>
      </c>
      <c r="H50" s="18">
        <v>8</v>
      </c>
      <c r="I50" s="25">
        <v>4</v>
      </c>
    </row>
    <row r="51" spans="2:9" x14ac:dyDescent="0.3">
      <c r="C51" s="7"/>
      <c r="D51" s="18">
        <f>D50/I50*-2</f>
        <v>-6</v>
      </c>
      <c r="E51" s="18">
        <v>6</v>
      </c>
      <c r="F51" s="18">
        <f>F50/I50*-1</f>
        <v>-3</v>
      </c>
      <c r="G51">
        <v>9</v>
      </c>
      <c r="H51" s="18"/>
      <c r="I51" s="25"/>
    </row>
    <row r="52" spans="2:9" x14ac:dyDescent="0.3">
      <c r="C52" s="7" t="s">
        <v>26</v>
      </c>
      <c r="D52" s="18">
        <f>F52</f>
        <v>10</v>
      </c>
      <c r="E52" s="18"/>
      <c r="F52" s="18">
        <v>10</v>
      </c>
      <c r="H52" s="18">
        <v>6</v>
      </c>
      <c r="I52" s="25">
        <v>10</v>
      </c>
    </row>
    <row r="53" spans="2:9" x14ac:dyDescent="0.3">
      <c r="C53" s="7"/>
      <c r="D53" s="19">
        <f>-F52/I52*3</f>
        <v>-3</v>
      </c>
      <c r="E53" s="19">
        <v>7</v>
      </c>
      <c r="F53" s="19">
        <f>-F52/I52*2</f>
        <v>-2</v>
      </c>
      <c r="G53" s="8">
        <v>8</v>
      </c>
      <c r="H53" s="19"/>
    </row>
    <row r="54" spans="2:9" x14ac:dyDescent="0.3">
      <c r="E54" s="18">
        <f>SUM(D50:D53)</f>
        <v>13</v>
      </c>
      <c r="G54" s="18">
        <f>SUM(F50:F53)</f>
        <v>17</v>
      </c>
      <c r="H54" s="18">
        <f>SUM(H50:H53)</f>
        <v>14</v>
      </c>
    </row>
    <row r="55" spans="2:9" x14ac:dyDescent="0.3">
      <c r="D55" s="18"/>
      <c r="F55" s="18"/>
      <c r="G55" s="25"/>
      <c r="H55" s="18"/>
    </row>
    <row r="57" spans="2:9" x14ac:dyDescent="0.3">
      <c r="B57" t="str">
        <f>C15</f>
        <v>Note 3</v>
      </c>
    </row>
    <row r="58" spans="2:9" x14ac:dyDescent="0.3">
      <c r="B58" t="s">
        <v>45</v>
      </c>
      <c r="F58"/>
    </row>
    <row r="59" spans="2:9" x14ac:dyDescent="0.3">
      <c r="D59" s="93" t="s">
        <v>171</v>
      </c>
      <c r="G59" s="145" t="s">
        <v>172</v>
      </c>
      <c r="H59" s="145"/>
    </row>
    <row r="60" spans="2:9" ht="28.8" x14ac:dyDescent="0.3">
      <c r="D60" s="5" t="s">
        <v>10</v>
      </c>
      <c r="F60" s="5" t="s">
        <v>10</v>
      </c>
      <c r="H60" s="5" t="s">
        <v>11</v>
      </c>
      <c r="I60" s="5" t="s">
        <v>27</v>
      </c>
    </row>
    <row r="61" spans="2:9" x14ac:dyDescent="0.3">
      <c r="C61" s="7" t="s">
        <v>30</v>
      </c>
      <c r="D61" s="18">
        <v>120</v>
      </c>
      <c r="F61" s="18">
        <v>120</v>
      </c>
      <c r="H61" s="18">
        <v>215</v>
      </c>
      <c r="I61" s="25">
        <v>5</v>
      </c>
    </row>
    <row r="62" spans="2:9" x14ac:dyDescent="0.3">
      <c r="D62" s="18">
        <f>F62-D61/I61</f>
        <v>-72</v>
      </c>
      <c r="E62" s="18">
        <f>SUM(D61:D62)</f>
        <v>48</v>
      </c>
      <c r="F62" s="18">
        <v>-48</v>
      </c>
      <c r="G62" s="18">
        <f>SUM(F61:F62)</f>
        <v>72</v>
      </c>
      <c r="H62" s="18"/>
      <c r="I62" s="25"/>
    </row>
    <row r="63" spans="2:9" x14ac:dyDescent="0.3">
      <c r="C63" s="7" t="s">
        <v>29</v>
      </c>
      <c r="D63" s="18">
        <f>F63</f>
        <v>300</v>
      </c>
      <c r="E63" s="18"/>
      <c r="F63" s="18">
        <v>300</v>
      </c>
      <c r="H63" s="18">
        <v>560</v>
      </c>
      <c r="I63" s="25">
        <v>5</v>
      </c>
    </row>
    <row r="64" spans="2:9" x14ac:dyDescent="0.3">
      <c r="D64" s="19">
        <f>F64-D63/I63</f>
        <v>-120</v>
      </c>
      <c r="E64" s="19">
        <f>SUM(D63:D64)</f>
        <v>180</v>
      </c>
      <c r="F64" s="19">
        <v>-60</v>
      </c>
      <c r="G64" s="19">
        <f>SUM(F63:F64)</f>
        <v>240</v>
      </c>
      <c r="H64" s="19"/>
    </row>
    <row r="65" spans="2:8" x14ac:dyDescent="0.3">
      <c r="E65" s="18">
        <f>SUM(D61:D64)</f>
        <v>228</v>
      </c>
      <c r="G65" s="18">
        <f>SUM(F61:F64)</f>
        <v>312</v>
      </c>
      <c r="H65" s="18">
        <f t="shared" ref="H65" si="0">SUM(H61:H64)</f>
        <v>775</v>
      </c>
    </row>
    <row r="66" spans="2:8" x14ac:dyDescent="0.3">
      <c r="D66" s="18"/>
      <c r="F66" s="18"/>
      <c r="G66" s="25"/>
      <c r="H66" s="18"/>
    </row>
    <row r="68" spans="2:8" x14ac:dyDescent="0.3">
      <c r="B68" t="str">
        <f>C35</f>
        <v>Note 4</v>
      </c>
    </row>
    <row r="69" spans="2:8" x14ac:dyDescent="0.3">
      <c r="B69" t="s">
        <v>32</v>
      </c>
    </row>
    <row r="70" spans="2:8" x14ac:dyDescent="0.3">
      <c r="D70" s="93" t="s">
        <v>171</v>
      </c>
    </row>
    <row r="71" spans="2:8" x14ac:dyDescent="0.3">
      <c r="C71" s="7" t="s">
        <v>36</v>
      </c>
      <c r="D71" s="18">
        <f>E35</f>
        <v>261</v>
      </c>
    </row>
    <row r="72" spans="2:8" x14ac:dyDescent="0.3">
      <c r="C72" s="7" t="s">
        <v>34</v>
      </c>
      <c r="D72" s="18">
        <v>102</v>
      </c>
    </row>
    <row r="73" spans="2:8" x14ac:dyDescent="0.3">
      <c r="C73" s="7" t="s">
        <v>35</v>
      </c>
      <c r="D73" s="19">
        <v>-50</v>
      </c>
    </row>
    <row r="74" spans="2:8" x14ac:dyDescent="0.3">
      <c r="C74" s="7" t="s">
        <v>37</v>
      </c>
      <c r="D74" s="18">
        <f>SUM(D71:D73)</f>
        <v>313</v>
      </c>
    </row>
    <row r="75" spans="2:8" x14ac:dyDescent="0.3">
      <c r="D75" s="25"/>
    </row>
  </sheetData>
  <mergeCells count="6">
    <mergeCell ref="G59:H59"/>
    <mergeCell ref="E4:F4"/>
    <mergeCell ref="D3:F3"/>
    <mergeCell ref="D2:F2"/>
    <mergeCell ref="B43:F44"/>
    <mergeCell ref="E48:F48"/>
  </mergeCells>
  <pageMargins left="0.7" right="0.7" top="0.75" bottom="0.75" header="0.3" footer="0.3"/>
  <pageSetup scale="75"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248C-0A4B-4FEB-9E92-DE445C819DD1}">
  <sheetPr>
    <pageSetUpPr fitToPage="1"/>
  </sheetPr>
  <dimension ref="A2:J94"/>
  <sheetViews>
    <sheetView showGridLines="0" topLeftCell="A2" workbookViewId="0">
      <selection activeCell="G83" sqref="G83"/>
    </sheetView>
  </sheetViews>
  <sheetFormatPr baseColWidth="10" defaultColWidth="10.88671875" defaultRowHeight="14.4" x14ac:dyDescent="0.3"/>
  <cols>
    <col min="1" max="1" width="3" customWidth="1"/>
    <col min="2" max="2" width="38.77734375" customWidth="1"/>
    <col min="3" max="3" width="9" customWidth="1"/>
    <col min="4" max="5" width="18.21875" style="4" customWidth="1"/>
    <col min="6" max="6" width="18.21875" customWidth="1"/>
    <col min="7" max="7" width="13.21875" customWidth="1"/>
  </cols>
  <sheetData>
    <row r="2" spans="1:8" x14ac:dyDescent="0.3">
      <c r="D2" s="144" t="s">
        <v>15</v>
      </c>
      <c r="E2" s="144"/>
      <c r="F2" s="144"/>
      <c r="H2" s="15"/>
    </row>
    <row r="3" spans="1:8" x14ac:dyDescent="0.3">
      <c r="D3" s="144" t="s">
        <v>130</v>
      </c>
      <c r="E3" s="144"/>
      <c r="F3" s="144"/>
    </row>
    <row r="4" spans="1:8" x14ac:dyDescent="0.3">
      <c r="D4" s="93" t="s">
        <v>171</v>
      </c>
      <c r="E4" s="145" t="s">
        <v>172</v>
      </c>
      <c r="F4" s="145"/>
    </row>
    <row r="5" spans="1:8" s="7" customFormat="1" x14ac:dyDescent="0.3">
      <c r="A5" s="6"/>
      <c r="B5" s="6"/>
      <c r="C5" s="6"/>
      <c r="D5" s="9" t="s">
        <v>10</v>
      </c>
      <c r="E5" s="5" t="s">
        <v>10</v>
      </c>
      <c r="F5" s="5" t="s">
        <v>11</v>
      </c>
    </row>
    <row r="6" spans="1:8" x14ac:dyDescent="0.3">
      <c r="A6" t="s">
        <v>38</v>
      </c>
      <c r="D6" s="11"/>
      <c r="E6" s="10"/>
    </row>
    <row r="7" spans="1:8" x14ac:dyDescent="0.3">
      <c r="B7" t="s">
        <v>1</v>
      </c>
      <c r="D7" s="23">
        <v>488</v>
      </c>
      <c r="E7" s="20">
        <v>350</v>
      </c>
      <c r="F7" s="26">
        <v>350</v>
      </c>
      <c r="H7" s="25"/>
    </row>
    <row r="8" spans="1:8" x14ac:dyDescent="0.3">
      <c r="B8" t="s">
        <v>47</v>
      </c>
      <c r="D8" s="23">
        <v>215</v>
      </c>
      <c r="E8" s="20">
        <v>209</v>
      </c>
      <c r="F8" s="26">
        <v>209</v>
      </c>
      <c r="H8" s="25"/>
    </row>
    <row r="9" spans="1:8" x14ac:dyDescent="0.3">
      <c r="B9" t="s">
        <v>3</v>
      </c>
      <c r="C9" t="s">
        <v>18</v>
      </c>
      <c r="D9" s="27">
        <v>12</v>
      </c>
      <c r="E9" s="19">
        <v>20</v>
      </c>
      <c r="F9" s="19">
        <v>25</v>
      </c>
      <c r="H9" s="25"/>
    </row>
    <row r="10" spans="1:8" x14ac:dyDescent="0.3">
      <c r="D10" s="23">
        <f>SUM(D7:D9)</f>
        <v>715</v>
      </c>
      <c r="E10" s="20">
        <f>SUM(E7:E9)</f>
        <v>579</v>
      </c>
      <c r="F10" s="20">
        <f>SUM(F7:F9)</f>
        <v>584</v>
      </c>
    </row>
    <row r="11" spans="1:8" x14ac:dyDescent="0.3">
      <c r="A11" t="s">
        <v>40</v>
      </c>
      <c r="D11" s="23"/>
      <c r="E11" s="20"/>
      <c r="F11" s="20"/>
    </row>
    <row r="12" spans="1:8" x14ac:dyDescent="0.3">
      <c r="B12" t="s">
        <v>17</v>
      </c>
      <c r="C12" t="s">
        <v>19</v>
      </c>
      <c r="D12" s="23">
        <v>0</v>
      </c>
      <c r="E12" s="20">
        <v>15</v>
      </c>
      <c r="F12" s="20">
        <v>17</v>
      </c>
      <c r="H12" s="25"/>
    </row>
    <row r="13" spans="1:8" x14ac:dyDescent="0.3">
      <c r="B13" t="s">
        <v>138</v>
      </c>
      <c r="C13" t="s">
        <v>20</v>
      </c>
      <c r="D13" s="23">
        <v>18</v>
      </c>
      <c r="E13" s="20">
        <v>30</v>
      </c>
      <c r="F13" s="20">
        <v>25</v>
      </c>
      <c r="H13" s="25"/>
    </row>
    <row r="14" spans="1:8" x14ac:dyDescent="0.3">
      <c r="B14" t="s">
        <v>6</v>
      </c>
      <c r="C14" t="s">
        <v>21</v>
      </c>
      <c r="D14" s="24">
        <v>500</v>
      </c>
      <c r="E14" s="19">
        <v>600</v>
      </c>
      <c r="F14" s="19">
        <v>2400</v>
      </c>
      <c r="H14" s="25"/>
    </row>
    <row r="15" spans="1:8" x14ac:dyDescent="0.3">
      <c r="D15" s="23">
        <f>SUM(D12:D14)</f>
        <v>518</v>
      </c>
      <c r="E15" s="20">
        <f>SUM(E12:E14)</f>
        <v>645</v>
      </c>
      <c r="F15" s="20">
        <f>SUM(F12:F14)</f>
        <v>2442</v>
      </c>
      <c r="H15" s="25"/>
    </row>
    <row r="16" spans="1:8" x14ac:dyDescent="0.3">
      <c r="D16" s="23"/>
      <c r="E16" s="20"/>
      <c r="F16" s="20"/>
      <c r="H16" s="25"/>
    </row>
    <row r="17" spans="1:10" s="31" customFormat="1" x14ac:dyDescent="0.3">
      <c r="D17" s="99">
        <f>D15+D10</f>
        <v>1233</v>
      </c>
      <c r="E17" s="95">
        <f>E15+E10</f>
        <v>1224</v>
      </c>
      <c r="F17" s="95">
        <f>F15+F10</f>
        <v>3026</v>
      </c>
      <c r="H17" s="56"/>
    </row>
    <row r="18" spans="1:10" x14ac:dyDescent="0.3">
      <c r="D18" s="23"/>
      <c r="E18" s="20"/>
      <c r="F18" s="20"/>
    </row>
    <row r="19" spans="1:10" x14ac:dyDescent="0.3">
      <c r="A19" t="s">
        <v>39</v>
      </c>
      <c r="D19" s="23"/>
      <c r="E19" s="20"/>
      <c r="F19" s="20"/>
    </row>
    <row r="20" spans="1:10" x14ac:dyDescent="0.3">
      <c r="B20" t="s">
        <v>4</v>
      </c>
      <c r="D20" s="23">
        <v>355</v>
      </c>
      <c r="E20" s="20">
        <v>310</v>
      </c>
      <c r="F20" s="20">
        <v>310</v>
      </c>
    </row>
    <row r="21" spans="1:10" x14ac:dyDescent="0.3">
      <c r="B21" t="s">
        <v>116</v>
      </c>
      <c r="D21" s="23">
        <v>135</v>
      </c>
      <c r="E21" s="20">
        <v>29</v>
      </c>
      <c r="F21" s="20">
        <v>29</v>
      </c>
    </row>
    <row r="22" spans="1:10" x14ac:dyDescent="0.3">
      <c r="B22" t="s">
        <v>48</v>
      </c>
      <c r="D22" s="23">
        <v>15</v>
      </c>
      <c r="E22" s="20"/>
      <c r="F22" s="20"/>
    </row>
    <row r="23" spans="1:10" x14ac:dyDescent="0.3">
      <c r="B23" t="s">
        <v>131</v>
      </c>
      <c r="D23" s="24">
        <v>40</v>
      </c>
      <c r="E23" s="19">
        <v>40</v>
      </c>
      <c r="F23" s="100">
        <v>40</v>
      </c>
    </row>
    <row r="24" spans="1:10" x14ac:dyDescent="0.3">
      <c r="D24" s="23">
        <f>SUM(D20:D23)</f>
        <v>545</v>
      </c>
      <c r="E24" s="20">
        <f>SUM(E20:E23)</f>
        <v>379</v>
      </c>
      <c r="F24" s="20">
        <f>SUM(F20:F23)</f>
        <v>379</v>
      </c>
    </row>
    <row r="25" spans="1:10" x14ac:dyDescent="0.3">
      <c r="A25" t="s">
        <v>41</v>
      </c>
      <c r="D25" s="23"/>
      <c r="E25" s="20"/>
      <c r="F25" s="20"/>
      <c r="I25" s="17"/>
      <c r="J25" s="17"/>
    </row>
    <row r="26" spans="1:10" x14ac:dyDescent="0.3">
      <c r="B26" t="s">
        <v>23</v>
      </c>
      <c r="C26" t="s">
        <v>19</v>
      </c>
      <c r="D26" s="23">
        <v>22</v>
      </c>
      <c r="E26" s="20">
        <v>0</v>
      </c>
      <c r="F26" s="20">
        <v>0</v>
      </c>
      <c r="I26" s="17"/>
      <c r="J26" s="17"/>
    </row>
    <row r="27" spans="1:10" x14ac:dyDescent="0.3">
      <c r="B27" t="s">
        <v>13</v>
      </c>
      <c r="C27" t="s">
        <v>22</v>
      </c>
      <c r="D27" s="23">
        <v>400</v>
      </c>
      <c r="E27" s="26">
        <v>440</v>
      </c>
      <c r="F27" s="100">
        <v>444</v>
      </c>
      <c r="H27" s="25"/>
      <c r="I27" s="28"/>
      <c r="J27" s="28"/>
    </row>
    <row r="28" spans="1:10" x14ac:dyDescent="0.3">
      <c r="B28" t="s">
        <v>132</v>
      </c>
      <c r="D28" s="24">
        <v>-40</v>
      </c>
      <c r="E28" s="22">
        <v>-40</v>
      </c>
      <c r="F28" s="22">
        <v>-40</v>
      </c>
    </row>
    <row r="29" spans="1:10" x14ac:dyDescent="0.3">
      <c r="D29" s="23">
        <f>SUM(D26:D28)</f>
        <v>382</v>
      </c>
      <c r="E29" s="20">
        <f>SUM(E27:E28)</f>
        <v>400</v>
      </c>
      <c r="F29" s="20">
        <f>SUM(F27:F28)</f>
        <v>404</v>
      </c>
    </row>
    <row r="30" spans="1:10" x14ac:dyDescent="0.3">
      <c r="D30" s="23"/>
      <c r="E30" s="20"/>
      <c r="F30" s="20"/>
    </row>
    <row r="31" spans="1:10" s="31" customFormat="1" x14ac:dyDescent="0.3">
      <c r="D31" s="99">
        <f>D29+D24</f>
        <v>927</v>
      </c>
      <c r="E31" s="95">
        <f>E29+E24</f>
        <v>779</v>
      </c>
      <c r="F31" s="95">
        <f>F29+F24</f>
        <v>783</v>
      </c>
    </row>
    <row r="32" spans="1:10" x14ac:dyDescent="0.3">
      <c r="D32" s="23"/>
      <c r="E32" s="20"/>
      <c r="F32" s="20"/>
    </row>
    <row r="33" spans="1:6" x14ac:dyDescent="0.3">
      <c r="A33" t="s">
        <v>7</v>
      </c>
      <c r="D33" s="23"/>
      <c r="E33" s="20"/>
      <c r="F33" s="20"/>
    </row>
    <row r="34" spans="1:6" x14ac:dyDescent="0.3">
      <c r="B34" t="s">
        <v>133</v>
      </c>
      <c r="D34" s="23">
        <v>170</v>
      </c>
      <c r="E34" s="20">
        <v>170</v>
      </c>
      <c r="F34" s="20"/>
    </row>
    <row r="35" spans="1:6" x14ac:dyDescent="0.3">
      <c r="B35" t="s">
        <v>44</v>
      </c>
      <c r="D35" s="24">
        <v>136</v>
      </c>
      <c r="E35" s="19">
        <v>275</v>
      </c>
      <c r="F35" s="19"/>
    </row>
    <row r="36" spans="1:6" s="31" customFormat="1" x14ac:dyDescent="0.3">
      <c r="D36" s="97">
        <f>SUM(D34:D35)</f>
        <v>306</v>
      </c>
      <c r="E36" s="95">
        <f>SUM(E34:E35)</f>
        <v>445</v>
      </c>
      <c r="F36" s="56"/>
    </row>
    <row r="38" spans="1:6" s="31" customFormat="1" x14ac:dyDescent="0.3">
      <c r="D38" s="59">
        <f>D36+D31</f>
        <v>1233</v>
      </c>
      <c r="E38" s="59">
        <f>E36+E31</f>
        <v>1224</v>
      </c>
      <c r="F38" s="59"/>
    </row>
    <row r="40" spans="1:6" x14ac:dyDescent="0.3">
      <c r="D40" s="4">
        <f>D17-D36-D31</f>
        <v>0</v>
      </c>
      <c r="E40" s="4">
        <f>E17-E36-E31</f>
        <v>0</v>
      </c>
      <c r="F40" s="18"/>
    </row>
    <row r="42" spans="1:6" x14ac:dyDescent="0.3">
      <c r="B42" t="str">
        <f>C9</f>
        <v>Note 1</v>
      </c>
      <c r="F42" s="25"/>
    </row>
    <row r="43" spans="1:6" x14ac:dyDescent="0.3">
      <c r="B43" s="146" t="s">
        <v>175</v>
      </c>
      <c r="C43" s="146"/>
      <c r="D43" s="146"/>
      <c r="E43" s="146"/>
      <c r="F43" s="146"/>
    </row>
    <row r="44" spans="1:6" x14ac:dyDescent="0.3">
      <c r="B44" s="146"/>
      <c r="C44" s="146"/>
      <c r="D44" s="146"/>
      <c r="E44" s="146"/>
      <c r="F44" s="146"/>
    </row>
    <row r="45" spans="1:6" x14ac:dyDescent="0.3">
      <c r="B45" s="146"/>
      <c r="C45" s="146"/>
      <c r="D45" s="146"/>
      <c r="E45" s="146"/>
      <c r="F45" s="146"/>
    </row>
    <row r="46" spans="1:6" x14ac:dyDescent="0.3">
      <c r="B46" s="146"/>
      <c r="C46" s="146"/>
      <c r="D46" s="146"/>
      <c r="E46" s="146"/>
      <c r="F46" s="146"/>
    </row>
    <row r="48" spans="1:6" x14ac:dyDescent="0.3">
      <c r="B48" t="str">
        <f>C12</f>
        <v>Note 2</v>
      </c>
    </row>
    <row r="49" spans="2:9" x14ac:dyDescent="0.3">
      <c r="B49" s="146" t="s">
        <v>176</v>
      </c>
      <c r="C49" s="146"/>
      <c r="D49" s="146"/>
      <c r="E49" s="146"/>
      <c r="F49" s="146"/>
    </row>
    <row r="50" spans="2:9" x14ac:dyDescent="0.3">
      <c r="B50" s="146"/>
      <c r="C50" s="146"/>
      <c r="D50" s="146"/>
      <c r="E50" s="146"/>
      <c r="F50" s="146"/>
    </row>
    <row r="51" spans="2:9" x14ac:dyDescent="0.3">
      <c r="B51" s="146"/>
      <c r="C51" s="146"/>
      <c r="D51" s="146"/>
      <c r="E51" s="146"/>
      <c r="F51" s="146"/>
    </row>
    <row r="52" spans="2:9" x14ac:dyDescent="0.3">
      <c r="B52" s="146"/>
      <c r="C52" s="146"/>
      <c r="D52" s="146"/>
      <c r="E52" s="146"/>
      <c r="F52" s="146"/>
    </row>
    <row r="54" spans="2:9" x14ac:dyDescent="0.3">
      <c r="B54" t="str">
        <f>C13</f>
        <v>Note 3</v>
      </c>
    </row>
    <row r="55" spans="2:9" x14ac:dyDescent="0.3">
      <c r="B55" t="s">
        <v>24</v>
      </c>
    </row>
    <row r="56" spans="2:9" x14ac:dyDescent="0.3">
      <c r="D56" s="93" t="s">
        <v>171</v>
      </c>
      <c r="E56" s="147" t="s">
        <v>172</v>
      </c>
      <c r="F56" s="147"/>
    </row>
    <row r="57" spans="2:9" ht="28.8" x14ac:dyDescent="0.3">
      <c r="D57" s="5" t="s">
        <v>10</v>
      </c>
      <c r="F57" s="5" t="s">
        <v>10</v>
      </c>
      <c r="H57" s="5" t="s">
        <v>11</v>
      </c>
      <c r="I57" s="5" t="s">
        <v>27</v>
      </c>
    </row>
    <row r="58" spans="2:9" x14ac:dyDescent="0.3">
      <c r="C58" s="7" t="s">
        <v>25</v>
      </c>
      <c r="D58" s="18">
        <f>F58</f>
        <v>30</v>
      </c>
      <c r="F58" s="18">
        <v>30</v>
      </c>
      <c r="H58" s="18">
        <v>15</v>
      </c>
      <c r="I58">
        <v>3</v>
      </c>
    </row>
    <row r="59" spans="2:9" x14ac:dyDescent="0.3">
      <c r="C59" s="7"/>
      <c r="D59" s="18">
        <v>-20</v>
      </c>
      <c r="E59" s="18">
        <f>SUM(D58:D59)</f>
        <v>10</v>
      </c>
      <c r="F59" s="18">
        <f>-F58/I58</f>
        <v>-10</v>
      </c>
      <c r="G59" s="18">
        <f>SUM(F58:F59)</f>
        <v>20</v>
      </c>
      <c r="H59" s="18"/>
    </row>
    <row r="60" spans="2:9" x14ac:dyDescent="0.3">
      <c r="C60" s="7" t="s">
        <v>26</v>
      </c>
      <c r="D60" s="18">
        <v>20</v>
      </c>
      <c r="F60" s="18">
        <v>20</v>
      </c>
      <c r="H60" s="18">
        <v>10</v>
      </c>
      <c r="I60">
        <v>8</v>
      </c>
    </row>
    <row r="61" spans="2:9" x14ac:dyDescent="0.3">
      <c r="C61" s="7"/>
      <c r="D61" s="19">
        <v>-12</v>
      </c>
      <c r="E61" s="19">
        <f>SUM(D60:D61)</f>
        <v>8</v>
      </c>
      <c r="F61" s="19">
        <f>-F60/I60*4</f>
        <v>-10</v>
      </c>
      <c r="G61" s="19">
        <f>SUM(F60:F61)</f>
        <v>10</v>
      </c>
      <c r="H61" s="19"/>
      <c r="I61" s="25"/>
    </row>
    <row r="62" spans="2:9" x14ac:dyDescent="0.3">
      <c r="E62" s="18">
        <f>SUM(D58:D61)</f>
        <v>18</v>
      </c>
      <c r="G62" s="18">
        <f>SUM(F58:F61)</f>
        <v>30</v>
      </c>
      <c r="H62" s="18">
        <f>SUM(H58:H61)</f>
        <v>25</v>
      </c>
    </row>
    <row r="63" spans="2:9" x14ac:dyDescent="0.3">
      <c r="D63" s="18"/>
      <c r="F63" s="18"/>
      <c r="H63" s="18"/>
    </row>
    <row r="64" spans="2:9" x14ac:dyDescent="0.3">
      <c r="F64" s="4"/>
    </row>
    <row r="65" spans="2:9" x14ac:dyDescent="0.3">
      <c r="B65" t="str">
        <f>C14</f>
        <v>Note 4</v>
      </c>
    </row>
    <row r="66" spans="2:9" x14ac:dyDescent="0.3">
      <c r="B66" t="s">
        <v>28</v>
      </c>
    </row>
    <row r="67" spans="2:9" x14ac:dyDescent="0.3">
      <c r="D67" s="93" t="s">
        <v>171</v>
      </c>
      <c r="E67" s="147" t="s">
        <v>172</v>
      </c>
      <c r="F67" s="147"/>
    </row>
    <row r="68" spans="2:9" ht="28.8" x14ac:dyDescent="0.3">
      <c r="D68" s="5" t="s">
        <v>10</v>
      </c>
      <c r="F68" s="5" t="s">
        <v>10</v>
      </c>
      <c r="H68" s="5" t="s">
        <v>11</v>
      </c>
      <c r="I68" s="5" t="s">
        <v>27</v>
      </c>
    </row>
    <row r="69" spans="2:9" x14ac:dyDescent="0.3">
      <c r="C69" s="7" t="s">
        <v>30</v>
      </c>
      <c r="D69" s="18">
        <v>200</v>
      </c>
      <c r="F69" s="18">
        <v>200</v>
      </c>
      <c r="H69" s="18">
        <v>600</v>
      </c>
      <c r="I69">
        <v>5</v>
      </c>
    </row>
    <row r="70" spans="2:9" x14ac:dyDescent="0.3">
      <c r="D70" s="18">
        <v>-120</v>
      </c>
      <c r="E70" s="18">
        <f>SUM(D69:D70)</f>
        <v>80</v>
      </c>
      <c r="F70" s="18">
        <f>-F69/I69*2</f>
        <v>-80</v>
      </c>
      <c r="G70" s="18">
        <f>SUM(F69:F70)</f>
        <v>120</v>
      </c>
      <c r="H70" s="18"/>
    </row>
    <row r="71" spans="2:9" x14ac:dyDescent="0.3">
      <c r="C71" s="7" t="s">
        <v>29</v>
      </c>
      <c r="D71" s="18">
        <v>600</v>
      </c>
      <c r="F71" s="18">
        <v>600</v>
      </c>
      <c r="G71" s="4"/>
      <c r="H71" s="18">
        <v>1800</v>
      </c>
      <c r="I71">
        <v>5</v>
      </c>
    </row>
    <row r="72" spans="2:9" x14ac:dyDescent="0.3">
      <c r="D72" s="19">
        <f>-D71/I71*0.5+F72</f>
        <v>-180</v>
      </c>
      <c r="E72" s="19">
        <f>SUM(D71:D72)</f>
        <v>420</v>
      </c>
      <c r="F72" s="19">
        <v>-120</v>
      </c>
      <c r="G72" s="19">
        <f>SUM(F71:F72)</f>
        <v>480</v>
      </c>
      <c r="H72" s="19"/>
    </row>
    <row r="73" spans="2:9" x14ac:dyDescent="0.3">
      <c r="D73" s="18"/>
      <c r="E73" s="18">
        <f>SUM(D69:D72)</f>
        <v>500</v>
      </c>
      <c r="F73" s="18"/>
      <c r="G73" s="18">
        <f>SUM(F69:F72)</f>
        <v>600</v>
      </c>
      <c r="H73" s="18">
        <f t="shared" ref="H73" si="0">SUM(H69:H72)</f>
        <v>2400</v>
      </c>
    </row>
    <row r="74" spans="2:9" x14ac:dyDescent="0.3">
      <c r="D74" s="18"/>
      <c r="F74" s="18"/>
      <c r="H74" s="18"/>
    </row>
    <row r="79" spans="2:9" ht="15" customHeight="1" x14ac:dyDescent="0.3">
      <c r="B79" s="146"/>
      <c r="C79" s="146"/>
      <c r="D79" s="146"/>
      <c r="E79" s="146"/>
      <c r="F79" s="146"/>
    </row>
    <row r="80" spans="2:9" x14ac:dyDescent="0.3">
      <c r="B80" s="146"/>
      <c r="C80" s="146"/>
      <c r="D80" s="146"/>
      <c r="E80" s="146"/>
      <c r="F80" s="146"/>
    </row>
    <row r="81" spans="2:6" x14ac:dyDescent="0.3">
      <c r="B81" s="146"/>
      <c r="C81" s="146"/>
      <c r="D81" s="146"/>
      <c r="E81" s="146"/>
      <c r="F81" s="146"/>
    </row>
    <row r="82" spans="2:6" x14ac:dyDescent="0.3">
      <c r="B82" s="146"/>
      <c r="C82" s="146"/>
      <c r="D82" s="146"/>
      <c r="E82" s="146"/>
      <c r="F82" s="146"/>
    </row>
    <row r="83" spans="2:6" x14ac:dyDescent="0.3">
      <c r="B83" s="146"/>
      <c r="C83" s="146"/>
      <c r="D83" s="146"/>
      <c r="E83" s="146"/>
      <c r="F83" s="146"/>
    </row>
    <row r="87" spans="2:6" s="15" customFormat="1" x14ac:dyDescent="0.3">
      <c r="D87" s="16"/>
    </row>
    <row r="88" spans="2:6" s="15" customFormat="1" x14ac:dyDescent="0.3">
      <c r="D88" s="16"/>
    </row>
    <row r="89" spans="2:6" s="15" customFormat="1" x14ac:dyDescent="0.3">
      <c r="D89" s="16"/>
    </row>
    <row r="90" spans="2:6" s="15" customFormat="1" x14ac:dyDescent="0.3">
      <c r="D90" s="16"/>
    </row>
    <row r="91" spans="2:6" s="15" customFormat="1" x14ac:dyDescent="0.3">
      <c r="D91" s="16"/>
    </row>
    <row r="92" spans="2:6" s="15" customFormat="1" x14ac:dyDescent="0.3">
      <c r="D92" s="16"/>
    </row>
    <row r="93" spans="2:6" s="15" customFormat="1" x14ac:dyDescent="0.3">
      <c r="D93" s="16"/>
    </row>
    <row r="94" spans="2:6" s="15" customFormat="1" x14ac:dyDescent="0.3">
      <c r="D94" s="16"/>
      <c r="E94" s="16"/>
    </row>
  </sheetData>
  <mergeCells count="8">
    <mergeCell ref="B79:F83"/>
    <mergeCell ref="E4:F4"/>
    <mergeCell ref="D2:F2"/>
    <mergeCell ref="D3:F3"/>
    <mergeCell ref="B43:F46"/>
    <mergeCell ref="B49:F52"/>
    <mergeCell ref="E56:F56"/>
    <mergeCell ref="E67:F67"/>
  </mergeCells>
  <pageMargins left="0.7" right="0.7" top="0.75" bottom="0.75" header="0.3" footer="0.3"/>
  <pageSetup scale="77"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DB56-81AF-45E1-BEFF-2FEF2F538933}">
  <sheetPr>
    <pageSetUpPr fitToPage="1"/>
  </sheetPr>
  <dimension ref="A1:M71"/>
  <sheetViews>
    <sheetView showGridLines="0" tabSelected="1" workbookViewId="0">
      <selection activeCell="D36" sqref="D36"/>
    </sheetView>
  </sheetViews>
  <sheetFormatPr baseColWidth="10" defaultColWidth="10.88671875" defaultRowHeight="14.4" x14ac:dyDescent="0.3"/>
  <cols>
    <col min="2" max="2" width="2.5546875" style="52" customWidth="1"/>
    <col min="3" max="3" width="49.44140625" customWidth="1"/>
    <col min="8" max="8" width="12" bestFit="1" customWidth="1"/>
  </cols>
  <sheetData>
    <row r="1" spans="1:7" ht="18" x14ac:dyDescent="0.35">
      <c r="A1" s="51" t="s">
        <v>54</v>
      </c>
    </row>
    <row r="2" spans="1:7" x14ac:dyDescent="0.3">
      <c r="A2" s="31" t="s">
        <v>140</v>
      </c>
      <c r="D2" t="s">
        <v>172</v>
      </c>
    </row>
    <row r="4" spans="1:7" x14ac:dyDescent="0.3">
      <c r="A4" s="90" t="s">
        <v>139</v>
      </c>
      <c r="B4" s="91"/>
      <c r="C4" s="92"/>
      <c r="D4" s="92"/>
      <c r="E4" s="92"/>
      <c r="F4" s="92"/>
    </row>
    <row r="6" spans="1:7" x14ac:dyDescent="0.3">
      <c r="C6" t="s">
        <v>58</v>
      </c>
      <c r="D6" s="18">
        <f>+D29</f>
        <v>3180.8120073426198</v>
      </c>
      <c r="E6" s="107" t="s">
        <v>18</v>
      </c>
      <c r="F6" s="101"/>
    </row>
    <row r="7" spans="1:7" x14ac:dyDescent="0.3">
      <c r="C7" t="s">
        <v>123</v>
      </c>
      <c r="D7" s="18"/>
      <c r="E7" s="31"/>
    </row>
    <row r="8" spans="1:7" x14ac:dyDescent="0.3">
      <c r="C8" s="8" t="s">
        <v>124</v>
      </c>
      <c r="D8" s="19">
        <f>'1.3 EAI'!E36</f>
        <v>445</v>
      </c>
      <c r="E8" s="31"/>
    </row>
    <row r="9" spans="1:7" x14ac:dyDescent="0.3">
      <c r="C9" t="s">
        <v>125</v>
      </c>
      <c r="D9" s="18">
        <f>D6-D8</f>
        <v>2735.8120073426198</v>
      </c>
      <c r="E9" s="31"/>
      <c r="G9" s="25"/>
    </row>
    <row r="10" spans="1:7" x14ac:dyDescent="0.3">
      <c r="C10" s="57"/>
      <c r="D10" s="18"/>
      <c r="E10" s="31"/>
    </row>
    <row r="11" spans="1:7" x14ac:dyDescent="0.3">
      <c r="C11" t="s">
        <v>3</v>
      </c>
      <c r="D11" s="18">
        <f>-'1.3 EAI'!F9+'1.3 EAI'!E9</f>
        <v>-5</v>
      </c>
      <c r="E11" s="31"/>
    </row>
    <row r="12" spans="1:7" x14ac:dyDescent="0.3">
      <c r="C12" t="s">
        <v>17</v>
      </c>
      <c r="D12" s="18">
        <f>-'1.3 EAI'!F12+'1.3 EAI'!E12</f>
        <v>-2</v>
      </c>
      <c r="E12" s="31"/>
    </row>
    <row r="13" spans="1:7" x14ac:dyDescent="0.3">
      <c r="C13" t="s">
        <v>16</v>
      </c>
      <c r="D13" s="18">
        <f>-'1.3 EAI'!F13+'1.3 EAI'!E13</f>
        <v>5</v>
      </c>
      <c r="E13" s="31"/>
    </row>
    <row r="14" spans="1:7" x14ac:dyDescent="0.3">
      <c r="C14" t="s">
        <v>6</v>
      </c>
      <c r="D14" s="18">
        <f>-'1.3 EAI'!F14+'1.3 EAI'!E14</f>
        <v>-1800</v>
      </c>
      <c r="E14" s="31"/>
    </row>
    <row r="15" spans="1:7" x14ac:dyDescent="0.3">
      <c r="C15" t="s">
        <v>126</v>
      </c>
      <c r="D15" s="18">
        <f>-D35</f>
        <v>-870.98760129721222</v>
      </c>
      <c r="E15" s="107" t="s">
        <v>19</v>
      </c>
    </row>
    <row r="16" spans="1:7" x14ac:dyDescent="0.3">
      <c r="C16" s="57"/>
      <c r="D16" s="18"/>
      <c r="E16" s="31"/>
    </row>
    <row r="17" spans="3:9" x14ac:dyDescent="0.3">
      <c r="C17" t="s">
        <v>13</v>
      </c>
      <c r="D17" s="18">
        <f>+D40</f>
        <v>4.3864618990987196</v>
      </c>
      <c r="E17" s="107"/>
      <c r="G17" s="25"/>
      <c r="H17" s="25"/>
    </row>
    <row r="18" spans="3:9" x14ac:dyDescent="0.3">
      <c r="C18" t="s">
        <v>57</v>
      </c>
      <c r="D18" s="18">
        <f>+F50</f>
        <v>343.75</v>
      </c>
      <c r="E18" s="107" t="s">
        <v>20</v>
      </c>
    </row>
    <row r="19" spans="3:9" x14ac:dyDescent="0.3">
      <c r="C19" s="8" t="s">
        <v>100</v>
      </c>
      <c r="D19" s="19">
        <f>D57</f>
        <v>697.45534181943401</v>
      </c>
      <c r="E19" s="107" t="s">
        <v>21</v>
      </c>
    </row>
    <row r="20" spans="3:9" x14ac:dyDescent="0.3">
      <c r="C20" t="s">
        <v>59</v>
      </c>
      <c r="D20" s="18">
        <f>SUM(D9:D19)</f>
        <v>1108.4162097639403</v>
      </c>
    </row>
    <row r="21" spans="3:9" x14ac:dyDescent="0.3">
      <c r="C21" s="57" t="s">
        <v>66</v>
      </c>
      <c r="D21" s="18"/>
    </row>
    <row r="22" spans="3:9" x14ac:dyDescent="0.3">
      <c r="D22" s="18"/>
    </row>
    <row r="23" spans="3:9" x14ac:dyDescent="0.3">
      <c r="D23" s="18"/>
    </row>
    <row r="24" spans="3:9" x14ac:dyDescent="0.3">
      <c r="D24" s="18"/>
    </row>
    <row r="25" spans="3:9" x14ac:dyDescent="0.3">
      <c r="C25" s="126" t="str">
        <f>+E6</f>
        <v>Note 1</v>
      </c>
      <c r="D25" s="18"/>
    </row>
    <row r="26" spans="3:9" x14ac:dyDescent="0.3">
      <c r="C26" t="s">
        <v>146</v>
      </c>
      <c r="D26" s="18">
        <v>2500</v>
      </c>
    </row>
    <row r="27" spans="3:9" x14ac:dyDescent="0.3">
      <c r="C27" t="s">
        <v>147</v>
      </c>
      <c r="D27" s="18">
        <v>0</v>
      </c>
      <c r="F27" t="s">
        <v>148</v>
      </c>
    </row>
    <row r="28" spans="3:9" ht="16.2" x14ac:dyDescent="0.45">
      <c r="C28" t="s">
        <v>154</v>
      </c>
      <c r="D28" s="105">
        <f>+G30</f>
        <v>680.81200734261961</v>
      </c>
      <c r="G28">
        <v>1</v>
      </c>
      <c r="H28">
        <v>2</v>
      </c>
      <c r="I28">
        <v>3</v>
      </c>
    </row>
    <row r="29" spans="3:9" x14ac:dyDescent="0.3">
      <c r="D29" s="18">
        <f>SUM(D26:D28)</f>
        <v>3180.8120073426198</v>
      </c>
      <c r="G29">
        <v>250</v>
      </c>
      <c r="H29">
        <v>250</v>
      </c>
      <c r="I29">
        <v>250</v>
      </c>
    </row>
    <row r="30" spans="3:9" x14ac:dyDescent="0.3">
      <c r="D30" s="18"/>
      <c r="F30" s="63">
        <v>0.05</v>
      </c>
      <c r="G30" s="104">
        <f>NPV(F30,G29:I29)</f>
        <v>680.81200734261961</v>
      </c>
    </row>
    <row r="31" spans="3:9" x14ac:dyDescent="0.3">
      <c r="D31" s="18"/>
    </row>
    <row r="32" spans="3:9" x14ac:dyDescent="0.3">
      <c r="C32" s="126" t="str">
        <f>E15</f>
        <v>Note 2</v>
      </c>
      <c r="D32" s="25"/>
    </row>
    <row r="33" spans="3:13" x14ac:dyDescent="0.3">
      <c r="C33" t="s">
        <v>60</v>
      </c>
      <c r="D33" s="25">
        <f>PV(5%/12,4*12,-80,0,1)</f>
        <v>3488.3107936809533</v>
      </c>
      <c r="E33" s="55" t="s">
        <v>177</v>
      </c>
    </row>
    <row r="34" spans="3:13" x14ac:dyDescent="0.3">
      <c r="C34" s="8" t="s">
        <v>61</v>
      </c>
      <c r="D34" s="53">
        <f>PV(5%/12,4*12,-0.215*465,0,1)</f>
        <v>4359.2983949781656</v>
      </c>
      <c r="E34" s="55" t="s">
        <v>178</v>
      </c>
    </row>
    <row r="35" spans="3:13" x14ac:dyDescent="0.3">
      <c r="C35" t="s">
        <v>62</v>
      </c>
      <c r="D35" s="25">
        <f>D34-D33</f>
        <v>870.98760129721222</v>
      </c>
    </row>
    <row r="36" spans="3:13" x14ac:dyDescent="0.3">
      <c r="D36" s="25"/>
    </row>
    <row r="37" spans="3:13" x14ac:dyDescent="0.3">
      <c r="C37" s="107"/>
      <c r="D37" s="25"/>
    </row>
    <row r="38" spans="3:13" x14ac:dyDescent="0.3">
      <c r="C38" s="128" t="s">
        <v>151</v>
      </c>
      <c r="D38" s="129">
        <f>+G43</f>
        <v>444.38646189909872</v>
      </c>
      <c r="E38" s="128"/>
      <c r="F38" s="128"/>
      <c r="G38" s="130">
        <v>45658</v>
      </c>
      <c r="H38" s="130">
        <v>46022</v>
      </c>
      <c r="I38" s="130">
        <v>46387</v>
      </c>
      <c r="J38" s="130">
        <v>46752</v>
      </c>
      <c r="K38" s="130">
        <v>47118</v>
      </c>
      <c r="L38" s="130">
        <v>47483</v>
      </c>
      <c r="M38" s="130">
        <v>47848</v>
      </c>
    </row>
    <row r="39" spans="3:13" ht="16.2" x14ac:dyDescent="0.45">
      <c r="C39" s="128" t="s">
        <v>152</v>
      </c>
      <c r="D39" s="131">
        <f>+G39</f>
        <v>440</v>
      </c>
      <c r="E39" s="128"/>
      <c r="F39" s="128"/>
      <c r="G39" s="128">
        <v>440</v>
      </c>
      <c r="H39" s="128"/>
      <c r="I39" s="128"/>
      <c r="J39" s="128"/>
      <c r="K39" s="128"/>
      <c r="L39" s="128"/>
      <c r="M39" s="128"/>
    </row>
    <row r="40" spans="3:13" x14ac:dyDescent="0.3">
      <c r="C40" s="128"/>
      <c r="D40" s="129">
        <f>D38-D39</f>
        <v>4.3864618990987196</v>
      </c>
      <c r="E40" s="128"/>
      <c r="F40" s="128" t="s">
        <v>149</v>
      </c>
      <c r="G40" s="128"/>
      <c r="H40" s="128">
        <v>40</v>
      </c>
      <c r="I40" s="128">
        <v>40</v>
      </c>
      <c r="J40" s="128">
        <v>40</v>
      </c>
      <c r="K40" s="128">
        <v>40</v>
      </c>
      <c r="L40" s="128">
        <v>40</v>
      </c>
      <c r="M40" s="128">
        <f>G39-SUM(H40:L40)</f>
        <v>240</v>
      </c>
    </row>
    <row r="41" spans="3:13" x14ac:dyDescent="0.3">
      <c r="C41" s="128"/>
      <c r="D41" s="129"/>
      <c r="E41" s="132">
        <v>5.2499999999999998E-2</v>
      </c>
      <c r="F41" s="128" t="s">
        <v>150</v>
      </c>
      <c r="G41" s="128"/>
      <c r="H41" s="133">
        <f>+G39*E41</f>
        <v>23.099999999999998</v>
      </c>
      <c r="I41" s="133">
        <f>+($G39-(SUM($H40:H40)))*$E41</f>
        <v>21</v>
      </c>
      <c r="J41" s="133">
        <f>+($G39-(SUM($H40:I40)))*$E41</f>
        <v>18.899999999999999</v>
      </c>
      <c r="K41" s="133">
        <f>+($G39-(SUM($H40:J40)))*$E41</f>
        <v>16.8</v>
      </c>
      <c r="L41" s="133">
        <f>+($G39-(SUM($H40:K40)))*$E41</f>
        <v>14.7</v>
      </c>
      <c r="M41" s="133">
        <f>+($G39-(SUM($H40:L40)))*$E41</f>
        <v>12.6</v>
      </c>
    </row>
    <row r="42" spans="3:13" x14ac:dyDescent="0.3">
      <c r="C42" s="128"/>
      <c r="D42" s="129"/>
      <c r="E42" s="128"/>
      <c r="F42" s="128"/>
      <c r="G42" s="134"/>
      <c r="H42" s="135">
        <f>SUM(H40:H41)</f>
        <v>63.099999999999994</v>
      </c>
      <c r="I42" s="135">
        <f t="shared" ref="I42:M42" si="0">SUM(I40:I41)</f>
        <v>61</v>
      </c>
      <c r="J42" s="135">
        <f t="shared" si="0"/>
        <v>58.9</v>
      </c>
      <c r="K42" s="135">
        <f t="shared" si="0"/>
        <v>56.8</v>
      </c>
      <c r="L42" s="135">
        <f t="shared" si="0"/>
        <v>54.7</v>
      </c>
      <c r="M42" s="135">
        <f t="shared" si="0"/>
        <v>252.6</v>
      </c>
    </row>
    <row r="43" spans="3:13" x14ac:dyDescent="0.3">
      <c r="C43" s="128"/>
      <c r="D43" s="129"/>
      <c r="E43" s="128"/>
      <c r="F43" s="132">
        <v>0.05</v>
      </c>
      <c r="G43" s="136">
        <f>NPV(F43,H42:M42)</f>
        <v>444.38646189909872</v>
      </c>
      <c r="H43" s="128"/>
      <c r="I43" s="128"/>
      <c r="J43" s="128"/>
      <c r="K43" s="128"/>
      <c r="L43" s="128"/>
      <c r="M43" s="128"/>
    </row>
    <row r="44" spans="3:13" x14ac:dyDescent="0.3">
      <c r="D44" s="25"/>
    </row>
    <row r="45" spans="3:13" x14ac:dyDescent="0.3">
      <c r="C45" s="126" t="str">
        <f>+E18</f>
        <v>Note 3</v>
      </c>
      <c r="D45" s="25"/>
    </row>
    <row r="46" spans="3:13" x14ac:dyDescent="0.3">
      <c r="C46" s="101" t="s">
        <v>141</v>
      </c>
      <c r="D46" s="25"/>
    </row>
    <row r="47" spans="3:13" x14ac:dyDescent="0.3">
      <c r="C47" s="101"/>
      <c r="D47" t="s">
        <v>143</v>
      </c>
      <c r="E47" s="2" t="s">
        <v>145</v>
      </c>
    </row>
    <row r="48" spans="3:13" x14ac:dyDescent="0.3">
      <c r="C48" t="s">
        <v>142</v>
      </c>
      <c r="D48" s="63">
        <v>0.45</v>
      </c>
      <c r="E48">
        <v>0</v>
      </c>
      <c r="F48">
        <f>+D48*E48</f>
        <v>0</v>
      </c>
    </row>
    <row r="49" spans="1:10" x14ac:dyDescent="0.3">
      <c r="C49" t="s">
        <v>144</v>
      </c>
      <c r="D49" s="13">
        <v>0.55000000000000004</v>
      </c>
      <c r="E49">
        <f>(500+750)/2</f>
        <v>625</v>
      </c>
      <c r="F49" s="102">
        <f>+D49*E49</f>
        <v>343.75</v>
      </c>
    </row>
    <row r="50" spans="1:10" x14ac:dyDescent="0.3">
      <c r="D50" s="25"/>
      <c r="F50" s="103">
        <f>SUM(F48:F49)</f>
        <v>343.75</v>
      </c>
    </row>
    <row r="51" spans="1:10" x14ac:dyDescent="0.3">
      <c r="D51" s="25"/>
      <c r="F51" s="103"/>
    </row>
    <row r="52" spans="1:10" x14ac:dyDescent="0.3">
      <c r="C52" s="126" t="s">
        <v>21</v>
      </c>
      <c r="D52" s="25"/>
      <c r="E52" s="94" t="s">
        <v>153</v>
      </c>
    </row>
    <row r="53" spans="1:10" x14ac:dyDescent="0.3">
      <c r="C53" t="s">
        <v>179</v>
      </c>
      <c r="D53" s="25">
        <f>D8</f>
        <v>445</v>
      </c>
    </row>
    <row r="54" spans="1:10" x14ac:dyDescent="0.3">
      <c r="C54" s="8" t="s">
        <v>180</v>
      </c>
      <c r="D54" s="53">
        <f>+D8-SUM(D11:D18)</f>
        <v>2769.8511393981134</v>
      </c>
      <c r="F54" s="25"/>
    </row>
    <row r="55" spans="1:10" x14ac:dyDescent="0.3">
      <c r="C55" t="s">
        <v>63</v>
      </c>
      <c r="D55" s="25">
        <f>D54-D53</f>
        <v>2324.8511393981134</v>
      </c>
    </row>
    <row r="56" spans="1:10" x14ac:dyDescent="0.3">
      <c r="C56" s="8" t="s">
        <v>64</v>
      </c>
      <c r="D56" s="108">
        <v>0.3</v>
      </c>
      <c r="E56" s="57" t="s">
        <v>65</v>
      </c>
    </row>
    <row r="57" spans="1:10" x14ac:dyDescent="0.3">
      <c r="C57" t="s">
        <v>23</v>
      </c>
      <c r="D57" s="25">
        <f>D55*D56</f>
        <v>697.45534181943401</v>
      </c>
    </row>
    <row r="60" spans="1:10" ht="15" thickBot="1" x14ac:dyDescent="0.35"/>
    <row r="61" spans="1:10" x14ac:dyDescent="0.3">
      <c r="A61" s="127"/>
      <c r="B61" s="65" t="s">
        <v>181</v>
      </c>
      <c r="C61" s="66"/>
      <c r="D61" s="66"/>
      <c r="E61" s="42"/>
    </row>
    <row r="62" spans="1:10" ht="15" thickBot="1" x14ac:dyDescent="0.35">
      <c r="A62" s="127"/>
      <c r="C62" s="54"/>
      <c r="D62" s="18"/>
      <c r="E62" s="18"/>
    </row>
    <row r="63" spans="1:10" x14ac:dyDescent="0.3">
      <c r="A63" s="127"/>
      <c r="B63" s="73" t="s">
        <v>155</v>
      </c>
      <c r="C63" s="66"/>
      <c r="D63" s="66"/>
      <c r="E63" s="66"/>
      <c r="F63" s="66"/>
      <c r="G63" s="66"/>
      <c r="H63" s="121"/>
      <c r="I63" s="122"/>
      <c r="J63" s="49"/>
    </row>
    <row r="64" spans="1:10" x14ac:dyDescent="0.3">
      <c r="A64" s="127"/>
      <c r="B64" s="34"/>
      <c r="F64">
        <v>0</v>
      </c>
      <c r="G64">
        <v>1</v>
      </c>
      <c r="H64">
        <v>2</v>
      </c>
      <c r="I64" s="35">
        <v>3</v>
      </c>
      <c r="J64" s="49"/>
    </row>
    <row r="65" spans="1:10" x14ac:dyDescent="0.3">
      <c r="A65" s="127"/>
      <c r="B65" s="34"/>
      <c r="G65">
        <v>250</v>
      </c>
      <c r="H65">
        <v>250</v>
      </c>
      <c r="I65" s="35">
        <v>250</v>
      </c>
      <c r="J65" s="49"/>
    </row>
    <row r="66" spans="1:10" x14ac:dyDescent="0.3">
      <c r="A66" s="127"/>
      <c r="B66" s="34"/>
      <c r="F66" s="63">
        <v>0.05</v>
      </c>
      <c r="G66" s="103">
        <f>NPV(F66,G65:I65)</f>
        <v>680.81200734261961</v>
      </c>
      <c r="I66" s="35"/>
      <c r="J66" s="49"/>
    </row>
    <row r="67" spans="1:10" x14ac:dyDescent="0.3">
      <c r="A67" s="127"/>
      <c r="B67" s="34" t="s">
        <v>182</v>
      </c>
      <c r="D67">
        <v>250</v>
      </c>
      <c r="E67" s="57" t="s">
        <v>160</v>
      </c>
      <c r="G67" s="49"/>
      <c r="H67" s="49"/>
      <c r="I67" s="123"/>
      <c r="J67" s="49"/>
    </row>
    <row r="68" spans="1:10" x14ac:dyDescent="0.3">
      <c r="A68" s="127"/>
      <c r="B68" s="34" t="s">
        <v>184</v>
      </c>
      <c r="D68">
        <v>250</v>
      </c>
      <c r="G68" s="49"/>
      <c r="H68" s="49"/>
      <c r="I68" s="123"/>
      <c r="J68" s="49"/>
    </row>
    <row r="69" spans="1:10" x14ac:dyDescent="0.3">
      <c r="A69" s="127"/>
      <c r="B69" s="34" t="s">
        <v>183</v>
      </c>
      <c r="D69" s="104">
        <f>NPV(F66,I65)</f>
        <v>238.09523809523807</v>
      </c>
      <c r="H69" s="49"/>
      <c r="I69" s="123"/>
      <c r="J69" s="49"/>
    </row>
    <row r="70" spans="1:10" ht="15" thickBot="1" x14ac:dyDescent="0.35">
      <c r="A70" s="127"/>
      <c r="B70" s="68" t="s">
        <v>159</v>
      </c>
      <c r="C70" s="70"/>
      <c r="D70" s="39">
        <f>G66-SUM(D67:D69)</f>
        <v>-57.283230752618465</v>
      </c>
      <c r="E70" s="70"/>
      <c r="F70" s="70"/>
      <c r="G70" s="70"/>
      <c r="H70" s="124"/>
      <c r="I70" s="125"/>
      <c r="J70" s="49"/>
    </row>
    <row r="71" spans="1:10" x14ac:dyDescent="0.3">
      <c r="B71"/>
      <c r="H71" s="49"/>
      <c r="I71" s="49"/>
      <c r="J71" s="49"/>
    </row>
  </sheetData>
  <pageMargins left="0.7" right="0.7" top="0.75" bottom="0.75" header="0.3" footer="0.3"/>
  <pageSetup scale="57" fitToHeight="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628CD-82AD-478A-8747-5AC8EDA153D0}">
  <sheetPr>
    <pageSetUpPr fitToPage="1"/>
  </sheetPr>
  <dimension ref="A1:I39"/>
  <sheetViews>
    <sheetView showGridLines="0" workbookViewId="0">
      <selection activeCell="H12" sqref="H12"/>
    </sheetView>
  </sheetViews>
  <sheetFormatPr baseColWidth="10" defaultColWidth="10.88671875" defaultRowHeight="14.4" x14ac:dyDescent="0.3"/>
  <cols>
    <col min="2" max="2" width="3" customWidth="1"/>
    <col min="3" max="3" width="40.44140625" customWidth="1"/>
    <col min="4" max="6" width="15.44140625" customWidth="1"/>
    <col min="8" max="8" width="15.21875" customWidth="1"/>
  </cols>
  <sheetData>
    <row r="1" spans="1:9" ht="18" x14ac:dyDescent="0.35">
      <c r="A1" s="51" t="s">
        <v>54</v>
      </c>
      <c r="B1" s="52"/>
    </row>
    <row r="3" spans="1:9" x14ac:dyDescent="0.3">
      <c r="B3" s="52" t="s">
        <v>87</v>
      </c>
    </row>
    <row r="4" spans="1:9" x14ac:dyDescent="0.3">
      <c r="B4" s="52"/>
      <c r="C4" s="57" t="s">
        <v>88</v>
      </c>
    </row>
    <row r="5" spans="1:9" x14ac:dyDescent="0.3">
      <c r="B5" s="52"/>
      <c r="C5" t="s">
        <v>73</v>
      </c>
    </row>
    <row r="6" spans="1:9" x14ac:dyDescent="0.3">
      <c r="B6" s="52"/>
      <c r="C6" t="s">
        <v>74</v>
      </c>
      <c r="D6" s="18">
        <f>17%*'1.2 PI'!D72</f>
        <v>17.34</v>
      </c>
      <c r="E6" s="57"/>
    </row>
    <row r="7" spans="1:9" x14ac:dyDescent="0.3">
      <c r="B7" s="52"/>
      <c r="C7" s="8" t="s">
        <v>75</v>
      </c>
      <c r="D7" s="19">
        <f>-H18</f>
        <v>-21.604166666666668</v>
      </c>
      <c r="E7" t="s">
        <v>18</v>
      </c>
    </row>
    <row r="8" spans="1:9" x14ac:dyDescent="0.3">
      <c r="B8" s="52"/>
      <c r="C8" s="31" t="s">
        <v>89</v>
      </c>
      <c r="D8" s="59">
        <f>SUM(D6:D7)</f>
        <v>-4.264166666666668</v>
      </c>
    </row>
    <row r="9" spans="1:9" x14ac:dyDescent="0.3">
      <c r="B9" s="52"/>
    </row>
    <row r="10" spans="1:9" x14ac:dyDescent="0.3">
      <c r="B10" s="52"/>
      <c r="C10" t="str">
        <f>E7</f>
        <v>Note 1</v>
      </c>
    </row>
    <row r="11" spans="1:9" ht="43.2" x14ac:dyDescent="0.3">
      <c r="B11" s="52"/>
      <c r="D11" s="61" t="s">
        <v>11</v>
      </c>
      <c r="E11" s="61" t="s">
        <v>10</v>
      </c>
      <c r="F11" s="60" t="s">
        <v>69</v>
      </c>
      <c r="G11" s="60" t="s">
        <v>161</v>
      </c>
      <c r="H11" s="79" t="s">
        <v>191</v>
      </c>
      <c r="I11" s="60"/>
    </row>
    <row r="12" spans="1:9" x14ac:dyDescent="0.3">
      <c r="B12" s="52"/>
      <c r="C12" t="s">
        <v>25</v>
      </c>
      <c r="D12">
        <f>+'1.2 PI'!H50</f>
        <v>8</v>
      </c>
      <c r="E12">
        <f>+'1.2 PI'!F50+'1.2 PI'!F51</f>
        <v>9</v>
      </c>
      <c r="F12">
        <f>D12-E12</f>
        <v>-1</v>
      </c>
      <c r="G12">
        <v>3</v>
      </c>
      <c r="H12" s="103">
        <f>F12/G12</f>
        <v>-0.33333333333333331</v>
      </c>
    </row>
    <row r="13" spans="1:9" x14ac:dyDescent="0.3">
      <c r="B13" s="52"/>
      <c r="C13" t="s">
        <v>26</v>
      </c>
      <c r="D13">
        <f>+'1.2 PI'!H52</f>
        <v>6</v>
      </c>
      <c r="E13">
        <f>+'1.2 PI'!F52+'1.2 PI'!F53</f>
        <v>8</v>
      </c>
      <c r="F13">
        <f>D13-E13</f>
        <v>-2</v>
      </c>
      <c r="G13">
        <v>8</v>
      </c>
      <c r="H13" s="103">
        <f>F13/G13</f>
        <v>-0.25</v>
      </c>
    </row>
    <row r="14" spans="1:9" x14ac:dyDescent="0.3">
      <c r="B14" s="52"/>
      <c r="C14" t="s">
        <v>30</v>
      </c>
      <c r="D14">
        <f>+'1.2 PI'!H61</f>
        <v>215</v>
      </c>
      <c r="E14">
        <f>+'1.2 PI'!F61+'1.2 PI'!F62</f>
        <v>72</v>
      </c>
      <c r="F14">
        <f t="shared" ref="F14:F15" si="0">D14-E14</f>
        <v>143</v>
      </c>
      <c r="G14">
        <v>3</v>
      </c>
      <c r="H14" s="103">
        <f t="shared" ref="H14:H15" si="1">F14/G14</f>
        <v>47.666666666666664</v>
      </c>
    </row>
    <row r="15" spans="1:9" x14ac:dyDescent="0.3">
      <c r="B15" s="52"/>
      <c r="C15" s="8" t="s">
        <v>29</v>
      </c>
      <c r="D15" s="8">
        <f>+'1.2 PI'!H63</f>
        <v>560</v>
      </c>
      <c r="E15" s="8">
        <f>+'1.2 PI'!F63+'1.2 PI'!F64</f>
        <v>240</v>
      </c>
      <c r="F15" s="8">
        <f t="shared" si="0"/>
        <v>320</v>
      </c>
      <c r="G15" s="8">
        <v>4</v>
      </c>
      <c r="H15" s="106">
        <f t="shared" si="1"/>
        <v>80</v>
      </c>
    </row>
    <row r="16" spans="1:9" x14ac:dyDescent="0.3">
      <c r="B16" s="52"/>
      <c r="G16" s="7" t="s">
        <v>85</v>
      </c>
      <c r="H16" s="18">
        <f>SUM(H12:H15)</f>
        <v>127.08333333333333</v>
      </c>
    </row>
    <row r="17" spans="2:9" x14ac:dyDescent="0.3">
      <c r="B17" s="52"/>
      <c r="G17" s="7" t="s">
        <v>70</v>
      </c>
      <c r="H17" s="63">
        <v>0.17</v>
      </c>
    </row>
    <row r="18" spans="2:9" x14ac:dyDescent="0.3">
      <c r="B18" s="52"/>
      <c r="G18" s="64" t="s">
        <v>71</v>
      </c>
      <c r="H18" s="59">
        <f>H16*H17</f>
        <v>21.604166666666668</v>
      </c>
      <c r="I18" s="57" t="s">
        <v>72</v>
      </c>
    </row>
    <row r="19" spans="2:9" x14ac:dyDescent="0.3">
      <c r="B19" s="52"/>
    </row>
    <row r="20" spans="2:9" x14ac:dyDescent="0.3">
      <c r="B20" s="52"/>
      <c r="C20" t="s">
        <v>76</v>
      </c>
      <c r="D20" s="18">
        <v>400</v>
      </c>
    </row>
    <row r="21" spans="2:9" x14ac:dyDescent="0.3">
      <c r="B21" s="52"/>
      <c r="C21" t="s">
        <v>79</v>
      </c>
      <c r="D21" s="18"/>
    </row>
    <row r="22" spans="2:9" x14ac:dyDescent="0.3">
      <c r="B22" s="52"/>
      <c r="C22" t="s">
        <v>77</v>
      </c>
      <c r="D22" s="18">
        <f>'1.2 PI'!F18*17%</f>
        <v>210.8</v>
      </c>
      <c r="E22" s="57" t="s">
        <v>122</v>
      </c>
    </row>
    <row r="23" spans="2:9" x14ac:dyDescent="0.3">
      <c r="B23" s="52"/>
      <c r="C23" s="8" t="s">
        <v>78</v>
      </c>
      <c r="D23" s="19">
        <f>+'1.2 PI'!E31*17%</f>
        <v>69.53</v>
      </c>
      <c r="E23" s="57" t="s">
        <v>122</v>
      </c>
    </row>
    <row r="24" spans="2:9" x14ac:dyDescent="0.3">
      <c r="B24" s="52"/>
      <c r="C24" t="s">
        <v>80</v>
      </c>
      <c r="D24" s="18">
        <f>D20-(D22-D23)</f>
        <v>258.73</v>
      </c>
      <c r="E24" s="57" t="s">
        <v>165</v>
      </c>
    </row>
    <row r="25" spans="2:9" x14ac:dyDescent="0.3">
      <c r="B25" s="52"/>
    </row>
    <row r="26" spans="2:9" x14ac:dyDescent="0.3">
      <c r="B26" s="52"/>
    </row>
    <row r="27" spans="2:9" x14ac:dyDescent="0.3">
      <c r="B27" s="52"/>
    </row>
    <row r="28" spans="2:9" x14ac:dyDescent="0.3">
      <c r="B28" s="52"/>
      <c r="C28" s="57" t="s">
        <v>185</v>
      </c>
    </row>
    <row r="29" spans="2:9" x14ac:dyDescent="0.3">
      <c r="B29" s="52"/>
      <c r="C29" t="s">
        <v>76</v>
      </c>
      <c r="D29" s="18">
        <f>D20</f>
        <v>400</v>
      </c>
    </row>
    <row r="30" spans="2:9" x14ac:dyDescent="0.3">
      <c r="B30" s="52"/>
      <c r="C30" t="s">
        <v>73</v>
      </c>
      <c r="D30" s="18">
        <f>D8</f>
        <v>-4.264166666666668</v>
      </c>
    </row>
    <row r="31" spans="2:9" x14ac:dyDescent="0.3">
      <c r="B31" s="52"/>
      <c r="C31" s="8" t="s">
        <v>82</v>
      </c>
      <c r="D31" s="19">
        <f>--'1.2 PI'!D73*0.17</f>
        <v>-8.5</v>
      </c>
    </row>
    <row r="32" spans="2:9" x14ac:dyDescent="0.3">
      <c r="B32" s="52"/>
      <c r="C32" s="31" t="s">
        <v>81</v>
      </c>
      <c r="D32" s="59">
        <f>SUM(D29:D31)</f>
        <v>387.23583333333335</v>
      </c>
    </row>
    <row r="33" spans="2:5" x14ac:dyDescent="0.3">
      <c r="B33" s="52"/>
    </row>
    <row r="34" spans="2:5" ht="15" thickBot="1" x14ac:dyDescent="0.35"/>
    <row r="35" spans="2:5" x14ac:dyDescent="0.3">
      <c r="B35" s="65" t="s">
        <v>181</v>
      </c>
      <c r="C35" s="66"/>
      <c r="D35" s="66"/>
      <c r="E35" s="42"/>
    </row>
    <row r="36" spans="2:5" x14ac:dyDescent="0.3">
      <c r="B36" s="34"/>
      <c r="C36" s="67" t="s">
        <v>67</v>
      </c>
      <c r="E36" s="35"/>
    </row>
    <row r="37" spans="2:5" x14ac:dyDescent="0.3">
      <c r="B37" s="34"/>
      <c r="C37" t="s">
        <v>83</v>
      </c>
      <c r="D37" s="25">
        <f>-D31</f>
        <v>8.5</v>
      </c>
      <c r="E37" s="35"/>
    </row>
    <row r="38" spans="2:5" x14ac:dyDescent="0.3">
      <c r="B38" s="34"/>
      <c r="C38" s="54" t="s">
        <v>73</v>
      </c>
      <c r="D38" s="25">
        <f>-D8</f>
        <v>4.264166666666668</v>
      </c>
      <c r="E38" s="37"/>
    </row>
    <row r="39" spans="2:5" ht="15" thickBot="1" x14ac:dyDescent="0.35">
      <c r="B39" s="68"/>
      <c r="C39" s="69" t="s">
        <v>84</v>
      </c>
      <c r="D39" s="70"/>
      <c r="E39" s="71">
        <f>SUM(D37:D38)</f>
        <v>12.764166666666668</v>
      </c>
    </row>
  </sheetData>
  <pageMargins left="0.7" right="0.7" top="0.75" bottom="0.75" header="0.3" footer="0.3"/>
  <pageSetup scale="68" fitToHeight="0"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B88B-CA9B-47FC-BD28-25F74A1DF180}">
  <sheetPr>
    <pageSetUpPr fitToPage="1"/>
  </sheetPr>
  <dimension ref="A1:L108"/>
  <sheetViews>
    <sheetView showGridLines="0" workbookViewId="0">
      <selection activeCell="G5" sqref="G5:H5"/>
    </sheetView>
  </sheetViews>
  <sheetFormatPr baseColWidth="10" defaultColWidth="10.88671875" defaultRowHeight="14.4" x14ac:dyDescent="0.3"/>
  <cols>
    <col min="1" max="1" width="1.44140625" customWidth="1"/>
    <col min="2" max="2" width="2.21875" style="31" customWidth="1"/>
    <col min="3" max="3" width="46.77734375" customWidth="1"/>
    <col min="4" max="6" width="11.21875" customWidth="1"/>
    <col min="7" max="8" width="8" customWidth="1"/>
    <col min="9" max="11" width="7.44140625" style="49" customWidth="1"/>
    <col min="12" max="12" width="13.21875" customWidth="1"/>
  </cols>
  <sheetData>
    <row r="1" spans="1:12" ht="18" x14ac:dyDescent="0.35">
      <c r="A1" s="51" t="s">
        <v>54</v>
      </c>
      <c r="B1" s="52"/>
      <c r="I1"/>
      <c r="J1"/>
      <c r="K1"/>
    </row>
    <row r="2" spans="1:12" x14ac:dyDescent="0.3">
      <c r="A2" t="s">
        <v>55</v>
      </c>
      <c r="B2" s="52"/>
      <c r="I2"/>
      <c r="J2"/>
      <c r="K2"/>
    </row>
    <row r="3" spans="1:12" x14ac:dyDescent="0.3">
      <c r="A3" t="s">
        <v>56</v>
      </c>
      <c r="B3" s="52"/>
      <c r="G3" s="25"/>
      <c r="I3"/>
      <c r="J3"/>
      <c r="K3"/>
    </row>
    <row r="4" spans="1:12" ht="7.5" customHeight="1" thickBot="1" x14ac:dyDescent="0.35"/>
    <row r="5" spans="1:12" s="31" customFormat="1" ht="37.950000000000003" customHeight="1" thickBot="1" x14ac:dyDescent="0.35">
      <c r="F5" s="72"/>
      <c r="G5" s="150" t="s">
        <v>194</v>
      </c>
      <c r="H5" s="151"/>
      <c r="I5" s="148" t="s">
        <v>52</v>
      </c>
      <c r="J5" s="149"/>
      <c r="K5" s="149"/>
      <c r="L5" s="89" t="s">
        <v>194</v>
      </c>
    </row>
    <row r="6" spans="1:12" s="33" customFormat="1" ht="29.4" thickBot="1" x14ac:dyDescent="0.35">
      <c r="B6" s="32"/>
      <c r="C6" s="86"/>
      <c r="D6" s="87" t="s">
        <v>50</v>
      </c>
      <c r="E6" s="88" t="s">
        <v>90</v>
      </c>
      <c r="F6" s="74" t="s">
        <v>92</v>
      </c>
      <c r="G6" s="75" t="s">
        <v>91</v>
      </c>
      <c r="H6" s="84" t="s">
        <v>51</v>
      </c>
      <c r="I6" s="115" t="s">
        <v>19</v>
      </c>
      <c r="J6" s="116" t="s">
        <v>20</v>
      </c>
      <c r="K6" s="116" t="s">
        <v>21</v>
      </c>
      <c r="L6" s="85" t="s">
        <v>53</v>
      </c>
    </row>
    <row r="7" spans="1:12" x14ac:dyDescent="0.3">
      <c r="B7" s="45" t="s">
        <v>38</v>
      </c>
      <c r="C7" s="42"/>
      <c r="D7" s="34"/>
      <c r="F7" s="35"/>
      <c r="G7" s="73"/>
      <c r="H7" s="42"/>
      <c r="I7" s="76"/>
      <c r="J7" s="77"/>
      <c r="K7" s="77"/>
      <c r="L7" s="80"/>
    </row>
    <row r="8" spans="1:12" x14ac:dyDescent="0.3">
      <c r="B8" s="43"/>
      <c r="C8" s="35" t="s">
        <v>1</v>
      </c>
      <c r="D8" s="36">
        <v>1511</v>
      </c>
      <c r="E8" s="20"/>
      <c r="F8" s="37"/>
      <c r="G8" s="36">
        <f>D8+E8</f>
        <v>1511</v>
      </c>
      <c r="H8" s="37">
        <v>488.5</v>
      </c>
      <c r="I8" s="76"/>
      <c r="J8" s="77"/>
      <c r="K8" s="77"/>
      <c r="L8" s="81">
        <f>G8+H8+SUM(I8:K8)</f>
        <v>1999.5</v>
      </c>
    </row>
    <row r="9" spans="1:12" x14ac:dyDescent="0.3">
      <c r="B9" s="43"/>
      <c r="C9" s="35" t="s">
        <v>14</v>
      </c>
      <c r="D9" s="36">
        <v>700</v>
      </c>
      <c r="E9" s="20"/>
      <c r="F9" s="37"/>
      <c r="G9" s="36">
        <f t="shared" ref="G9:G41" si="0">D9+E9</f>
        <v>700</v>
      </c>
      <c r="H9" s="35"/>
      <c r="I9" s="76"/>
      <c r="J9" s="77"/>
      <c r="K9" s="77"/>
      <c r="L9" s="47">
        <f t="shared" ref="L9:L42" si="1">G9+H9+SUM(I9:K9)</f>
        <v>700</v>
      </c>
    </row>
    <row r="10" spans="1:12" x14ac:dyDescent="0.3">
      <c r="B10" s="43"/>
      <c r="C10" s="35" t="s">
        <v>33</v>
      </c>
      <c r="D10" s="36">
        <v>9</v>
      </c>
      <c r="E10" s="20"/>
      <c r="F10" s="37"/>
      <c r="G10" s="36">
        <f t="shared" si="0"/>
        <v>9</v>
      </c>
      <c r="H10" s="35"/>
      <c r="I10" s="76"/>
      <c r="J10" s="77"/>
      <c r="K10" s="77"/>
      <c r="L10" s="47">
        <f t="shared" si="1"/>
        <v>9</v>
      </c>
    </row>
    <row r="11" spans="1:12" x14ac:dyDescent="0.3">
      <c r="B11" s="43"/>
      <c r="C11" s="35" t="s">
        <v>47</v>
      </c>
      <c r="D11" s="36">
        <v>1291</v>
      </c>
      <c r="E11" s="20"/>
      <c r="F11" s="37"/>
      <c r="G11" s="36">
        <f t="shared" si="0"/>
        <v>1291</v>
      </c>
      <c r="H11" s="37">
        <v>215</v>
      </c>
      <c r="I11" s="110"/>
      <c r="J11" s="77"/>
      <c r="K11" s="77"/>
      <c r="L11" s="47">
        <f t="shared" si="1"/>
        <v>1506</v>
      </c>
    </row>
    <row r="12" spans="1:12" x14ac:dyDescent="0.3">
      <c r="B12" s="43"/>
      <c r="C12" s="35" t="s">
        <v>49</v>
      </c>
      <c r="D12" s="36">
        <v>15</v>
      </c>
      <c r="E12" s="20"/>
      <c r="F12" s="37"/>
      <c r="G12" s="36">
        <f t="shared" si="0"/>
        <v>15</v>
      </c>
      <c r="H12" s="37"/>
      <c r="I12" s="110"/>
      <c r="J12" s="77"/>
      <c r="K12" s="77">
        <v>-15</v>
      </c>
      <c r="L12" s="47">
        <f t="shared" si="1"/>
        <v>0</v>
      </c>
    </row>
    <row r="13" spans="1:12" x14ac:dyDescent="0.3">
      <c r="B13" s="43"/>
      <c r="C13" s="35" t="s">
        <v>2</v>
      </c>
      <c r="D13" s="36">
        <v>300</v>
      </c>
      <c r="E13" s="20"/>
      <c r="F13" s="37"/>
      <c r="G13" s="36">
        <f t="shared" si="0"/>
        <v>300</v>
      </c>
      <c r="H13" s="35"/>
      <c r="I13" s="110"/>
      <c r="J13" s="77"/>
      <c r="K13" s="77"/>
      <c r="L13" s="47">
        <f t="shared" si="1"/>
        <v>300</v>
      </c>
    </row>
    <row r="14" spans="1:12" x14ac:dyDescent="0.3">
      <c r="B14" s="43"/>
      <c r="C14" s="35" t="s">
        <v>3</v>
      </c>
      <c r="D14" s="36">
        <v>100</v>
      </c>
      <c r="E14" s="20"/>
      <c r="F14" s="37"/>
      <c r="G14" s="36">
        <f t="shared" si="0"/>
        <v>100</v>
      </c>
      <c r="H14" s="37">
        <v>12</v>
      </c>
      <c r="I14" s="110">
        <f>D59</f>
        <v>5</v>
      </c>
      <c r="J14" s="77">
        <f>-D78</f>
        <v>-3.3333333333333335</v>
      </c>
      <c r="K14" s="77"/>
      <c r="L14" s="47">
        <f t="shared" si="1"/>
        <v>113.66666666666667</v>
      </c>
    </row>
    <row r="15" spans="1:12" x14ac:dyDescent="0.3">
      <c r="B15" s="43"/>
      <c r="C15" s="35"/>
      <c r="D15" s="36"/>
      <c r="E15" s="20"/>
      <c r="F15" s="37"/>
      <c r="G15" s="36"/>
      <c r="H15" s="37"/>
      <c r="I15" s="110"/>
      <c r="J15" s="77"/>
      <c r="K15" s="77"/>
      <c r="L15" s="47"/>
    </row>
    <row r="16" spans="1:12" x14ac:dyDescent="0.3">
      <c r="B16" s="46" t="s">
        <v>40</v>
      </c>
      <c r="C16" s="35"/>
      <c r="D16" s="36"/>
      <c r="E16" s="20"/>
      <c r="F16" s="37"/>
      <c r="G16" s="36"/>
      <c r="H16" s="37"/>
      <c r="I16" s="110"/>
      <c r="J16" s="77"/>
      <c r="K16" s="77"/>
      <c r="L16" s="47"/>
    </row>
    <row r="17" spans="2:12" x14ac:dyDescent="0.3">
      <c r="B17" s="43"/>
      <c r="C17" s="35" t="s">
        <v>17</v>
      </c>
      <c r="D17" s="36"/>
      <c r="E17" s="20"/>
      <c r="F17" s="37"/>
      <c r="G17" s="36"/>
      <c r="H17" s="37"/>
      <c r="I17" s="110">
        <f>D60</f>
        <v>2</v>
      </c>
      <c r="J17" s="83">
        <f>-I17</f>
        <v>-2</v>
      </c>
      <c r="K17" s="77"/>
      <c r="L17" s="47">
        <f t="shared" si="1"/>
        <v>0</v>
      </c>
    </row>
    <row r="18" spans="2:12" x14ac:dyDescent="0.3">
      <c r="B18" s="43"/>
      <c r="C18" s="35" t="s">
        <v>43</v>
      </c>
      <c r="D18" s="36">
        <v>833</v>
      </c>
      <c r="E18" s="20"/>
      <c r="F18" s="37"/>
      <c r="G18" s="36">
        <f t="shared" si="0"/>
        <v>833</v>
      </c>
      <c r="H18" s="37"/>
      <c r="I18" s="110"/>
      <c r="J18" s="77"/>
      <c r="K18" s="77"/>
      <c r="L18" s="47">
        <f t="shared" si="1"/>
        <v>833</v>
      </c>
    </row>
    <row r="19" spans="2:12" x14ac:dyDescent="0.3">
      <c r="B19" s="43"/>
      <c r="C19" s="35" t="s">
        <v>138</v>
      </c>
      <c r="D19" s="36"/>
      <c r="E19" s="20"/>
      <c r="F19" s="37"/>
      <c r="G19" s="36">
        <f t="shared" si="0"/>
        <v>0</v>
      </c>
      <c r="H19" s="37">
        <v>18</v>
      </c>
      <c r="I19" s="110">
        <v>-5</v>
      </c>
      <c r="J19" s="77">
        <f>-H82</f>
        <v>2.5</v>
      </c>
      <c r="K19" s="77"/>
      <c r="L19" s="47">
        <f t="shared" si="1"/>
        <v>15.5</v>
      </c>
    </row>
    <row r="20" spans="2:12" x14ac:dyDescent="0.3">
      <c r="B20" s="43"/>
      <c r="C20" s="35" t="s">
        <v>6</v>
      </c>
      <c r="D20" s="36">
        <v>2100</v>
      </c>
      <c r="E20" s="20"/>
      <c r="F20" s="37"/>
      <c r="G20" s="36">
        <f t="shared" si="0"/>
        <v>2100</v>
      </c>
      <c r="H20" s="37">
        <v>500</v>
      </c>
      <c r="I20" s="110">
        <f>D61+D62</f>
        <v>2670.9876012972122</v>
      </c>
      <c r="J20" s="77">
        <f>-H83-H84-F89</f>
        <v>-707.74690032430306</v>
      </c>
      <c r="K20" s="77"/>
      <c r="L20" s="47">
        <f t="shared" si="1"/>
        <v>4563.2407009729086</v>
      </c>
    </row>
    <row r="21" spans="2:12" x14ac:dyDescent="0.3">
      <c r="B21" s="43"/>
      <c r="C21" s="35" t="s">
        <v>14</v>
      </c>
      <c r="D21" s="36">
        <v>2900</v>
      </c>
      <c r="E21" s="20"/>
      <c r="F21" s="113"/>
      <c r="G21" s="36">
        <f t="shared" si="0"/>
        <v>2900</v>
      </c>
      <c r="H21" s="37"/>
      <c r="I21" s="110">
        <f>-E66</f>
        <v>-3180.8120073426198</v>
      </c>
      <c r="J21" s="77"/>
      <c r="K21" s="77"/>
      <c r="L21" s="47">
        <f t="shared" si="1"/>
        <v>-280.81200734261984</v>
      </c>
    </row>
    <row r="22" spans="2:12" x14ac:dyDescent="0.3">
      <c r="B22" s="43"/>
      <c r="C22" s="35" t="s">
        <v>59</v>
      </c>
      <c r="D22" s="36"/>
      <c r="E22" s="20"/>
      <c r="G22" s="36">
        <f t="shared" si="0"/>
        <v>0</v>
      </c>
      <c r="H22" s="37"/>
      <c r="I22" s="110">
        <f>+D63</f>
        <v>1108.4162097639403</v>
      </c>
      <c r="J22" s="77"/>
      <c r="K22" s="77"/>
      <c r="L22" s="47">
        <f t="shared" si="1"/>
        <v>1108.4162097639403</v>
      </c>
    </row>
    <row r="23" spans="2:12" x14ac:dyDescent="0.3">
      <c r="B23" s="43"/>
      <c r="C23" s="35"/>
      <c r="D23" s="36"/>
      <c r="E23" s="20"/>
      <c r="F23" s="37"/>
      <c r="G23" s="36"/>
      <c r="H23" s="37"/>
      <c r="I23" s="110"/>
      <c r="J23" s="77"/>
      <c r="K23" s="77"/>
      <c r="L23" s="47"/>
    </row>
    <row r="24" spans="2:12" x14ac:dyDescent="0.3">
      <c r="B24" s="46" t="s">
        <v>39</v>
      </c>
      <c r="C24" s="35"/>
      <c r="D24" s="36"/>
      <c r="E24" s="20"/>
      <c r="F24" s="37"/>
      <c r="G24" s="36"/>
      <c r="H24" s="37"/>
      <c r="I24" s="110"/>
      <c r="J24" s="77"/>
      <c r="K24" s="77"/>
      <c r="L24" s="47"/>
    </row>
    <row r="25" spans="2:12" x14ac:dyDescent="0.3">
      <c r="B25" s="43"/>
      <c r="C25" s="35" t="s">
        <v>4</v>
      </c>
      <c r="D25" s="36">
        <v>75</v>
      </c>
      <c r="E25" s="20"/>
      <c r="F25" s="37"/>
      <c r="G25" s="36">
        <f t="shared" si="0"/>
        <v>75</v>
      </c>
      <c r="H25" s="37">
        <v>355</v>
      </c>
      <c r="I25" s="110"/>
      <c r="J25" s="77"/>
      <c r="K25" s="77"/>
      <c r="L25" s="47">
        <f t="shared" si="1"/>
        <v>430</v>
      </c>
    </row>
    <row r="26" spans="2:12" x14ac:dyDescent="0.3">
      <c r="B26" s="43"/>
      <c r="C26" s="35" t="s">
        <v>12</v>
      </c>
      <c r="D26" s="36">
        <v>215</v>
      </c>
      <c r="E26" s="20"/>
      <c r="F26" s="37"/>
      <c r="G26" s="36">
        <f t="shared" si="0"/>
        <v>215</v>
      </c>
      <c r="H26" s="37">
        <v>135</v>
      </c>
      <c r="I26" s="110"/>
      <c r="J26" s="77"/>
      <c r="K26" s="77"/>
      <c r="L26" s="47">
        <f t="shared" si="1"/>
        <v>350</v>
      </c>
    </row>
    <row r="27" spans="2:12" x14ac:dyDescent="0.3">
      <c r="B27" s="43"/>
      <c r="C27" s="35" t="s">
        <v>48</v>
      </c>
      <c r="D27" s="36"/>
      <c r="E27" s="20"/>
      <c r="F27" s="37"/>
      <c r="G27" s="36">
        <f t="shared" si="0"/>
        <v>0</v>
      </c>
      <c r="H27" s="37">
        <v>15</v>
      </c>
      <c r="I27" s="110"/>
      <c r="J27" s="77"/>
      <c r="K27" s="77">
        <v>-15</v>
      </c>
      <c r="L27" s="47">
        <f t="shared" si="1"/>
        <v>0</v>
      </c>
    </row>
    <row r="28" spans="2:12" x14ac:dyDescent="0.3">
      <c r="B28" s="43"/>
      <c r="C28" s="35" t="s">
        <v>57</v>
      </c>
      <c r="D28" s="36"/>
      <c r="E28" s="20"/>
      <c r="F28" s="37"/>
      <c r="G28" s="36">
        <f t="shared" si="0"/>
        <v>0</v>
      </c>
      <c r="H28" s="37"/>
      <c r="I28" s="110">
        <f>+E68</f>
        <v>343.75</v>
      </c>
      <c r="J28" s="77"/>
      <c r="K28" s="77"/>
      <c r="L28" s="47">
        <f t="shared" si="1"/>
        <v>343.75</v>
      </c>
    </row>
    <row r="29" spans="2:12" x14ac:dyDescent="0.3">
      <c r="B29" s="43"/>
      <c r="C29" s="35" t="s">
        <v>155</v>
      </c>
      <c r="D29" s="36"/>
      <c r="E29" s="20">
        <f>+I49</f>
        <v>250</v>
      </c>
      <c r="F29" s="113" t="s">
        <v>18</v>
      </c>
      <c r="G29" s="36">
        <f t="shared" si="0"/>
        <v>250</v>
      </c>
      <c r="H29" s="37"/>
      <c r="I29" s="110"/>
      <c r="J29" s="77"/>
      <c r="K29" s="77"/>
      <c r="L29" s="47">
        <f t="shared" si="1"/>
        <v>250</v>
      </c>
    </row>
    <row r="30" spans="2:12" x14ac:dyDescent="0.3">
      <c r="B30" s="43"/>
      <c r="C30" s="35" t="s">
        <v>99</v>
      </c>
      <c r="D30" s="36"/>
      <c r="E30" s="20"/>
      <c r="F30" s="37"/>
      <c r="G30" s="36">
        <f t="shared" si="0"/>
        <v>0</v>
      </c>
      <c r="H30" s="37"/>
      <c r="I30" s="110"/>
      <c r="J30" s="77"/>
      <c r="K30" s="77"/>
      <c r="L30" s="47">
        <f t="shared" si="1"/>
        <v>0</v>
      </c>
    </row>
    <row r="31" spans="2:12" x14ac:dyDescent="0.3">
      <c r="B31" s="43"/>
      <c r="C31" s="35" t="s">
        <v>131</v>
      </c>
      <c r="D31" s="36">
        <v>500</v>
      </c>
      <c r="E31" s="20"/>
      <c r="F31" s="37"/>
      <c r="G31" s="36">
        <f t="shared" si="0"/>
        <v>500</v>
      </c>
      <c r="H31" s="37">
        <v>40</v>
      </c>
      <c r="I31" s="110"/>
      <c r="J31" s="77"/>
      <c r="K31" s="77"/>
      <c r="L31" s="47">
        <f t="shared" si="1"/>
        <v>540</v>
      </c>
    </row>
    <row r="32" spans="2:12" x14ac:dyDescent="0.3">
      <c r="B32" s="43"/>
      <c r="C32" s="35"/>
      <c r="D32" s="36"/>
      <c r="E32" s="20"/>
      <c r="F32" s="37"/>
      <c r="G32" s="36"/>
      <c r="H32" s="37"/>
      <c r="I32" s="110"/>
      <c r="J32" s="77"/>
      <c r="K32" s="77"/>
      <c r="L32" s="47"/>
    </row>
    <row r="33" spans="2:12" x14ac:dyDescent="0.3">
      <c r="B33" s="46" t="s">
        <v>41</v>
      </c>
      <c r="C33" s="35"/>
      <c r="D33" s="36"/>
      <c r="E33" s="20"/>
      <c r="F33" s="37"/>
      <c r="G33" s="36"/>
      <c r="H33" s="37"/>
      <c r="I33" s="110"/>
      <c r="J33" s="77"/>
      <c r="K33" s="77"/>
      <c r="L33" s="47"/>
    </row>
    <row r="34" spans="2:12" x14ac:dyDescent="0.3">
      <c r="B34" s="43"/>
      <c r="C34" s="35" t="s">
        <v>5</v>
      </c>
      <c r="D34" s="36">
        <v>915</v>
      </c>
      <c r="E34" s="20"/>
      <c r="F34" s="37"/>
      <c r="G34" s="36">
        <f t="shared" si="0"/>
        <v>915</v>
      </c>
      <c r="H34" s="37"/>
      <c r="I34" s="110"/>
      <c r="J34" s="77"/>
      <c r="K34" s="77"/>
      <c r="L34" s="47">
        <f t="shared" si="1"/>
        <v>915</v>
      </c>
    </row>
    <row r="35" spans="2:12" x14ac:dyDescent="0.3">
      <c r="B35" s="43"/>
      <c r="C35" s="35" t="s">
        <v>23</v>
      </c>
      <c r="D35" s="36">
        <v>214</v>
      </c>
      <c r="E35" s="20"/>
      <c r="F35" s="37"/>
      <c r="G35" s="36">
        <f t="shared" si="0"/>
        <v>214</v>
      </c>
      <c r="H35" s="37">
        <v>22</v>
      </c>
      <c r="I35" s="110">
        <f>+E70</f>
        <v>697.45534181943401</v>
      </c>
      <c r="J35" s="83">
        <f>D105</f>
        <v>-213.39339319224587</v>
      </c>
      <c r="K35" s="77"/>
      <c r="L35" s="47">
        <f t="shared" si="1"/>
        <v>720.06194862718814</v>
      </c>
    </row>
    <row r="36" spans="2:12" x14ac:dyDescent="0.3">
      <c r="B36" s="43"/>
      <c r="C36" s="35" t="s">
        <v>155</v>
      </c>
      <c r="D36" s="36"/>
      <c r="E36" s="20">
        <f>+E53</f>
        <v>238.09523809523807</v>
      </c>
      <c r="F36" s="113" t="s">
        <v>18</v>
      </c>
      <c r="G36" s="36">
        <f t="shared" si="0"/>
        <v>238.09523809523807</v>
      </c>
      <c r="H36" s="37"/>
      <c r="I36" s="110"/>
      <c r="J36" s="83"/>
      <c r="K36" s="77"/>
      <c r="L36" s="47">
        <f t="shared" si="1"/>
        <v>238.09523809523807</v>
      </c>
    </row>
    <row r="37" spans="2:12" x14ac:dyDescent="0.3">
      <c r="B37" s="43"/>
      <c r="C37" s="35" t="s">
        <v>13</v>
      </c>
      <c r="D37" s="36">
        <v>3500</v>
      </c>
      <c r="E37" s="20"/>
      <c r="F37" s="37"/>
      <c r="G37" s="36">
        <f t="shared" si="0"/>
        <v>3500</v>
      </c>
      <c r="H37" s="37">
        <v>400</v>
      </c>
      <c r="I37" s="110">
        <f>+E69</f>
        <v>4.3864618990987196</v>
      </c>
      <c r="J37" s="77">
        <f>-F94</f>
        <v>-0.73107698318311998</v>
      </c>
      <c r="K37" s="77"/>
      <c r="L37" s="47">
        <f t="shared" si="1"/>
        <v>3903.6553849159154</v>
      </c>
    </row>
    <row r="38" spans="2:12" x14ac:dyDescent="0.3">
      <c r="B38" s="43"/>
      <c r="C38" s="35" t="s">
        <v>132</v>
      </c>
      <c r="D38" s="36">
        <v>-500</v>
      </c>
      <c r="E38" s="20"/>
      <c r="F38" s="37"/>
      <c r="G38" s="36">
        <f t="shared" si="0"/>
        <v>-500</v>
      </c>
      <c r="H38" s="37">
        <v>-40</v>
      </c>
      <c r="I38" s="110"/>
      <c r="J38" s="77"/>
      <c r="K38" s="77"/>
      <c r="L38" s="47">
        <f t="shared" si="1"/>
        <v>-540</v>
      </c>
    </row>
    <row r="39" spans="2:12" x14ac:dyDescent="0.3">
      <c r="B39" s="43"/>
      <c r="C39" s="35"/>
      <c r="D39" s="36"/>
      <c r="E39" s="20"/>
      <c r="F39" s="37"/>
      <c r="G39" s="36"/>
      <c r="H39" s="37"/>
      <c r="I39" s="110"/>
      <c r="J39" s="77"/>
      <c r="K39" s="77"/>
      <c r="L39" s="47"/>
    </row>
    <row r="40" spans="2:12" x14ac:dyDescent="0.3">
      <c r="B40" s="46" t="s">
        <v>7</v>
      </c>
      <c r="C40" s="35"/>
      <c r="D40" s="36"/>
      <c r="E40" s="20"/>
      <c r="F40" s="37"/>
      <c r="G40" s="36"/>
      <c r="H40" s="37"/>
      <c r="I40" s="110"/>
      <c r="J40" s="77"/>
      <c r="K40" s="77"/>
      <c r="L40" s="47"/>
    </row>
    <row r="41" spans="2:12" x14ac:dyDescent="0.3">
      <c r="B41" s="43"/>
      <c r="C41" s="35" t="s">
        <v>133</v>
      </c>
      <c r="D41" s="36">
        <v>500</v>
      </c>
      <c r="E41" s="20"/>
      <c r="F41" s="37"/>
      <c r="G41" s="36">
        <f t="shared" si="0"/>
        <v>500</v>
      </c>
      <c r="H41" s="37">
        <v>170</v>
      </c>
      <c r="I41" s="110">
        <f>-D64</f>
        <v>-170</v>
      </c>
      <c r="J41" s="77"/>
      <c r="K41" s="77"/>
      <c r="L41" s="47">
        <f t="shared" si="1"/>
        <v>500</v>
      </c>
    </row>
    <row r="42" spans="2:12" ht="15" thickBot="1" x14ac:dyDescent="0.35">
      <c r="B42" s="44"/>
      <c r="C42" s="41" t="s">
        <v>44</v>
      </c>
      <c r="D42" s="38">
        <v>4340</v>
      </c>
      <c r="E42" s="39">
        <f>-E29-E36</f>
        <v>-488.09523809523807</v>
      </c>
      <c r="F42" s="114" t="s">
        <v>18</v>
      </c>
      <c r="G42" s="38">
        <f>D42+E42</f>
        <v>3851.9047619047619</v>
      </c>
      <c r="H42" s="40">
        <v>136</v>
      </c>
      <c r="I42" s="111">
        <f>-D65</f>
        <v>-275</v>
      </c>
      <c r="J42" s="78">
        <f>+SUM(J8:J22)-SUM(J25:J38)</f>
        <v>-496.45576348220743</v>
      </c>
      <c r="K42" s="78"/>
      <c r="L42" s="48">
        <f t="shared" si="1"/>
        <v>3216.4489984225547</v>
      </c>
    </row>
    <row r="45" spans="2:12" x14ac:dyDescent="0.3">
      <c r="C45" s="126" t="s">
        <v>18</v>
      </c>
      <c r="D45" s="25">
        <f>SUM(D8:D22)-SUM(D25:D42)</f>
        <v>0</v>
      </c>
      <c r="E45" s="25">
        <f>SUM(E8:E22)-SUM(E25:E42)</f>
        <v>0</v>
      </c>
      <c r="F45" s="25"/>
      <c r="G45" s="25">
        <f>SUM(G8:G22)-SUM(G25:G42)</f>
        <v>0</v>
      </c>
      <c r="H45" s="25">
        <f t="shared" ref="H45:L45" si="2">SUM(H8:H22)-SUM(H25:H42)</f>
        <v>0.5</v>
      </c>
      <c r="I45" s="50">
        <f t="shared" si="2"/>
        <v>0</v>
      </c>
      <c r="J45" s="50">
        <f t="shared" si="2"/>
        <v>0</v>
      </c>
      <c r="K45" s="50">
        <f t="shared" si="2"/>
        <v>0</v>
      </c>
      <c r="L45" s="18">
        <f t="shared" si="2"/>
        <v>0.49999999999818101</v>
      </c>
    </row>
    <row r="47" spans="2:12" x14ac:dyDescent="0.3">
      <c r="C47" t="s">
        <v>155</v>
      </c>
    </row>
    <row r="48" spans="2:12" x14ac:dyDescent="0.3">
      <c r="G48">
        <f>+'A.2) Regroupement'!F28</f>
        <v>0</v>
      </c>
      <c r="H48">
        <f>+'A.2) Regroupement'!G28</f>
        <v>1</v>
      </c>
      <c r="I48">
        <f>+'A.2) Regroupement'!H28</f>
        <v>2</v>
      </c>
      <c r="J48">
        <f>+'A.2) Regroupement'!I28</f>
        <v>3</v>
      </c>
    </row>
    <row r="49" spans="3:10" x14ac:dyDescent="0.3">
      <c r="H49">
        <f>+'A.2) Regroupement'!G29</f>
        <v>250</v>
      </c>
      <c r="I49">
        <f>+'A.2) Regroupement'!H29</f>
        <v>250</v>
      </c>
      <c r="J49">
        <f>+'A.2) Regroupement'!I29</f>
        <v>250</v>
      </c>
    </row>
    <row r="50" spans="3:10" x14ac:dyDescent="0.3">
      <c r="G50">
        <f>+'A.2) Regroupement'!F30</f>
        <v>0.05</v>
      </c>
      <c r="H50" s="103">
        <f>+'A.2) Regroupement'!G30</f>
        <v>680.81200734261961</v>
      </c>
      <c r="I50"/>
      <c r="J50"/>
    </row>
    <row r="51" spans="3:10" x14ac:dyDescent="0.3">
      <c r="C51" t="s">
        <v>187</v>
      </c>
      <c r="E51">
        <v>250</v>
      </c>
      <c r="F51" s="57" t="s">
        <v>160</v>
      </c>
      <c r="H51" s="49"/>
    </row>
    <row r="52" spans="3:10" x14ac:dyDescent="0.3">
      <c r="C52" t="s">
        <v>188</v>
      </c>
      <c r="E52">
        <v>250</v>
      </c>
      <c r="H52" s="49"/>
    </row>
    <row r="53" spans="3:10" x14ac:dyDescent="0.3">
      <c r="C53" t="s">
        <v>183</v>
      </c>
      <c r="E53" s="104">
        <f>NPV(G50,J49)</f>
        <v>238.09523809523807</v>
      </c>
    </row>
    <row r="54" spans="3:10" x14ac:dyDescent="0.3">
      <c r="C54" t="s">
        <v>159</v>
      </c>
      <c r="E54" s="77">
        <f>H50-SUM(E51:E53)</f>
        <v>-57.283230752618465</v>
      </c>
    </row>
    <row r="57" spans="3:10" x14ac:dyDescent="0.3">
      <c r="C57" s="126" t="s">
        <v>19</v>
      </c>
    </row>
    <row r="58" spans="3:10" x14ac:dyDescent="0.3">
      <c r="C58" t="s">
        <v>189</v>
      </c>
    </row>
    <row r="59" spans="3:10" x14ac:dyDescent="0.3">
      <c r="C59" t="s">
        <v>3</v>
      </c>
      <c r="D59" s="109">
        <f>'1.3 EAI'!F9-'1.3 EAI'!E9</f>
        <v>5</v>
      </c>
      <c r="E59" s="109"/>
      <c r="H59" s="25"/>
    </row>
    <row r="60" spans="3:10" x14ac:dyDescent="0.3">
      <c r="C60" t="s">
        <v>17</v>
      </c>
      <c r="D60" s="109">
        <f>'1.3 EAI'!F12-'1.3 EAI'!E12</f>
        <v>2</v>
      </c>
      <c r="E60" s="109"/>
      <c r="H60" s="25"/>
    </row>
    <row r="61" spans="3:10" x14ac:dyDescent="0.3">
      <c r="C61" t="s">
        <v>93</v>
      </c>
      <c r="D61" s="109">
        <f>'1.3 EAI'!F14-'1.3 EAI'!E14</f>
        <v>1800</v>
      </c>
      <c r="E61" s="109"/>
    </row>
    <row r="62" spans="3:10" x14ac:dyDescent="0.3">
      <c r="C62" t="s">
        <v>94</v>
      </c>
      <c r="D62" s="109">
        <f>-'A.2) Regroupement'!D15</f>
        <v>870.98760129721222</v>
      </c>
      <c r="E62" s="109"/>
    </row>
    <row r="63" spans="3:10" x14ac:dyDescent="0.3">
      <c r="C63" t="s">
        <v>59</v>
      </c>
      <c r="D63" s="109">
        <f>+'A.2) Regroupement'!D20</f>
        <v>1108.4162097639403</v>
      </c>
      <c r="E63" s="109"/>
    </row>
    <row r="64" spans="3:10" x14ac:dyDescent="0.3">
      <c r="C64" s="54" t="s">
        <v>8</v>
      </c>
      <c r="D64" s="109">
        <f>+'1.3 EAI'!E34</f>
        <v>170</v>
      </c>
    </row>
    <row r="65" spans="3:7" x14ac:dyDescent="0.3">
      <c r="C65" s="54" t="s">
        <v>101</v>
      </c>
      <c r="D65" s="109">
        <f>+'1.3 EAI'!E35</f>
        <v>275</v>
      </c>
    </row>
    <row r="66" spans="3:7" x14ac:dyDescent="0.3">
      <c r="C66" s="54" t="s">
        <v>68</v>
      </c>
      <c r="D66" s="109"/>
      <c r="E66" s="109">
        <f>+'A.2) Regroupement'!D6</f>
        <v>3180.8120073426198</v>
      </c>
    </row>
    <row r="67" spans="3:7" x14ac:dyDescent="0.3">
      <c r="C67" s="54" t="s">
        <v>95</v>
      </c>
      <c r="D67" s="109"/>
      <c r="E67" s="109">
        <f>'1.3 EAI'!E13-'1.3 EAI'!F13</f>
        <v>5</v>
      </c>
    </row>
    <row r="68" spans="3:7" x14ac:dyDescent="0.3">
      <c r="C68" s="54" t="s">
        <v>96</v>
      </c>
      <c r="D68" s="109"/>
      <c r="E68" s="109">
        <f>+'A.2) Regroupement'!D18</f>
        <v>343.75</v>
      </c>
    </row>
    <row r="69" spans="3:7" x14ac:dyDescent="0.3">
      <c r="C69" s="54" t="s">
        <v>98</v>
      </c>
      <c r="D69" s="109"/>
      <c r="E69" s="109">
        <f>+'A.2) Regroupement'!D17</f>
        <v>4.3864618990987196</v>
      </c>
    </row>
    <row r="70" spans="3:7" x14ac:dyDescent="0.3">
      <c r="C70" s="54" t="s">
        <v>97</v>
      </c>
      <c r="D70" s="109"/>
      <c r="E70" s="109">
        <f>+'A.2) Regroupement'!D19</f>
        <v>697.45534181943401</v>
      </c>
      <c r="G70" s="25"/>
    </row>
    <row r="71" spans="3:7" x14ac:dyDescent="0.3">
      <c r="C71" s="54"/>
      <c r="D71" s="18"/>
      <c r="E71" s="18"/>
      <c r="G71" s="25">
        <f>SUM(D59:D66)-SUM(E66:E71)</f>
        <v>0</v>
      </c>
    </row>
    <row r="73" spans="3:7" x14ac:dyDescent="0.3">
      <c r="C73" s="107" t="str">
        <f>J6</f>
        <v>Note 3</v>
      </c>
    </row>
    <row r="74" spans="3:7" x14ac:dyDescent="0.3">
      <c r="C74" t="s">
        <v>193</v>
      </c>
    </row>
    <row r="75" spans="3:7" x14ac:dyDescent="0.3">
      <c r="C75" s="52" t="s">
        <v>105</v>
      </c>
      <c r="D75" s="2"/>
    </row>
    <row r="76" spans="3:7" x14ac:dyDescent="0.3">
      <c r="C76" t="s">
        <v>106</v>
      </c>
      <c r="D76">
        <v>5</v>
      </c>
    </row>
    <row r="77" spans="3:7" x14ac:dyDescent="0.3">
      <c r="C77" t="s">
        <v>107</v>
      </c>
      <c r="D77">
        <v>18</v>
      </c>
    </row>
    <row r="78" spans="3:7" x14ac:dyDescent="0.3">
      <c r="C78" s="31" t="s">
        <v>108</v>
      </c>
      <c r="D78" s="112">
        <f>D76/D77*12</f>
        <v>3.3333333333333335</v>
      </c>
      <c r="E78" s="57" t="s">
        <v>190</v>
      </c>
    </row>
    <row r="80" spans="3:7" x14ac:dyDescent="0.3">
      <c r="C80" s="52" t="s">
        <v>104</v>
      </c>
    </row>
    <row r="81" spans="3:9" ht="57.6" x14ac:dyDescent="0.3">
      <c r="D81" s="60" t="s">
        <v>103</v>
      </c>
      <c r="E81" s="60" t="s">
        <v>10</v>
      </c>
      <c r="F81" s="60" t="s">
        <v>102</v>
      </c>
      <c r="G81" s="60" t="s">
        <v>161</v>
      </c>
      <c r="H81" s="79" t="s">
        <v>191</v>
      </c>
    </row>
    <row r="82" spans="3:9" x14ac:dyDescent="0.3">
      <c r="C82" t="s">
        <v>25</v>
      </c>
      <c r="D82" s="18">
        <v>15</v>
      </c>
      <c r="E82" s="18">
        <f>+'1.3 EAI'!F58+'1.3 EAI'!F59</f>
        <v>20</v>
      </c>
      <c r="F82" s="18">
        <f t="shared" ref="F82:F84" si="3">D82-E82</f>
        <v>-5</v>
      </c>
      <c r="G82" s="18">
        <v>2</v>
      </c>
      <c r="H82" s="18">
        <f>F82/G82</f>
        <v>-2.5</v>
      </c>
      <c r="I82" s="57" t="s">
        <v>190</v>
      </c>
    </row>
    <row r="83" spans="3:9" x14ac:dyDescent="0.3">
      <c r="C83" t="s">
        <v>30</v>
      </c>
      <c r="D83" s="18">
        <f>+'1.3 EAI'!H69</f>
        <v>600</v>
      </c>
      <c r="E83" s="18">
        <f>+'1.3 EAI'!F69+'1.3 EAI'!F70</f>
        <v>120</v>
      </c>
      <c r="F83" s="18">
        <f t="shared" si="3"/>
        <v>480</v>
      </c>
      <c r="G83" s="18">
        <v>3</v>
      </c>
      <c r="H83" s="117">
        <f>F83/G83</f>
        <v>160</v>
      </c>
      <c r="I83" s="57" t="s">
        <v>190</v>
      </c>
    </row>
    <row r="84" spans="3:9" x14ac:dyDescent="0.3">
      <c r="C84" t="s">
        <v>29</v>
      </c>
      <c r="D84" s="18">
        <f>+'1.3 EAI'!H71</f>
        <v>1800</v>
      </c>
      <c r="E84" s="18">
        <f>+'1.3 EAI'!F71+'1.3 EAI'!F72</f>
        <v>480</v>
      </c>
      <c r="F84" s="18">
        <f t="shared" si="3"/>
        <v>1320</v>
      </c>
      <c r="G84" s="18">
        <v>4</v>
      </c>
      <c r="H84" s="118">
        <f>F84/G84</f>
        <v>330</v>
      </c>
      <c r="I84" s="57" t="s">
        <v>190</v>
      </c>
    </row>
    <row r="85" spans="3:9" x14ac:dyDescent="0.3">
      <c r="G85" s="64" t="s">
        <v>109</v>
      </c>
      <c r="H85" s="56">
        <f>SUM(H82:H84)</f>
        <v>487.5</v>
      </c>
    </row>
    <row r="86" spans="3:9" x14ac:dyDescent="0.3">
      <c r="H86" s="25"/>
    </row>
    <row r="87" spans="3:9" x14ac:dyDescent="0.3">
      <c r="C87" s="52" t="s">
        <v>31</v>
      </c>
    </row>
    <row r="88" spans="3:9" ht="42" customHeight="1" x14ac:dyDescent="0.3">
      <c r="C88" s="52"/>
      <c r="E88" s="60" t="s">
        <v>161</v>
      </c>
      <c r="F88" s="79" t="s">
        <v>191</v>
      </c>
      <c r="G88" s="49"/>
    </row>
    <row r="89" spans="3:9" x14ac:dyDescent="0.3">
      <c r="C89" t="s">
        <v>162</v>
      </c>
      <c r="D89" s="18">
        <f>+'A.2) Regroupement'!D35</f>
        <v>870.98760129721222</v>
      </c>
      <c r="E89" s="18">
        <v>4</v>
      </c>
      <c r="F89" s="18">
        <f>D89/E89</f>
        <v>217.74690032430306</v>
      </c>
      <c r="G89" s="57" t="s">
        <v>190</v>
      </c>
    </row>
    <row r="90" spans="3:9" x14ac:dyDescent="0.3">
      <c r="C90" s="119" t="s">
        <v>164</v>
      </c>
      <c r="D90" s="82"/>
      <c r="E90" s="57"/>
      <c r="F90" s="62"/>
    </row>
    <row r="91" spans="3:9" x14ac:dyDescent="0.3">
      <c r="H91" s="25"/>
    </row>
    <row r="92" spans="3:9" x14ac:dyDescent="0.3">
      <c r="C92" s="52" t="s">
        <v>110</v>
      </c>
    </row>
    <row r="93" spans="3:9" ht="36" customHeight="1" x14ac:dyDescent="0.3">
      <c r="C93" s="52"/>
      <c r="E93" s="60" t="s">
        <v>161</v>
      </c>
      <c r="F93" s="79" t="s">
        <v>191</v>
      </c>
      <c r="G93" s="49"/>
    </row>
    <row r="94" spans="3:9" x14ac:dyDescent="0.3">
      <c r="C94" t="s">
        <v>162</v>
      </c>
      <c r="D94" s="109">
        <f>+'A.2) Regroupement'!D40</f>
        <v>4.3864618990987196</v>
      </c>
      <c r="E94" s="18">
        <v>6</v>
      </c>
      <c r="F94" s="18">
        <f>D94/E94</f>
        <v>0.73107698318311998</v>
      </c>
      <c r="G94" s="57" t="s">
        <v>190</v>
      </c>
    </row>
    <row r="95" spans="3:9" x14ac:dyDescent="0.3">
      <c r="C95" s="57" t="s">
        <v>111</v>
      </c>
      <c r="D95" s="56"/>
      <c r="E95" s="57"/>
      <c r="G95" s="57" t="s">
        <v>163</v>
      </c>
    </row>
    <row r="97" spans="3:6" x14ac:dyDescent="0.3">
      <c r="C97" s="52" t="s">
        <v>112</v>
      </c>
      <c r="D97" s="14"/>
      <c r="F97" s="62"/>
    </row>
    <row r="98" spans="3:6" x14ac:dyDescent="0.3">
      <c r="C98" s="62" t="s">
        <v>192</v>
      </c>
      <c r="D98" s="14"/>
      <c r="F98" s="62"/>
    </row>
    <row r="99" spans="3:6" x14ac:dyDescent="0.3">
      <c r="C99" t="s">
        <v>3</v>
      </c>
      <c r="D99" s="18">
        <f>+J14</f>
        <v>-3.3333333333333335</v>
      </c>
    </row>
    <row r="100" spans="3:6" x14ac:dyDescent="0.3">
      <c r="C100" t="str">
        <f>+C17</f>
        <v>Actif d'impôts futurs</v>
      </c>
      <c r="D100" s="18">
        <f>+J17</f>
        <v>-2</v>
      </c>
    </row>
    <row r="101" spans="3:6" x14ac:dyDescent="0.3">
      <c r="C101" t="s">
        <v>113</v>
      </c>
      <c r="D101" s="18">
        <f>+J19+J20</f>
        <v>-705.24690032430306</v>
      </c>
    </row>
    <row r="102" spans="3:6" ht="16.2" x14ac:dyDescent="0.45">
      <c r="C102" t="s">
        <v>110</v>
      </c>
      <c r="D102" s="105">
        <f>+J37</f>
        <v>-0.73107698318311998</v>
      </c>
    </row>
    <row r="103" spans="3:6" x14ac:dyDescent="0.3">
      <c r="D103" s="25">
        <f>SUM(D99:D102)</f>
        <v>-711.31131064081956</v>
      </c>
    </row>
    <row r="104" spans="3:6" x14ac:dyDescent="0.3">
      <c r="C104" t="s">
        <v>114</v>
      </c>
      <c r="D104" s="63">
        <v>0.3</v>
      </c>
    </row>
    <row r="105" spans="3:6" x14ac:dyDescent="0.3">
      <c r="C105" s="31" t="s">
        <v>115</v>
      </c>
      <c r="D105" s="56">
        <f>D104*D103</f>
        <v>-213.39339319224587</v>
      </c>
    </row>
    <row r="107" spans="3:6" x14ac:dyDescent="0.3">
      <c r="C107" s="120" t="s">
        <v>21</v>
      </c>
    </row>
    <row r="108" spans="3:6" x14ac:dyDescent="0.3">
      <c r="C108" t="s">
        <v>127</v>
      </c>
    </row>
  </sheetData>
  <mergeCells count="2">
    <mergeCell ref="I5:K5"/>
    <mergeCell ref="G5:H5"/>
  </mergeCells>
  <pageMargins left="0.7" right="0.7" top="0.75" bottom="0.75" header="0.3" footer="0.3"/>
  <pageSetup scale="68" fitToHeight="0"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9D24-5BF5-453A-B84C-0CC3EA1E6541}">
  <sheetPr>
    <pageSetUpPr fitToPage="1"/>
  </sheetPr>
  <dimension ref="A1:M72"/>
  <sheetViews>
    <sheetView showGridLines="0" workbookViewId="0">
      <selection activeCell="D75" sqref="D75"/>
    </sheetView>
  </sheetViews>
  <sheetFormatPr baseColWidth="10" defaultColWidth="10.88671875" defaultRowHeight="14.4" x14ac:dyDescent="0.3"/>
  <cols>
    <col min="2" max="2" width="2.5546875" style="52" customWidth="1"/>
    <col min="3" max="3" width="49.44140625" customWidth="1"/>
    <col min="8" max="8" width="12" bestFit="1" customWidth="1"/>
  </cols>
  <sheetData>
    <row r="1" spans="1:7" ht="18" x14ac:dyDescent="0.35">
      <c r="A1" s="51" t="s">
        <v>54</v>
      </c>
    </row>
    <row r="2" spans="1:7" x14ac:dyDescent="0.3">
      <c r="A2" s="31" t="s">
        <v>140</v>
      </c>
      <c r="D2" t="s">
        <v>172</v>
      </c>
    </row>
    <row r="4" spans="1:7" x14ac:dyDescent="0.3">
      <c r="A4" s="90" t="s">
        <v>139</v>
      </c>
      <c r="B4" s="91"/>
      <c r="C4" s="92"/>
      <c r="D4" s="92"/>
      <c r="E4" s="92"/>
      <c r="F4" s="92"/>
    </row>
    <row r="6" spans="1:7" x14ac:dyDescent="0.3">
      <c r="C6" t="s">
        <v>58</v>
      </c>
      <c r="D6" s="18">
        <f>+D29</f>
        <v>3180.8120073426198</v>
      </c>
      <c r="E6" s="107" t="s">
        <v>18</v>
      </c>
      <c r="F6" s="101"/>
    </row>
    <row r="7" spans="1:7" x14ac:dyDescent="0.3">
      <c r="C7" t="s">
        <v>123</v>
      </c>
      <c r="D7" s="18"/>
      <c r="E7" s="31"/>
    </row>
    <row r="8" spans="1:7" x14ac:dyDescent="0.3">
      <c r="C8" s="8" t="s">
        <v>124</v>
      </c>
      <c r="D8" s="19">
        <f>'1.3 EAI'!E36</f>
        <v>445</v>
      </c>
      <c r="E8" s="31"/>
    </row>
    <row r="9" spans="1:7" x14ac:dyDescent="0.3">
      <c r="C9" t="s">
        <v>125</v>
      </c>
      <c r="D9" s="18">
        <f>D6-D8</f>
        <v>2735.8120073426198</v>
      </c>
      <c r="E9" s="31"/>
      <c r="G9" s="25"/>
    </row>
    <row r="10" spans="1:7" x14ac:dyDescent="0.3">
      <c r="C10" s="57"/>
      <c r="D10" s="18"/>
      <c r="E10" s="31"/>
    </row>
    <row r="11" spans="1:7" x14ac:dyDescent="0.3">
      <c r="C11" t="s">
        <v>3</v>
      </c>
      <c r="D11" s="18">
        <f>-'1.3 EAI'!F9+'1.3 EAI'!E9</f>
        <v>-5</v>
      </c>
      <c r="E11" s="31"/>
    </row>
    <row r="12" spans="1:7" x14ac:dyDescent="0.3">
      <c r="C12" t="s">
        <v>17</v>
      </c>
      <c r="D12" s="18">
        <f>-'1.3 EAI'!F12+'1.3 EAI'!E12</f>
        <v>-2</v>
      </c>
      <c r="E12" s="31"/>
    </row>
    <row r="13" spans="1:7" x14ac:dyDescent="0.3">
      <c r="C13" t="s">
        <v>16</v>
      </c>
      <c r="D13" s="18">
        <f>-'1.3 EAI'!F13+'1.3 EAI'!E13</f>
        <v>5</v>
      </c>
      <c r="E13" s="31"/>
    </row>
    <row r="14" spans="1:7" x14ac:dyDescent="0.3">
      <c r="C14" t="s">
        <v>6</v>
      </c>
      <c r="D14" s="18">
        <f>-'1.3 EAI'!F14+'1.3 EAI'!E14</f>
        <v>-1800</v>
      </c>
      <c r="E14" s="31"/>
    </row>
    <row r="15" spans="1:7" x14ac:dyDescent="0.3">
      <c r="C15" t="s">
        <v>126</v>
      </c>
      <c r="D15" s="18">
        <f>-D35</f>
        <v>-870.98760129721222</v>
      </c>
      <c r="E15" s="107" t="s">
        <v>19</v>
      </c>
    </row>
    <row r="16" spans="1:7" x14ac:dyDescent="0.3">
      <c r="C16" s="57"/>
      <c r="D16" s="18"/>
      <c r="E16" s="31"/>
    </row>
    <row r="17" spans="3:9" x14ac:dyDescent="0.3">
      <c r="C17" t="s">
        <v>13</v>
      </c>
      <c r="D17" s="18">
        <f>+D40</f>
        <v>4.3864618990987196</v>
      </c>
      <c r="E17" s="107" t="s">
        <v>20</v>
      </c>
      <c r="G17" s="25"/>
      <c r="H17" s="25"/>
    </row>
    <row r="18" spans="3:9" x14ac:dyDescent="0.3">
      <c r="C18" t="s">
        <v>57</v>
      </c>
      <c r="D18" s="18">
        <f>+F50</f>
        <v>343.75</v>
      </c>
      <c r="E18" s="107" t="s">
        <v>21</v>
      </c>
    </row>
    <row r="19" spans="3:9" x14ac:dyDescent="0.3">
      <c r="C19" s="8" t="s">
        <v>100</v>
      </c>
      <c r="D19" s="19">
        <v>0</v>
      </c>
      <c r="E19" s="107" t="s">
        <v>22</v>
      </c>
    </row>
    <row r="20" spans="3:9" x14ac:dyDescent="0.3">
      <c r="C20" t="s">
        <v>59</v>
      </c>
      <c r="D20" s="18">
        <f>SUM(D9:D19)</f>
        <v>410.96086794450633</v>
      </c>
    </row>
    <row r="21" spans="3:9" x14ac:dyDescent="0.3">
      <c r="C21" s="57" t="s">
        <v>66</v>
      </c>
      <c r="D21" s="18"/>
    </row>
    <row r="22" spans="3:9" x14ac:dyDescent="0.3">
      <c r="D22" s="18"/>
    </row>
    <row r="23" spans="3:9" x14ac:dyDescent="0.3">
      <c r="D23" s="18"/>
    </row>
    <row r="24" spans="3:9" x14ac:dyDescent="0.3">
      <c r="D24" s="18"/>
    </row>
    <row r="25" spans="3:9" x14ac:dyDescent="0.3">
      <c r="C25" s="107" t="str">
        <f>+E6</f>
        <v>Note 1</v>
      </c>
      <c r="D25" s="18"/>
    </row>
    <row r="26" spans="3:9" x14ac:dyDescent="0.3">
      <c r="C26" t="s">
        <v>146</v>
      </c>
      <c r="D26" s="18">
        <v>2500</v>
      </c>
    </row>
    <row r="27" spans="3:9" x14ac:dyDescent="0.3">
      <c r="C27" t="s">
        <v>147</v>
      </c>
      <c r="D27" s="18">
        <v>0</v>
      </c>
      <c r="F27" t="s">
        <v>148</v>
      </c>
    </row>
    <row r="28" spans="3:9" ht="16.2" x14ac:dyDescent="0.45">
      <c r="C28" t="s">
        <v>154</v>
      </c>
      <c r="D28" s="105">
        <f>+G30</f>
        <v>680.81200734261961</v>
      </c>
      <c r="G28">
        <v>1</v>
      </c>
      <c r="H28">
        <v>2</v>
      </c>
      <c r="I28">
        <v>3</v>
      </c>
    </row>
    <row r="29" spans="3:9" x14ac:dyDescent="0.3">
      <c r="D29" s="18">
        <f>SUM(D26:D28)</f>
        <v>3180.8120073426198</v>
      </c>
      <c r="G29">
        <v>250</v>
      </c>
      <c r="H29">
        <v>250</v>
      </c>
      <c r="I29">
        <v>250</v>
      </c>
    </row>
    <row r="30" spans="3:9" x14ac:dyDescent="0.3">
      <c r="D30" s="18"/>
      <c r="F30" s="63">
        <v>0.05</v>
      </c>
      <c r="G30" s="104">
        <f>NPV(F30,G29:I29)</f>
        <v>680.81200734261961</v>
      </c>
    </row>
    <row r="31" spans="3:9" x14ac:dyDescent="0.3">
      <c r="D31" s="18"/>
    </row>
    <row r="32" spans="3:9" x14ac:dyDescent="0.3">
      <c r="C32" s="107" t="str">
        <f>E15</f>
        <v>Note 2</v>
      </c>
      <c r="D32" s="25"/>
    </row>
    <row r="33" spans="3:13" x14ac:dyDescent="0.3">
      <c r="C33" t="s">
        <v>60</v>
      </c>
      <c r="D33" s="25">
        <f>PV(5%/12,4*12,-80,0,1)</f>
        <v>3488.3107936809533</v>
      </c>
      <c r="E33" s="55" t="s">
        <v>177</v>
      </c>
    </row>
    <row r="34" spans="3:13" x14ac:dyDescent="0.3">
      <c r="C34" s="8" t="s">
        <v>61</v>
      </c>
      <c r="D34" s="53">
        <f>PV(5%/12,4*12,-0.215*465,0,1)</f>
        <v>4359.2983949781656</v>
      </c>
      <c r="E34" s="55" t="s">
        <v>178</v>
      </c>
    </row>
    <row r="35" spans="3:13" x14ac:dyDescent="0.3">
      <c r="C35" t="s">
        <v>62</v>
      </c>
      <c r="D35" s="25">
        <f>D34-D33</f>
        <v>870.98760129721222</v>
      </c>
    </row>
    <row r="36" spans="3:13" x14ac:dyDescent="0.3">
      <c r="D36" s="25"/>
    </row>
    <row r="37" spans="3:13" x14ac:dyDescent="0.3">
      <c r="C37" s="137" t="str">
        <f>+E17</f>
        <v>Note 3</v>
      </c>
      <c r="D37" s="129"/>
      <c r="E37" s="128"/>
      <c r="F37" s="128"/>
      <c r="G37" s="128"/>
      <c r="H37" s="128"/>
      <c r="I37" s="128"/>
      <c r="J37" s="128"/>
      <c r="K37" s="128"/>
      <c r="L37" s="128"/>
      <c r="M37" s="128"/>
    </row>
    <row r="38" spans="3:13" x14ac:dyDescent="0.3">
      <c r="C38" s="128" t="s">
        <v>151</v>
      </c>
      <c r="D38" s="129">
        <f>+G43</f>
        <v>444.38646189909872</v>
      </c>
      <c r="E38" s="128"/>
      <c r="F38" s="128"/>
      <c r="G38" s="130">
        <v>45658</v>
      </c>
      <c r="H38" s="130">
        <v>46022</v>
      </c>
      <c r="I38" s="130">
        <v>46387</v>
      </c>
      <c r="J38" s="130">
        <v>46752</v>
      </c>
      <c r="K38" s="130">
        <v>47118</v>
      </c>
      <c r="L38" s="130">
        <v>47483</v>
      </c>
      <c r="M38" s="130">
        <v>47848</v>
      </c>
    </row>
    <row r="39" spans="3:13" ht="16.2" x14ac:dyDescent="0.45">
      <c r="C39" s="128" t="s">
        <v>152</v>
      </c>
      <c r="D39" s="131">
        <f>+G39</f>
        <v>440</v>
      </c>
      <c r="E39" s="128"/>
      <c r="F39" s="128"/>
      <c r="G39" s="128">
        <v>440</v>
      </c>
      <c r="H39" s="128"/>
      <c r="I39" s="128"/>
      <c r="J39" s="128"/>
      <c r="K39" s="128"/>
      <c r="L39" s="128"/>
      <c r="M39" s="128"/>
    </row>
    <row r="40" spans="3:13" x14ac:dyDescent="0.3">
      <c r="C40" s="128"/>
      <c r="D40" s="129">
        <f>D38-D39</f>
        <v>4.3864618990987196</v>
      </c>
      <c r="E40" s="128"/>
      <c r="F40" s="128" t="s">
        <v>149</v>
      </c>
      <c r="G40" s="128"/>
      <c r="H40" s="128">
        <v>40</v>
      </c>
      <c r="I40" s="128">
        <v>40</v>
      </c>
      <c r="J40" s="128">
        <v>40</v>
      </c>
      <c r="K40" s="128">
        <v>40</v>
      </c>
      <c r="L40" s="128">
        <v>40</v>
      </c>
      <c r="M40" s="128">
        <f>G39-SUM(H40:L40)</f>
        <v>240</v>
      </c>
    </row>
    <row r="41" spans="3:13" x14ac:dyDescent="0.3">
      <c r="C41" s="128"/>
      <c r="D41" s="129"/>
      <c r="E41" s="132">
        <v>5.2499999999999998E-2</v>
      </c>
      <c r="F41" s="128" t="s">
        <v>150</v>
      </c>
      <c r="G41" s="128"/>
      <c r="H41" s="133">
        <f>+G39*E41</f>
        <v>23.099999999999998</v>
      </c>
      <c r="I41" s="133">
        <f>+($G39-(SUM($H40:H40)))*$E41</f>
        <v>21</v>
      </c>
      <c r="J41" s="133">
        <f>+($G39-(SUM($H40:I40)))*$E41</f>
        <v>18.899999999999999</v>
      </c>
      <c r="K41" s="133">
        <f>+($G39-(SUM($H40:J40)))*$E41</f>
        <v>16.8</v>
      </c>
      <c r="L41" s="133">
        <f>+($G39-(SUM($H40:K40)))*$E41</f>
        <v>14.7</v>
      </c>
      <c r="M41" s="133">
        <f>+($G39-(SUM($H40:L40)))*$E41</f>
        <v>12.6</v>
      </c>
    </row>
    <row r="42" spans="3:13" x14ac:dyDescent="0.3">
      <c r="C42" s="128"/>
      <c r="D42" s="129"/>
      <c r="E42" s="128"/>
      <c r="F42" s="128"/>
      <c r="G42" s="134"/>
      <c r="H42" s="135">
        <f>SUM(H40:H41)</f>
        <v>63.099999999999994</v>
      </c>
      <c r="I42" s="135">
        <f t="shared" ref="I42:M42" si="0">SUM(I40:I41)</f>
        <v>61</v>
      </c>
      <c r="J42" s="135">
        <f t="shared" si="0"/>
        <v>58.9</v>
      </c>
      <c r="K42" s="135">
        <f t="shared" si="0"/>
        <v>56.8</v>
      </c>
      <c r="L42" s="135">
        <f t="shared" si="0"/>
        <v>54.7</v>
      </c>
      <c r="M42" s="135">
        <f t="shared" si="0"/>
        <v>252.6</v>
      </c>
    </row>
    <row r="43" spans="3:13" x14ac:dyDescent="0.3">
      <c r="C43" s="128"/>
      <c r="D43" s="129"/>
      <c r="E43" s="128"/>
      <c r="F43" s="132">
        <v>0.05</v>
      </c>
      <c r="G43" s="136">
        <f>NPV(F43,H42:M42)</f>
        <v>444.38646189909872</v>
      </c>
      <c r="H43" s="128"/>
      <c r="I43" s="128"/>
      <c r="J43" s="128"/>
      <c r="K43" s="128"/>
      <c r="L43" s="128"/>
      <c r="M43" s="128"/>
    </row>
    <row r="44" spans="3:13" x14ac:dyDescent="0.3">
      <c r="D44" s="25"/>
    </row>
    <row r="45" spans="3:13" x14ac:dyDescent="0.3">
      <c r="C45" s="107" t="str">
        <f>+E18</f>
        <v>Note 4</v>
      </c>
      <c r="D45" s="25"/>
    </row>
    <row r="46" spans="3:13" x14ac:dyDescent="0.3">
      <c r="C46" s="101" t="s">
        <v>141</v>
      </c>
      <c r="D46" s="25"/>
    </row>
    <row r="47" spans="3:13" x14ac:dyDescent="0.3">
      <c r="C47" s="101"/>
      <c r="D47" t="s">
        <v>143</v>
      </c>
      <c r="E47" s="2" t="s">
        <v>145</v>
      </c>
    </row>
    <row r="48" spans="3:13" x14ac:dyDescent="0.3">
      <c r="C48" t="s">
        <v>142</v>
      </c>
      <c r="D48" s="63">
        <v>0.45</v>
      </c>
      <c r="E48">
        <v>0</v>
      </c>
      <c r="F48">
        <f>+D48*E48</f>
        <v>0</v>
      </c>
    </row>
    <row r="49" spans="2:11" x14ac:dyDescent="0.3">
      <c r="C49" t="s">
        <v>144</v>
      </c>
      <c r="D49" s="13">
        <v>0.55000000000000004</v>
      </c>
      <c r="E49">
        <f>(500+750)/2</f>
        <v>625</v>
      </c>
      <c r="F49" s="102">
        <f>+D49*E49</f>
        <v>343.75</v>
      </c>
    </row>
    <row r="50" spans="2:11" x14ac:dyDescent="0.3">
      <c r="D50" s="25"/>
      <c r="F50" s="103">
        <f>SUM(F48:F49)</f>
        <v>343.75</v>
      </c>
    </row>
    <row r="51" spans="2:11" x14ac:dyDescent="0.3">
      <c r="D51" s="25"/>
      <c r="F51" s="103"/>
    </row>
    <row r="52" spans="2:11" x14ac:dyDescent="0.3">
      <c r="C52" s="107" t="str">
        <f>+E19</f>
        <v>Note 5</v>
      </c>
      <c r="D52" s="25"/>
      <c r="E52" s="94" t="s">
        <v>153</v>
      </c>
    </row>
    <row r="53" spans="2:11" x14ac:dyDescent="0.3">
      <c r="C53" s="138" t="s">
        <v>179</v>
      </c>
      <c r="D53" s="139">
        <f>D8</f>
        <v>445</v>
      </c>
      <c r="E53" s="138"/>
      <c r="F53" s="138"/>
      <c r="G53" s="138"/>
      <c r="H53" s="138"/>
      <c r="I53" s="138"/>
      <c r="J53" s="138"/>
      <c r="K53" s="138"/>
    </row>
    <row r="54" spans="2:11" x14ac:dyDescent="0.3">
      <c r="C54" s="140" t="s">
        <v>180</v>
      </c>
      <c r="D54" s="141">
        <f>+D8-SUM(D11:D18)</f>
        <v>2769.8511393981134</v>
      </c>
      <c r="E54" s="138"/>
      <c r="F54" s="139"/>
      <c r="G54" s="138"/>
      <c r="H54" s="138"/>
      <c r="I54" s="138"/>
      <c r="J54" s="138"/>
      <c r="K54" s="138"/>
    </row>
    <row r="55" spans="2:11" x14ac:dyDescent="0.3">
      <c r="C55" s="138" t="s">
        <v>63</v>
      </c>
      <c r="D55" s="139">
        <f>D54-D53</f>
        <v>2324.8511393981134</v>
      </c>
      <c r="E55" s="138"/>
      <c r="F55" s="138"/>
      <c r="G55" s="138"/>
      <c r="H55" s="138"/>
      <c r="I55" s="138"/>
      <c r="J55" s="138"/>
      <c r="K55" s="138"/>
    </row>
    <row r="56" spans="2:11" x14ac:dyDescent="0.3">
      <c r="C56" s="140" t="s">
        <v>64</v>
      </c>
      <c r="D56" s="142">
        <v>0.3</v>
      </c>
      <c r="E56" s="143" t="s">
        <v>65</v>
      </c>
      <c r="F56" s="138"/>
      <c r="G56" s="138"/>
      <c r="H56" s="138"/>
      <c r="I56" s="138"/>
      <c r="J56" s="138"/>
      <c r="K56" s="138"/>
    </row>
    <row r="57" spans="2:11" x14ac:dyDescent="0.3">
      <c r="C57" s="138" t="s">
        <v>23</v>
      </c>
      <c r="D57" s="139">
        <f>D55*D56</f>
        <v>697.45534181943401</v>
      </c>
      <c r="E57" s="138"/>
      <c r="F57" s="138"/>
      <c r="G57" s="138"/>
      <c r="H57" s="138"/>
      <c r="I57" s="138"/>
      <c r="J57" s="138"/>
      <c r="K57" s="138"/>
    </row>
    <row r="59" spans="2:11" x14ac:dyDescent="0.3">
      <c r="C59" s="94" t="s">
        <v>166</v>
      </c>
    </row>
    <row r="62" spans="2:11" ht="15" thickBot="1" x14ac:dyDescent="0.35"/>
    <row r="63" spans="2:11" x14ac:dyDescent="0.3">
      <c r="B63" s="65" t="s">
        <v>181</v>
      </c>
      <c r="C63" s="66"/>
      <c r="D63" s="66"/>
      <c r="E63" s="42"/>
    </row>
    <row r="64" spans="2:11" ht="15" thickBot="1" x14ac:dyDescent="0.35">
      <c r="C64" s="54"/>
      <c r="D64" s="18"/>
      <c r="E64" s="18"/>
    </row>
    <row r="65" spans="2:9" x14ac:dyDescent="0.3">
      <c r="B65" s="73" t="s">
        <v>155</v>
      </c>
      <c r="C65" s="66"/>
      <c r="D65" s="66"/>
      <c r="E65" s="66"/>
      <c r="F65" s="66"/>
      <c r="G65" s="66"/>
      <c r="H65" s="121"/>
      <c r="I65" s="122"/>
    </row>
    <row r="66" spans="2:9" x14ac:dyDescent="0.3">
      <c r="B66" s="34"/>
      <c r="F66">
        <v>0</v>
      </c>
      <c r="G66">
        <v>1</v>
      </c>
      <c r="H66">
        <v>2</v>
      </c>
      <c r="I66" s="35">
        <v>3</v>
      </c>
    </row>
    <row r="67" spans="2:9" x14ac:dyDescent="0.3">
      <c r="B67" s="34"/>
      <c r="G67">
        <v>250</v>
      </c>
      <c r="H67">
        <v>250</v>
      </c>
      <c r="I67" s="35">
        <v>250</v>
      </c>
    </row>
    <row r="68" spans="2:9" x14ac:dyDescent="0.3">
      <c r="B68" s="34"/>
      <c r="F68" s="63">
        <v>0.05</v>
      </c>
      <c r="G68" s="103">
        <f>NPV(F68,G67:I67)</f>
        <v>680.81200734261961</v>
      </c>
      <c r="I68" s="35"/>
    </row>
    <row r="69" spans="2:9" x14ac:dyDescent="0.3">
      <c r="B69" s="34" t="s">
        <v>156</v>
      </c>
      <c r="D69">
        <v>250</v>
      </c>
      <c r="E69" s="57" t="s">
        <v>160</v>
      </c>
      <c r="G69" s="49"/>
      <c r="H69" s="49"/>
      <c r="I69" s="123"/>
    </row>
    <row r="70" spans="2:9" x14ac:dyDescent="0.3">
      <c r="B70" s="34" t="s">
        <v>157</v>
      </c>
      <c r="D70">
        <v>250</v>
      </c>
      <c r="G70" s="49"/>
      <c r="H70" s="49"/>
      <c r="I70" s="123"/>
    </row>
    <row r="71" spans="2:9" x14ac:dyDescent="0.3">
      <c r="B71" s="34" t="s">
        <v>158</v>
      </c>
      <c r="D71" s="104">
        <f>NPV(F68,I67)</f>
        <v>238.09523809523807</v>
      </c>
      <c r="H71" s="49"/>
      <c r="I71" s="123"/>
    </row>
    <row r="72" spans="2:9" ht="15" thickBot="1" x14ac:dyDescent="0.35">
      <c r="B72" s="68" t="s">
        <v>159</v>
      </c>
      <c r="C72" s="70"/>
      <c r="D72" s="39">
        <f>G68-SUM(D69:D71)</f>
        <v>-57.283230752618465</v>
      </c>
      <c r="E72" s="70"/>
      <c r="F72" s="70"/>
      <c r="G72" s="70"/>
      <c r="H72" s="124"/>
      <c r="I72" s="125"/>
    </row>
  </sheetData>
  <pageMargins left="0.7" right="0.7" top="0.75" bottom="0.75" header="0.3" footer="0.3"/>
  <pageSetup scale="57" fitToHeight="0"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BEA3-2E6A-4143-B35A-E7A3CE255C68}">
  <sheetPr>
    <pageSetUpPr fitToPage="1"/>
  </sheetPr>
  <dimension ref="A1:G18"/>
  <sheetViews>
    <sheetView showGridLines="0" workbookViewId="0">
      <selection activeCell="D28" sqref="D28"/>
    </sheetView>
  </sheetViews>
  <sheetFormatPr baseColWidth="10" defaultColWidth="10.88671875" defaultRowHeight="14.4" x14ac:dyDescent="0.3"/>
  <cols>
    <col min="2" max="2" width="2.5546875" style="52" customWidth="1"/>
    <col min="3" max="3" width="47.77734375" customWidth="1"/>
    <col min="8" max="8" width="12" bestFit="1" customWidth="1"/>
  </cols>
  <sheetData>
    <row r="1" spans="1:7" ht="18" x14ac:dyDescent="0.35">
      <c r="A1" s="51" t="s">
        <v>54</v>
      </c>
    </row>
    <row r="3" spans="1:7" x14ac:dyDescent="0.3">
      <c r="G3" s="25"/>
    </row>
    <row r="4" spans="1:7" x14ac:dyDescent="0.3">
      <c r="C4" s="31"/>
      <c r="D4" s="59"/>
      <c r="G4" s="25"/>
    </row>
    <row r="5" spans="1:7" x14ac:dyDescent="0.3">
      <c r="C5" s="31" t="s">
        <v>121</v>
      </c>
      <c r="D5" s="59">
        <f>+'A.2) Regroupement'!D20</f>
        <v>1108.4162097639403</v>
      </c>
      <c r="G5" s="25"/>
    </row>
    <row r="6" spans="1:7" x14ac:dyDescent="0.3">
      <c r="A6" s="127"/>
      <c r="C6" t="s">
        <v>117</v>
      </c>
      <c r="D6" s="18"/>
    </row>
    <row r="7" spans="1:7" x14ac:dyDescent="0.3">
      <c r="A7" s="127"/>
      <c r="C7" t="s">
        <v>170</v>
      </c>
      <c r="D7" s="109">
        <v>750</v>
      </c>
    </row>
    <row r="8" spans="1:7" x14ac:dyDescent="0.3">
      <c r="A8" s="127"/>
      <c r="C8" t="s">
        <v>118</v>
      </c>
      <c r="D8" s="18">
        <f>-D15</f>
        <v>105</v>
      </c>
      <c r="E8" s="57" t="s">
        <v>168</v>
      </c>
    </row>
    <row r="9" spans="1:7" x14ac:dyDescent="0.3">
      <c r="A9" s="127"/>
      <c r="C9" t="s">
        <v>120</v>
      </c>
      <c r="D9" s="18">
        <v>100</v>
      </c>
      <c r="E9" s="57" t="s">
        <v>169</v>
      </c>
    </row>
    <row r="10" spans="1:7" x14ac:dyDescent="0.3">
      <c r="A10" s="127"/>
      <c r="C10" s="8" t="s">
        <v>119</v>
      </c>
      <c r="D10" s="19">
        <f>-D18</f>
        <v>-31.5</v>
      </c>
      <c r="E10" s="107" t="s">
        <v>18</v>
      </c>
    </row>
    <row r="11" spans="1:7" x14ac:dyDescent="0.3">
      <c r="A11" s="127"/>
      <c r="D11" s="18">
        <f>SUM(D4:D10)</f>
        <v>2031.9162097639401</v>
      </c>
    </row>
    <row r="12" spans="1:7" x14ac:dyDescent="0.3">
      <c r="A12" s="127"/>
      <c r="D12" s="18"/>
    </row>
    <row r="13" spans="1:7" x14ac:dyDescent="0.3">
      <c r="A13" s="127"/>
      <c r="D13" s="18"/>
    </row>
    <row r="14" spans="1:7" x14ac:dyDescent="0.3">
      <c r="A14" s="127"/>
      <c r="C14" s="107" t="str">
        <f>E10</f>
        <v>Note 1</v>
      </c>
      <c r="D14" s="25"/>
    </row>
    <row r="15" spans="1:7" x14ac:dyDescent="0.3">
      <c r="A15" s="127"/>
      <c r="C15" s="8" t="s">
        <v>118</v>
      </c>
      <c r="D15" s="53">
        <v>-105</v>
      </c>
    </row>
    <row r="16" spans="1:7" x14ac:dyDescent="0.3">
      <c r="A16" s="127"/>
      <c r="C16" t="s">
        <v>63</v>
      </c>
      <c r="D16" s="25">
        <f>D15</f>
        <v>-105</v>
      </c>
    </row>
    <row r="17" spans="1:5" x14ac:dyDescent="0.3">
      <c r="A17" s="127"/>
      <c r="C17" s="8" t="s">
        <v>64</v>
      </c>
      <c r="D17" s="58">
        <v>0.3</v>
      </c>
      <c r="E17" s="57" t="s">
        <v>65</v>
      </c>
    </row>
    <row r="18" spans="1:5" x14ac:dyDescent="0.3">
      <c r="A18" s="127"/>
      <c r="C18" t="s">
        <v>119</v>
      </c>
      <c r="D18" s="25">
        <f>-D16*D17</f>
        <v>31.5</v>
      </c>
      <c r="E18" t="s">
        <v>167</v>
      </c>
    </row>
  </sheetData>
  <pageMargins left="0.7" right="0.7" top="0.75" bottom="0.75" header="0.3" footer="0.3"/>
  <pageSetup scale="82"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1.1 EGI</vt:lpstr>
      <vt:lpstr>1.2 PI</vt:lpstr>
      <vt:lpstr>1.3 EAI</vt:lpstr>
      <vt:lpstr>A.2) Regroupement</vt:lpstr>
      <vt:lpstr>A.3) Placement avec influence</vt:lpstr>
      <vt:lpstr>A.4) Consolidé</vt:lpstr>
      <vt:lpstr>Actifs nets</vt:lpstr>
      <vt:lpstr>B) Ajustements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veronique beland</dc:creator>
  <cp:lastModifiedBy>SOKRI Marzouk</cp:lastModifiedBy>
  <cp:lastPrinted>2022-02-17T19:14:16Z</cp:lastPrinted>
  <dcterms:created xsi:type="dcterms:W3CDTF">2022-01-19T17:42:07Z</dcterms:created>
  <dcterms:modified xsi:type="dcterms:W3CDTF">2025-04-21T22:24:50Z</dcterms:modified>
</cp:coreProperties>
</file>