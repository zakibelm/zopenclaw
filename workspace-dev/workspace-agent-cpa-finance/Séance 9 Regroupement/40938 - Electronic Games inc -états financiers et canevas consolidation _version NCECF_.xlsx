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hecmtl-my.sharepoint.com/personal/louise_overbeek_hec_ca/Documents/cours HEC/40938-16 info fin intégrité et conformité/2024 Aut/Séance 9/Cas Electronic games/2025 Hiver/NCECF/"/>
    </mc:Choice>
  </mc:AlternateContent>
  <xr:revisionPtr revIDLastSave="0" documentId="14_{498052F8-A753-416A-9A7B-879EC9ECE12E}" xr6:coauthVersionLast="47" xr6:coauthVersionMax="47" xr10:uidLastSave="{00000000-0000-0000-0000-000000000000}"/>
  <bookViews>
    <workbookView xWindow="59400" yWindow="-120" windowWidth="30960" windowHeight="15840" tabRatio="740" activeTab="3" xr2:uid="{0D8EDAFB-DD13-456B-854B-523F025759F6}"/>
  </bookViews>
  <sheets>
    <sheet name="1.1 EGI" sheetId="1" r:id="rId1"/>
    <sheet name="1.2 PI" sheetId="2" r:id="rId2"/>
    <sheet name="1.3 EAI" sheetId="3" r:id="rId3"/>
    <sheet name="A.4) Consolidé"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2" i="3" l="1"/>
  <c r="E71" i="3"/>
  <c r="E69" i="3"/>
  <c r="G72" i="3"/>
  <c r="G71" i="3"/>
  <c r="G69" i="3"/>
  <c r="E61" i="3"/>
  <c r="E60" i="3"/>
  <c r="E58" i="3"/>
  <c r="G61" i="3"/>
  <c r="G60" i="3"/>
  <c r="G58" i="3"/>
  <c r="F24" i="3"/>
  <c r="E65" i="2"/>
  <c r="E64" i="2"/>
  <c r="E62" i="2"/>
  <c r="G65" i="2"/>
  <c r="G64" i="2"/>
  <c r="G62" i="2"/>
  <c r="E54" i="2"/>
  <c r="G54" i="2"/>
  <c r="E15" i="2"/>
  <c r="E36" i="2"/>
  <c r="E38" i="2" s="1"/>
  <c r="D36" i="2"/>
  <c r="E31" i="2"/>
  <c r="F29" i="2"/>
  <c r="F31" i="2" s="1"/>
  <c r="E29" i="2"/>
  <c r="D29" i="2"/>
  <c r="D31" i="2" s="1"/>
  <c r="F25" i="2"/>
  <c r="E25" i="2"/>
  <c r="D25" i="2"/>
  <c r="F16" i="2"/>
  <c r="F11" i="2"/>
  <c r="F18" i="2" s="1"/>
  <c r="E11" i="2"/>
  <c r="D11" i="2"/>
  <c r="D71" i="3"/>
  <c r="F69" i="3"/>
  <c r="D69" i="3"/>
  <c r="B64" i="3"/>
  <c r="F60" i="3"/>
  <c r="D60" i="3"/>
  <c r="F58" i="3"/>
  <c r="D57" i="3"/>
  <c r="B53" i="3"/>
  <c r="B48" i="3"/>
  <c r="B42" i="3"/>
  <c r="E36" i="3"/>
  <c r="D36" i="3"/>
  <c r="E29" i="3"/>
  <c r="D29" i="3"/>
  <c r="F28" i="3"/>
  <c r="F29" i="3" s="1"/>
  <c r="E24" i="3"/>
  <c r="D24" i="3"/>
  <c r="F15" i="3"/>
  <c r="E15" i="3"/>
  <c r="F10" i="3"/>
  <c r="E10" i="3"/>
  <c r="D10" i="3"/>
  <c r="D74" i="2"/>
  <c r="B68" i="2"/>
  <c r="D63" i="2"/>
  <c r="D15" i="2" s="1"/>
  <c r="D16" i="2" s="1"/>
  <c r="D18" i="2" s="1"/>
  <c r="D39" i="2" s="1"/>
  <c r="B57" i="2"/>
  <c r="H54" i="2"/>
  <c r="F53" i="2"/>
  <c r="D53" i="2"/>
  <c r="D52" i="2"/>
  <c r="F51" i="2"/>
  <c r="D50" i="2"/>
  <c r="D51" i="2" s="1"/>
  <c r="B46" i="2"/>
  <c r="B42" i="2"/>
  <c r="D52" i="1"/>
  <c r="B48" i="1"/>
  <c r="B45" i="1"/>
  <c r="E39" i="1"/>
  <c r="D39" i="1"/>
  <c r="E32" i="1"/>
  <c r="D32" i="1"/>
  <c r="D34" i="1" s="1"/>
  <c r="E26" i="1"/>
  <c r="E34" i="1" s="1"/>
  <c r="E41" i="1" s="1"/>
  <c r="D26" i="1"/>
  <c r="E18" i="1"/>
  <c r="E20" i="1" s="1"/>
  <c r="D18" i="1"/>
  <c r="D20" i="1" s="1"/>
  <c r="D43" i="1" s="1"/>
  <c r="E13" i="1"/>
  <c r="D13" i="1"/>
  <c r="F31" i="3" l="1"/>
  <c r="E16" i="2"/>
  <c r="E18" i="2" s="1"/>
  <c r="E39" i="2" s="1"/>
  <c r="D38" i="2"/>
  <c r="D31" i="3"/>
  <c r="F17" i="3"/>
  <c r="E31" i="3"/>
  <c r="E38" i="3" s="1"/>
  <c r="E17" i="3"/>
  <c r="D38" i="3"/>
  <c r="E43" i="1"/>
  <c r="D41" i="1"/>
  <c r="D15" i="3" l="1"/>
  <c r="D17" i="3" s="1"/>
</calcChain>
</file>

<file path=xl/sharedStrings.xml><?xml version="1.0" encoding="utf-8"?>
<sst xmlns="http://schemas.openxmlformats.org/spreadsheetml/2006/main" count="183" uniqueCount="80">
  <si>
    <t>Electronic Games inc.</t>
  </si>
  <si>
    <t>Trésorerie</t>
  </si>
  <si>
    <t>Stocks</t>
  </si>
  <si>
    <t>Frais payés d'avance</t>
  </si>
  <si>
    <t>Fournisseurs</t>
  </si>
  <si>
    <t>Obligations locatives</t>
  </si>
  <si>
    <t>Actifs incorporels</t>
  </si>
  <si>
    <t>CAPITAUX PROPRES</t>
  </si>
  <si>
    <t>Pintendo inc.</t>
  </si>
  <si>
    <t>Valeur comptable</t>
  </si>
  <si>
    <t>Juste valeur</t>
  </si>
  <si>
    <t>Salaires à payer</t>
  </si>
  <si>
    <t>Emprunt long-terme</t>
  </si>
  <si>
    <t>Placements</t>
  </si>
  <si>
    <t>Epic Arts inc.</t>
  </si>
  <si>
    <t>Actif d'impôts futurs</t>
  </si>
  <si>
    <t>Note 1</t>
  </si>
  <si>
    <t>Note 2</t>
  </si>
  <si>
    <t>Note 3</t>
  </si>
  <si>
    <t>Note 4</t>
  </si>
  <si>
    <t>Passif d'impôts futurs</t>
  </si>
  <si>
    <t>Ordinateurs</t>
  </si>
  <si>
    <t>Mobilier de bureau</t>
  </si>
  <si>
    <t>Durée de vie</t>
  </si>
  <si>
    <t>Jeux vidéo développés à l'interne</t>
  </si>
  <si>
    <t>Logiciels achetés ou développés à l'interne</t>
  </si>
  <si>
    <t>Dividende à recevoir - PI</t>
  </si>
  <si>
    <t>Résultat net</t>
  </si>
  <si>
    <t>Dividendes</t>
  </si>
  <si>
    <t>ACTIF COURT TERME</t>
  </si>
  <si>
    <t>PASSIF COURT TERME</t>
  </si>
  <si>
    <t>ACTIF LONG TERME</t>
  </si>
  <si>
    <t>PASSIF LONG TERME</t>
  </si>
  <si>
    <t>Il s'agit de titres boursiers, principalement constitués d'actions de diverses entreprises.</t>
  </si>
  <si>
    <t>Immobilisation louée</t>
  </si>
  <si>
    <t>Bénéfices non répartis</t>
  </si>
  <si>
    <t>Impôt et subventions à recevoir</t>
  </si>
  <si>
    <t>Effet à payer</t>
  </si>
  <si>
    <t>Effet à recevoir</t>
  </si>
  <si>
    <t>EGI</t>
  </si>
  <si>
    <t>EAI</t>
  </si>
  <si>
    <t>Ajustements</t>
  </si>
  <si>
    <t>EGI consolidé</t>
  </si>
  <si>
    <t>Dividende à payer</t>
  </si>
  <si>
    <t>Corrections préalables</t>
  </si>
  <si>
    <t>EGI corrigé</t>
  </si>
  <si>
    <t>Explication</t>
  </si>
  <si>
    <t>Salaires et boni à payer</t>
  </si>
  <si>
    <t xml:space="preserve">  </t>
  </si>
  <si>
    <t>Bilan (en milliers)</t>
  </si>
  <si>
    <t>Actif</t>
  </si>
  <si>
    <t>Les stocks de PI sont évalués au coût.
Étant donné la popularité des jeux de PI, le délai d'écoulement des stocks est de 34 jours seulement.</t>
  </si>
  <si>
    <t>Portion court terme de l'emprunt long-terme</t>
  </si>
  <si>
    <t>Moins : portion court terme</t>
  </si>
  <si>
    <t>Immobilisations corporelles</t>
  </si>
  <si>
    <t>Capital-actions ordinaire</t>
  </si>
  <si>
    <t>Note A</t>
  </si>
  <si>
    <t>Le coût du placement comprend :</t>
  </si>
  <si>
    <t>31 décembre 2022</t>
  </si>
  <si>
    <t>1er janvier 2022</t>
  </si>
  <si>
    <t>ACTIF COURT-TERME</t>
  </si>
  <si>
    <t>immobilisations incorporelles</t>
  </si>
  <si>
    <t>Portion courante de l'emprunt</t>
  </si>
  <si>
    <t>Emprunt non courant</t>
  </si>
  <si>
    <t>Moins : portion courante</t>
  </si>
  <si>
    <t>Les immobilisations corporelles de PI se détaillent comme suit :</t>
  </si>
  <si>
    <t>Les immobilisations incorporelles de PI se détaillent comme suit :</t>
  </si>
  <si>
    <t>Les résultats non distribués se détaillent comme suit :</t>
  </si>
  <si>
    <t>Les immobilisations corporelles d'EAI se détaillent comme suit :</t>
  </si>
  <si>
    <t>Les immobilisations incorporelles d'EAI se détaillent comme suit :</t>
  </si>
  <si>
    <t>31 décembre 2025</t>
  </si>
  <si>
    <t>31 décembre 2024</t>
  </si>
  <si>
    <t>Les placements, en date du 1er janvier 2025, sont constitués de :</t>
  </si>
  <si>
    <r>
      <t>·</t>
    </r>
    <r>
      <rPr>
        <sz val="7"/>
        <color theme="1"/>
        <rFont val="Times New Roman"/>
        <family val="1"/>
      </rPr>
      <t xml:space="preserve">       </t>
    </r>
    <r>
      <rPr>
        <sz val="12"/>
        <color theme="1"/>
        <rFont val="Times New Roman"/>
        <family val="1"/>
      </rPr>
      <t>2,5 millions de dollars versés le 1er janvier 2025.</t>
    </r>
  </si>
  <si>
    <t>1er janvier 2025</t>
  </si>
  <si>
    <t>BNR - début</t>
  </si>
  <si>
    <t>BNR - fin</t>
  </si>
  <si>
    <t>Les frais payés d'avance au 1er janvier 2025 correspondent à un accès à un logiciel pour les graphistes pour 18 mois, soit du 1er janvier 2025 au 30 juin 2026. En date du 1er janvier 2025, soit après qu’EAI ait signé son entente, le prix pour la même licence avait été augmenté par le fournisseur en question.</t>
  </si>
  <si>
    <t>En date du 1er janvier 2025, EAI avait un actif d'impôts différés, principalement grâce aux pertes fiscales encore partiellement inutilisées. En date du 31 décembre 2025, grâce à l'acquisition d'EAI par EGI, les pertes ont finalement pu être utilisées</t>
  </si>
  <si>
    <t>Bilan au 31 décembre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</si>
</sst>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quot;_);[Red]\(#,##0.00\ &quot;$&quot;\)"/>
    <numFmt numFmtId="165" formatCode="_ * #,##0.00_)_ ;_ * \(#,##0.00\)_ ;_ * &quot;-&quot;??_)_ ;_ @_ "/>
    <numFmt numFmtId="166" formatCode="_ * #,##0.00_)\ _$_ ;_ * \(#,##0.00\)\ _$_ ;_ * &quot;-&quot;??_)\ _$_ ;_ @_ "/>
    <numFmt numFmtId="167" formatCode="_ * #,##0_)_ ;_ * \(#,##0\)_ ;_ * &quot;-&quot;??_)_ ;_ @_ "/>
  </numFmts>
  <fonts count="13" x14ac:knownFonts="1">
    <font>
      <sz val="11"/>
      <color theme="1"/>
      <name val="Calibri"/>
      <family val="2"/>
      <scheme val="minor"/>
    </font>
    <font>
      <sz val="11"/>
      <color theme="1"/>
      <name val="Calibri"/>
      <family val="2"/>
      <scheme val="minor"/>
    </font>
    <font>
      <sz val="11"/>
      <color rgb="FF0000FF"/>
      <name val="Calibri"/>
      <family val="2"/>
      <scheme val="minor"/>
    </font>
    <font>
      <b/>
      <sz val="11"/>
      <color theme="1"/>
      <name val="Calibri"/>
      <family val="2"/>
      <scheme val="minor"/>
    </font>
    <font>
      <b/>
      <u/>
      <sz val="11"/>
      <color theme="1"/>
      <name val="Calibri"/>
      <family val="2"/>
      <scheme val="minor"/>
    </font>
    <font>
      <sz val="11"/>
      <name val="Calibri"/>
      <family val="2"/>
      <scheme val="minor"/>
    </font>
    <font>
      <b/>
      <u/>
      <sz val="11"/>
      <name val="Calibri"/>
      <family val="2"/>
      <scheme val="minor"/>
    </font>
    <font>
      <i/>
      <sz val="11"/>
      <color theme="1"/>
      <name val="Calibri"/>
      <family val="2"/>
      <scheme val="minor"/>
    </font>
    <font>
      <i/>
      <sz val="11"/>
      <name val="Calibri"/>
      <family val="2"/>
      <scheme val="minor"/>
    </font>
    <font>
      <sz val="12"/>
      <color theme="1"/>
      <name val="Times New Roman"/>
      <family val="1"/>
    </font>
    <font>
      <sz val="7"/>
      <color theme="1"/>
      <name val="Times New Roman"/>
      <family val="1"/>
    </font>
    <font>
      <i/>
      <sz val="12"/>
      <color theme="1"/>
      <name val="Calibri"/>
      <family val="2"/>
      <scheme val="minor"/>
    </font>
    <font>
      <sz val="8"/>
      <name val="Calibri"/>
      <family val="2"/>
      <scheme val="minor"/>
    </font>
  </fonts>
  <fills count="2">
    <fill>
      <patternFill patternType="none"/>
    </fill>
    <fill>
      <patternFill patternType="gray125"/>
    </fill>
  </fills>
  <borders count="21">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100">
    <xf numFmtId="0" fontId="0" fillId="0" borderId="0" xfId="0"/>
    <xf numFmtId="49" fontId="0" fillId="0" borderId="0" xfId="0" applyNumberFormat="1"/>
    <xf numFmtId="0" fontId="0" fillId="0" borderId="0" xfId="0" applyAlignment="1">
      <alignment horizontal="center"/>
    </xf>
    <xf numFmtId="49" fontId="0" fillId="0" borderId="0" xfId="0" applyNumberFormat="1" applyAlignment="1">
      <alignment horizontal="center"/>
    </xf>
    <xf numFmtId="165" fontId="0" fillId="0" borderId="0" xfId="1" applyFont="1"/>
    <xf numFmtId="165" fontId="0" fillId="0" borderId="0" xfId="1" applyFont="1" applyAlignment="1">
      <alignment horizontal="center" wrapText="1"/>
    </xf>
    <xf numFmtId="49" fontId="0" fillId="0" borderId="0" xfId="0" applyNumberFormat="1" applyAlignment="1">
      <alignment horizontal="right"/>
    </xf>
    <xf numFmtId="0" fontId="0" fillId="0" borderId="0" xfId="0" applyAlignment="1">
      <alignment horizontal="right"/>
    </xf>
    <xf numFmtId="0" fontId="0" fillId="0" borderId="1" xfId="0" applyBorder="1"/>
    <xf numFmtId="165" fontId="0" fillId="0" borderId="2" xfId="1" applyFont="1" applyBorder="1" applyAlignment="1">
      <alignment horizontal="center" wrapText="1"/>
    </xf>
    <xf numFmtId="165" fontId="0" fillId="0" borderId="0" xfId="1" applyFont="1" applyBorder="1"/>
    <xf numFmtId="165" fontId="0" fillId="0" borderId="2" xfId="1" applyFont="1" applyBorder="1"/>
    <xf numFmtId="165" fontId="0" fillId="0" borderId="5" xfId="1" applyFont="1" applyBorder="1"/>
    <xf numFmtId="9" fontId="0" fillId="0" borderId="0" xfId="2" applyFont="1"/>
    <xf numFmtId="166" fontId="0" fillId="0" borderId="0" xfId="0" applyNumberFormat="1"/>
    <xf numFmtId="0" fontId="2" fillId="0" borderId="0" xfId="0" applyFont="1"/>
    <xf numFmtId="165" fontId="2" fillId="0" borderId="0" xfId="1" applyFont="1"/>
    <xf numFmtId="0" fontId="2" fillId="0" borderId="0" xfId="0" applyFont="1" applyAlignment="1">
      <alignment horizontal="center"/>
    </xf>
    <xf numFmtId="167" fontId="0" fillId="0" borderId="0" xfId="1" applyNumberFormat="1" applyFont="1"/>
    <xf numFmtId="167" fontId="0" fillId="0" borderId="1" xfId="1" applyNumberFormat="1" applyFont="1" applyBorder="1"/>
    <xf numFmtId="167" fontId="0" fillId="0" borderId="0" xfId="1" applyNumberFormat="1" applyFont="1" applyBorder="1"/>
    <xf numFmtId="167" fontId="0" fillId="0" borderId="5" xfId="1" applyNumberFormat="1" applyFont="1" applyBorder="1"/>
    <xf numFmtId="167" fontId="0" fillId="0" borderId="4" xfId="1" applyNumberFormat="1" applyFont="1" applyBorder="1"/>
    <xf numFmtId="167" fontId="0" fillId="0" borderId="2" xfId="1" applyNumberFormat="1" applyFont="1" applyBorder="1"/>
    <xf numFmtId="167" fontId="0" fillId="0" borderId="3" xfId="1" applyNumberFormat="1" applyFont="1" applyBorder="1"/>
    <xf numFmtId="167" fontId="0" fillId="0" borderId="0" xfId="0" applyNumberFormat="1"/>
    <xf numFmtId="167" fontId="0" fillId="0" borderId="0" xfId="1" applyNumberFormat="1" applyFont="1" applyFill="1" applyBorder="1"/>
    <xf numFmtId="167" fontId="0" fillId="0" borderId="3" xfId="1" applyNumberFormat="1" applyFont="1" applyFill="1" applyBorder="1"/>
    <xf numFmtId="49" fontId="0" fillId="0" borderId="0" xfId="1" applyNumberFormat="1" applyFont="1" applyAlignment="1">
      <alignment horizontal="center"/>
    </xf>
    <xf numFmtId="164" fontId="2" fillId="0" borderId="0" xfId="1" applyNumberFormat="1" applyFont="1"/>
    <xf numFmtId="49" fontId="0" fillId="0" borderId="5" xfId="1" applyNumberFormat="1" applyFont="1" applyBorder="1" applyAlignment="1">
      <alignment horizontal="center"/>
    </xf>
    <xf numFmtId="49" fontId="0" fillId="0" borderId="0" xfId="1" applyNumberFormat="1" applyFont="1" applyBorder="1" applyAlignment="1">
      <alignment horizontal="center"/>
    </xf>
    <xf numFmtId="0" fontId="3" fillId="0" borderId="0" xfId="0" applyFont="1"/>
    <xf numFmtId="49" fontId="3" fillId="0" borderId="0" xfId="0" applyNumberFormat="1" applyFont="1" applyAlignment="1">
      <alignment horizontal="center"/>
    </xf>
    <xf numFmtId="0" fontId="3" fillId="0" borderId="0" xfId="0" applyFont="1" applyAlignment="1">
      <alignment horizontal="center"/>
    </xf>
    <xf numFmtId="0" fontId="0" fillId="0" borderId="10" xfId="0" applyBorder="1"/>
    <xf numFmtId="0" fontId="0" fillId="0" borderId="11" xfId="0" applyBorder="1"/>
    <xf numFmtId="167" fontId="0" fillId="0" borderId="10" xfId="1" applyNumberFormat="1" applyFont="1" applyBorder="1"/>
    <xf numFmtId="167" fontId="0" fillId="0" borderId="11" xfId="1" applyNumberFormat="1" applyFont="1" applyBorder="1"/>
    <xf numFmtId="167" fontId="0" fillId="0" borderId="12" xfId="1" applyNumberFormat="1" applyFont="1" applyBorder="1"/>
    <xf numFmtId="167" fontId="0" fillId="0" borderId="13" xfId="1" applyNumberFormat="1" applyFont="1" applyBorder="1"/>
    <xf numFmtId="167" fontId="0" fillId="0" borderId="14" xfId="1" applyNumberFormat="1" applyFont="1" applyBorder="1"/>
    <xf numFmtId="0" fontId="0" fillId="0" borderId="14" xfId="0" applyBorder="1"/>
    <xf numFmtId="0" fontId="0" fillId="0" borderId="9" xfId="0" applyBorder="1"/>
    <xf numFmtId="0" fontId="3" fillId="0" borderId="10" xfId="0" applyFont="1" applyBorder="1"/>
    <xf numFmtId="0" fontId="3" fillId="0" borderId="12" xfId="0" applyFont="1" applyBorder="1"/>
    <xf numFmtId="0" fontId="4" fillId="0" borderId="7" xfId="0" applyFont="1" applyBorder="1"/>
    <xf numFmtId="0" fontId="4" fillId="0" borderId="10" xfId="0" applyFont="1" applyBorder="1"/>
    <xf numFmtId="167" fontId="0" fillId="0" borderId="17" xfId="0" applyNumberFormat="1" applyBorder="1"/>
    <xf numFmtId="167" fontId="0" fillId="0" borderId="16" xfId="0" applyNumberFormat="1" applyBorder="1"/>
    <xf numFmtId="0" fontId="5" fillId="0" borderId="0" xfId="0" applyFont="1"/>
    <xf numFmtId="0" fontId="4" fillId="0" borderId="0" xfId="0" applyFont="1"/>
    <xf numFmtId="0" fontId="0" fillId="0" borderId="7" xfId="0" applyBorder="1"/>
    <xf numFmtId="0" fontId="3" fillId="0" borderId="19" xfId="0" applyFont="1" applyBorder="1" applyAlignment="1">
      <alignment horizontal="center" vertical="center" wrapText="1"/>
    </xf>
    <xf numFmtId="0" fontId="3" fillId="0" borderId="18" xfId="0" applyFont="1" applyBorder="1" applyAlignment="1">
      <alignment horizontal="center" wrapText="1"/>
    </xf>
    <xf numFmtId="167" fontId="5" fillId="0" borderId="10" xfId="1" applyNumberFormat="1" applyFont="1" applyBorder="1"/>
    <xf numFmtId="167" fontId="5" fillId="0" borderId="0" xfId="1" applyNumberFormat="1" applyFont="1" applyBorder="1"/>
    <xf numFmtId="167" fontId="5" fillId="0" borderId="12" xfId="1" applyNumberFormat="1" applyFont="1" applyBorder="1"/>
    <xf numFmtId="167" fontId="5" fillId="0" borderId="13" xfId="1" applyNumberFormat="1" applyFont="1" applyBorder="1"/>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0" fillId="0" borderId="15" xfId="0" applyBorder="1"/>
    <xf numFmtId="167" fontId="0" fillId="0" borderId="17" xfId="1" applyNumberFormat="1" applyFont="1" applyBorder="1"/>
    <xf numFmtId="167" fontId="5" fillId="0" borderId="0" xfId="1" applyNumberFormat="1" applyFont="1" applyFill="1" applyBorder="1"/>
    <xf numFmtId="0" fontId="3" fillId="0" borderId="19" xfId="0" applyFont="1" applyBorder="1" applyAlignment="1">
      <alignment horizontal="center" vertical="center"/>
    </xf>
    <xf numFmtId="0" fontId="3" fillId="0" borderId="16" xfId="0" applyFont="1" applyBorder="1" applyAlignment="1">
      <alignment horizontal="center" vertical="center"/>
    </xf>
    <xf numFmtId="49" fontId="3" fillId="0" borderId="0" xfId="0" applyNumberFormat="1" applyFont="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wrapText="1"/>
    </xf>
    <xf numFmtId="167" fontId="7" fillId="0" borderId="11" xfId="1" applyNumberFormat="1" applyFont="1" applyBorder="1"/>
    <xf numFmtId="0" fontId="4" fillId="0" borderId="15" xfId="0" applyFont="1" applyBorder="1" applyAlignment="1">
      <alignment horizontal="center" vertical="center" wrapText="1"/>
    </xf>
    <xf numFmtId="167" fontId="3" fillId="0" borderId="2" xfId="1" applyNumberFormat="1" applyFont="1" applyBorder="1"/>
    <xf numFmtId="167" fontId="3" fillId="0" borderId="0" xfId="1" applyNumberFormat="1" applyFont="1" applyBorder="1"/>
    <xf numFmtId="167" fontId="3" fillId="0" borderId="0" xfId="0" applyNumberFormat="1" applyFont="1"/>
    <xf numFmtId="167" fontId="3" fillId="0" borderId="6" xfId="1" applyNumberFormat="1" applyFont="1" applyBorder="1"/>
    <xf numFmtId="167" fontId="3" fillId="0" borderId="0" xfId="1" applyNumberFormat="1" applyFont="1"/>
    <xf numFmtId="167" fontId="3" fillId="0" borderId="5" xfId="1" applyNumberFormat="1" applyFont="1" applyBorder="1"/>
    <xf numFmtId="167" fontId="0" fillId="0" borderId="1" xfId="1" applyNumberFormat="1" applyFont="1" applyFill="1" applyBorder="1"/>
    <xf numFmtId="167" fontId="0" fillId="0" borderId="4" xfId="1" applyNumberFormat="1" applyFont="1" applyFill="1" applyBorder="1"/>
    <xf numFmtId="0" fontId="11" fillId="0" borderId="0" xfId="0" applyFont="1" applyAlignment="1">
      <alignment vertical="center"/>
    </xf>
    <xf numFmtId="167" fontId="3" fillId="0" borderId="2" xfId="1" applyNumberFormat="1" applyFont="1" applyFill="1" applyBorder="1"/>
    <xf numFmtId="167" fontId="3" fillId="0" borderId="0" xfId="1" applyNumberFormat="1" applyFont="1" applyFill="1" applyBorder="1"/>
    <xf numFmtId="167" fontId="3" fillId="0" borderId="0" xfId="1" applyNumberFormat="1" applyFont="1" applyFill="1"/>
    <xf numFmtId="167" fontId="0" fillId="0" borderId="0" xfId="1" applyNumberFormat="1" applyFont="1" applyFill="1"/>
    <xf numFmtId="167" fontId="0" fillId="0" borderId="1" xfId="1" applyNumberFormat="1" applyFont="1" applyFill="1" applyBorder="1" applyAlignment="1">
      <alignment horizontal="right"/>
    </xf>
    <xf numFmtId="167" fontId="0" fillId="0" borderId="0" xfId="1" applyNumberFormat="1" applyFont="1" applyFill="1" applyBorder="1" applyAlignment="1">
      <alignment horizontal="right"/>
    </xf>
    <xf numFmtId="167" fontId="5" fillId="0" borderId="7" xfId="1" applyNumberFormat="1" applyFont="1" applyBorder="1"/>
    <xf numFmtId="167" fontId="5" fillId="0" borderId="8" xfId="1" applyNumberFormat="1" applyFont="1" applyBorder="1"/>
    <xf numFmtId="167" fontId="5" fillId="0" borderId="9" xfId="1" applyNumberFormat="1" applyFont="1" applyBorder="1"/>
    <xf numFmtId="167" fontId="5" fillId="0" borderId="11" xfId="1" applyNumberFormat="1" applyFont="1" applyBorder="1"/>
    <xf numFmtId="167" fontId="5" fillId="0" borderId="14" xfId="1" applyNumberFormat="1" applyFont="1" applyBorder="1"/>
    <xf numFmtId="49" fontId="0" fillId="0" borderId="0" xfId="1" applyNumberFormat="1" applyFont="1" applyAlignment="1"/>
    <xf numFmtId="165" fontId="0" fillId="0" borderId="0" xfId="1" applyFont="1" applyAlignment="1">
      <alignment horizontal="center"/>
    </xf>
    <xf numFmtId="49" fontId="0" fillId="0" borderId="0" xfId="1" applyNumberFormat="1" applyFont="1" applyAlignment="1">
      <alignment horizontal="center"/>
    </xf>
    <xf numFmtId="0" fontId="0" fillId="0" borderId="0" xfId="0" applyAlignment="1">
      <alignment horizontal="left" vertical="top" wrapTex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4" fillId="0" borderId="7" xfId="0" applyFont="1" applyBorder="1" applyAlignment="1">
      <alignment horizontal="center" wrapText="1"/>
    </xf>
    <xf numFmtId="0" fontId="4" fillId="0" borderId="9" xfId="0" applyFont="1" applyBorder="1" applyAlignment="1">
      <alignment horizontal="center" wrapText="1"/>
    </xf>
    <xf numFmtId="49" fontId="0" fillId="0" borderId="0" xfId="1" applyNumberFormat="1" applyFont="1" applyAlignment="1">
      <alignment horizontal="right"/>
    </xf>
  </cellXfs>
  <cellStyles count="3">
    <cellStyle name="Milliers" xfId="1" builtinId="3"/>
    <cellStyle name="Normal" xfId="0" builtinId="0"/>
    <cellStyle name="Pourcentage"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D47E-FA76-4856-9D23-486D13223E46}">
  <sheetPr>
    <pageSetUpPr fitToPage="1"/>
  </sheetPr>
  <dimension ref="A2:E68"/>
  <sheetViews>
    <sheetView showGridLines="0" topLeftCell="A34" workbookViewId="0">
      <selection activeCell="B58" sqref="B58"/>
    </sheetView>
  </sheetViews>
  <sheetFormatPr baseColWidth="10" defaultRowHeight="14.5" x14ac:dyDescent="0.35"/>
  <cols>
    <col min="1" max="1" width="3" customWidth="1"/>
    <col min="2" max="2" width="38.81640625" customWidth="1"/>
    <col min="3" max="3" width="9.453125" customWidth="1"/>
    <col min="4" max="5" width="14.7265625" style="4" customWidth="1"/>
    <col min="6" max="6" width="13.54296875" bestFit="1" customWidth="1"/>
  </cols>
  <sheetData>
    <row r="2" spans="1:5" x14ac:dyDescent="0.35">
      <c r="B2" t="s">
        <v>48</v>
      </c>
      <c r="D2" s="92" t="s">
        <v>0</v>
      </c>
      <c r="E2" s="92"/>
    </row>
    <row r="3" spans="1:5" x14ac:dyDescent="0.35">
      <c r="D3" s="92" t="s">
        <v>49</v>
      </c>
      <c r="E3" s="92"/>
    </row>
    <row r="4" spans="1:5" s="1" customFormat="1" x14ac:dyDescent="0.35">
      <c r="D4" s="31" t="s">
        <v>70</v>
      </c>
      <c r="E4" s="30" t="s">
        <v>71</v>
      </c>
    </row>
    <row r="5" spans="1:5" x14ac:dyDescent="0.35">
      <c r="A5" t="s">
        <v>29</v>
      </c>
      <c r="D5" s="10"/>
      <c r="E5" s="12"/>
    </row>
    <row r="6" spans="1:5" x14ac:dyDescent="0.35">
      <c r="B6" t="s">
        <v>1</v>
      </c>
      <c r="D6" s="26">
        <v>1511</v>
      </c>
      <c r="E6" s="21">
        <v>4193</v>
      </c>
    </row>
    <row r="7" spans="1:5" x14ac:dyDescent="0.35">
      <c r="B7" t="s">
        <v>13</v>
      </c>
      <c r="C7" t="s">
        <v>16</v>
      </c>
      <c r="D7" s="20">
        <v>700</v>
      </c>
      <c r="E7" s="21">
        <v>514</v>
      </c>
    </row>
    <row r="8" spans="1:5" x14ac:dyDescent="0.35">
      <c r="B8" t="s">
        <v>26</v>
      </c>
      <c r="D8" s="20">
        <v>9</v>
      </c>
      <c r="E8" s="21"/>
    </row>
    <row r="9" spans="1:5" x14ac:dyDescent="0.35">
      <c r="B9" t="s">
        <v>36</v>
      </c>
      <c r="D9" s="20">
        <v>1291</v>
      </c>
      <c r="E9" s="21">
        <v>1100</v>
      </c>
    </row>
    <row r="10" spans="1:5" x14ac:dyDescent="0.35">
      <c r="B10" t="s">
        <v>38</v>
      </c>
      <c r="D10" s="20">
        <v>15</v>
      </c>
      <c r="E10" s="21">
        <v>0</v>
      </c>
    </row>
    <row r="11" spans="1:5" x14ac:dyDescent="0.35">
      <c r="B11" t="s">
        <v>2</v>
      </c>
      <c r="D11" s="20">
        <v>300</v>
      </c>
      <c r="E11" s="21">
        <v>245</v>
      </c>
    </row>
    <row r="12" spans="1:5" x14ac:dyDescent="0.35">
      <c r="B12" t="s">
        <v>3</v>
      </c>
      <c r="D12" s="19">
        <v>100</v>
      </c>
      <c r="E12" s="22">
        <v>110</v>
      </c>
    </row>
    <row r="13" spans="1:5" x14ac:dyDescent="0.35">
      <c r="D13" s="20">
        <f>SUM(D6:D12)</f>
        <v>3926</v>
      </c>
      <c r="E13" s="21">
        <f>SUM(E6:E12)</f>
        <v>6162</v>
      </c>
    </row>
    <row r="14" spans="1:5" x14ac:dyDescent="0.35">
      <c r="A14" t="s">
        <v>31</v>
      </c>
      <c r="D14" s="20"/>
      <c r="E14" s="21"/>
    </row>
    <row r="15" spans="1:5" x14ac:dyDescent="0.35">
      <c r="B15" t="s">
        <v>34</v>
      </c>
      <c r="D15" s="20">
        <v>833</v>
      </c>
      <c r="E15" s="21">
        <v>1046</v>
      </c>
    </row>
    <row r="16" spans="1:5" x14ac:dyDescent="0.35">
      <c r="B16" t="s">
        <v>6</v>
      </c>
      <c r="D16" s="20">
        <v>2100</v>
      </c>
      <c r="E16" s="21">
        <v>1900</v>
      </c>
    </row>
    <row r="17" spans="1:5" x14ac:dyDescent="0.35">
      <c r="B17" t="s">
        <v>13</v>
      </c>
      <c r="C17" t="s">
        <v>17</v>
      </c>
      <c r="D17" s="19">
        <v>2900</v>
      </c>
      <c r="E17" s="22">
        <v>0</v>
      </c>
    </row>
    <row r="18" spans="1:5" x14ac:dyDescent="0.35">
      <c r="D18" s="20">
        <f>SUM(D15:D17)</f>
        <v>5833</v>
      </c>
      <c r="E18" s="21">
        <f>SUM(E15:E17)</f>
        <v>2946</v>
      </c>
    </row>
    <row r="19" spans="1:5" x14ac:dyDescent="0.35">
      <c r="D19" s="20"/>
      <c r="E19" s="21"/>
    </row>
    <row r="20" spans="1:5" s="32" customFormat="1" x14ac:dyDescent="0.35">
      <c r="D20" s="72">
        <f>D18+D13</f>
        <v>9759</v>
      </c>
      <c r="E20" s="76">
        <f>E18+E13</f>
        <v>9108</v>
      </c>
    </row>
    <row r="21" spans="1:5" x14ac:dyDescent="0.35">
      <c r="D21" s="20"/>
      <c r="E21" s="21"/>
    </row>
    <row r="22" spans="1:5" x14ac:dyDescent="0.35">
      <c r="A22" t="s">
        <v>30</v>
      </c>
      <c r="D22" s="20"/>
      <c r="E22" s="21"/>
    </row>
    <row r="23" spans="1:5" x14ac:dyDescent="0.35">
      <c r="B23" t="s">
        <v>4</v>
      </c>
      <c r="D23" s="20">
        <v>75</v>
      </c>
      <c r="E23" s="21">
        <v>79</v>
      </c>
    </row>
    <row r="24" spans="1:5" x14ac:dyDescent="0.35">
      <c r="B24" t="s">
        <v>11</v>
      </c>
      <c r="D24" s="20">
        <v>215</v>
      </c>
      <c r="E24" s="21">
        <v>191</v>
      </c>
    </row>
    <row r="25" spans="1:5" x14ac:dyDescent="0.35">
      <c r="B25" t="s">
        <v>52</v>
      </c>
      <c r="D25" s="19">
        <v>500</v>
      </c>
      <c r="E25" s="22">
        <v>500</v>
      </c>
    </row>
    <row r="26" spans="1:5" x14ac:dyDescent="0.35">
      <c r="D26" s="20">
        <f>SUM(D23:D25)</f>
        <v>790</v>
      </c>
      <c r="E26" s="21">
        <f>SUM(E23:E25)</f>
        <v>770</v>
      </c>
    </row>
    <row r="27" spans="1:5" x14ac:dyDescent="0.35">
      <c r="A27" t="s">
        <v>32</v>
      </c>
      <c r="D27" s="20"/>
      <c r="E27" s="21"/>
    </row>
    <row r="28" spans="1:5" x14ac:dyDescent="0.35">
      <c r="B28" t="s">
        <v>5</v>
      </c>
      <c r="D28" s="20">
        <v>915</v>
      </c>
      <c r="E28" s="21">
        <v>1045</v>
      </c>
    </row>
    <row r="29" spans="1:5" x14ac:dyDescent="0.35">
      <c r="B29" t="s">
        <v>20</v>
      </c>
      <c r="D29" s="20">
        <v>214</v>
      </c>
      <c r="E29" s="21">
        <v>193</v>
      </c>
    </row>
    <row r="30" spans="1:5" x14ac:dyDescent="0.35">
      <c r="B30" t="s">
        <v>12</v>
      </c>
      <c r="D30" s="20">
        <v>3500</v>
      </c>
      <c r="E30" s="21">
        <v>4000</v>
      </c>
    </row>
    <row r="31" spans="1:5" x14ac:dyDescent="0.35">
      <c r="B31" t="s">
        <v>53</v>
      </c>
      <c r="D31" s="24">
        <v>-500</v>
      </c>
      <c r="E31" s="22">
        <v>-500</v>
      </c>
    </row>
    <row r="32" spans="1:5" x14ac:dyDescent="0.35">
      <c r="D32" s="20">
        <f>SUM(D28:D31)</f>
        <v>4129</v>
      </c>
      <c r="E32" s="21">
        <f>SUM(E28:E31)</f>
        <v>4738</v>
      </c>
    </row>
    <row r="33" spans="1:5" x14ac:dyDescent="0.35">
      <c r="D33" s="20"/>
      <c r="E33" s="21"/>
    </row>
    <row r="34" spans="1:5" s="32" customFormat="1" x14ac:dyDescent="0.35">
      <c r="D34" s="72">
        <f>D32+D26</f>
        <v>4919</v>
      </c>
      <c r="E34" s="76">
        <f>E32+E26</f>
        <v>5508</v>
      </c>
    </row>
    <row r="35" spans="1:5" x14ac:dyDescent="0.35">
      <c r="D35" s="20"/>
      <c r="E35" s="21"/>
    </row>
    <row r="36" spans="1:5" x14ac:dyDescent="0.35">
      <c r="A36" t="s">
        <v>7</v>
      </c>
      <c r="D36" s="20"/>
      <c r="E36" s="21"/>
    </row>
    <row r="37" spans="1:5" x14ac:dyDescent="0.35">
      <c r="B37" t="s">
        <v>55</v>
      </c>
      <c r="D37" s="20">
        <v>500</v>
      </c>
      <c r="E37" s="21">
        <v>500</v>
      </c>
    </row>
    <row r="38" spans="1:5" x14ac:dyDescent="0.35">
      <c r="B38" t="s">
        <v>35</v>
      </c>
      <c r="D38" s="77">
        <v>4340</v>
      </c>
      <c r="E38" s="78">
        <v>3100</v>
      </c>
    </row>
    <row r="39" spans="1:5" s="32" customFormat="1" x14ac:dyDescent="0.35">
      <c r="D39" s="74">
        <f>SUM(D37:D38)</f>
        <v>4840</v>
      </c>
      <c r="E39" s="75">
        <f>SUM(E37:E38)</f>
        <v>3600</v>
      </c>
    </row>
    <row r="41" spans="1:5" x14ac:dyDescent="0.35">
      <c r="D41" s="75">
        <f>D39+D34</f>
        <v>9759</v>
      </c>
      <c r="E41" s="75">
        <f>E39+E34</f>
        <v>9108</v>
      </c>
    </row>
    <row r="43" spans="1:5" x14ac:dyDescent="0.35">
      <c r="D43" s="4">
        <f>D20-D39-D34</f>
        <v>0</v>
      </c>
      <c r="E43" s="4">
        <f>E20-E39-E34</f>
        <v>0</v>
      </c>
    </row>
    <row r="45" spans="1:5" x14ac:dyDescent="0.35">
      <c r="B45" t="str">
        <f>C7</f>
        <v>Note 1</v>
      </c>
    </row>
    <row r="46" spans="1:5" x14ac:dyDescent="0.35">
      <c r="B46" t="s">
        <v>33</v>
      </c>
    </row>
    <row r="48" spans="1:5" x14ac:dyDescent="0.35">
      <c r="B48" t="str">
        <f>C17</f>
        <v>Note 2</v>
      </c>
    </row>
    <row r="49" spans="2:5" x14ac:dyDescent="0.35">
      <c r="B49" t="s">
        <v>72</v>
      </c>
    </row>
    <row r="50" spans="2:5" x14ac:dyDescent="0.35">
      <c r="B50" t="s">
        <v>14</v>
      </c>
      <c r="D50" s="18">
        <v>2500</v>
      </c>
    </row>
    <row r="51" spans="2:5" x14ac:dyDescent="0.35">
      <c r="B51" s="8" t="s">
        <v>8</v>
      </c>
      <c r="C51" s="8"/>
      <c r="D51" s="19">
        <v>400</v>
      </c>
    </row>
    <row r="52" spans="2:5" x14ac:dyDescent="0.35">
      <c r="D52" s="18">
        <f>SUM(D50:D51)</f>
        <v>2900</v>
      </c>
      <c r="E52"/>
    </row>
    <row r="53" spans="2:5" x14ac:dyDescent="0.35">
      <c r="D53" s="13"/>
      <c r="E53" s="13"/>
    </row>
    <row r="54" spans="2:5" x14ac:dyDescent="0.35">
      <c r="D54"/>
      <c r="E54"/>
    </row>
    <row r="55" spans="2:5" ht="15.5" x14ac:dyDescent="0.35">
      <c r="B55" s="79" t="s">
        <v>56</v>
      </c>
      <c r="C55" s="32"/>
      <c r="D55"/>
      <c r="E55"/>
    </row>
    <row r="56" spans="2:5" x14ac:dyDescent="0.35">
      <c r="B56" t="s">
        <v>57</v>
      </c>
      <c r="C56" s="32"/>
      <c r="D56"/>
      <c r="E56"/>
    </row>
    <row r="57" spans="2:5" ht="14.5" customHeight="1" x14ac:dyDescent="0.35">
      <c r="B57" t="s">
        <v>73</v>
      </c>
      <c r="C57" s="32"/>
      <c r="D57"/>
      <c r="E57"/>
    </row>
    <row r="58" spans="2:5" ht="14.5" customHeight="1" x14ac:dyDescent="0.35">
      <c r="D58"/>
      <c r="E58"/>
    </row>
    <row r="59" spans="2:5" x14ac:dyDescent="0.35">
      <c r="D59"/>
      <c r="E59"/>
    </row>
    <row r="60" spans="2:5" x14ac:dyDescent="0.35">
      <c r="D60"/>
      <c r="E60"/>
    </row>
    <row r="61" spans="2:5" x14ac:dyDescent="0.35">
      <c r="D61"/>
      <c r="E61"/>
    </row>
    <row r="62" spans="2:5" x14ac:dyDescent="0.35">
      <c r="D62"/>
      <c r="E62"/>
    </row>
    <row r="63" spans="2:5" x14ac:dyDescent="0.35">
      <c r="D63"/>
      <c r="E63"/>
    </row>
    <row r="64" spans="2:5" x14ac:dyDescent="0.35">
      <c r="D64"/>
      <c r="E64"/>
    </row>
    <row r="65" spans="4:5" x14ac:dyDescent="0.35">
      <c r="D65"/>
      <c r="E65"/>
    </row>
    <row r="66" spans="4:5" x14ac:dyDescent="0.35">
      <c r="D66"/>
      <c r="E66"/>
    </row>
    <row r="67" spans="4:5" x14ac:dyDescent="0.35">
      <c r="D67"/>
      <c r="E67"/>
    </row>
    <row r="68" spans="4:5" x14ac:dyDescent="0.35">
      <c r="D68"/>
      <c r="E68"/>
    </row>
  </sheetData>
  <mergeCells count="2">
    <mergeCell ref="D2:E2"/>
    <mergeCell ref="D3:E3"/>
  </mergeCells>
  <pageMargins left="0.7" right="0.7" top="0.75" bottom="0.75" header="0.3" footer="0.3"/>
  <pageSetup scale="8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13C9E-0C66-43B1-BA59-77D873183A2C}">
  <sheetPr>
    <pageSetUpPr fitToPage="1"/>
  </sheetPr>
  <dimension ref="A2:I75"/>
  <sheetViews>
    <sheetView showGridLines="0" topLeftCell="A46" workbookViewId="0">
      <selection activeCell="D75" sqref="D75"/>
    </sheetView>
  </sheetViews>
  <sheetFormatPr baseColWidth="10" defaultRowHeight="14.5" x14ac:dyDescent="0.35"/>
  <cols>
    <col min="1" max="1" width="3" customWidth="1"/>
    <col min="2" max="2" width="38.81640625" customWidth="1"/>
    <col min="3" max="3" width="11" customWidth="1"/>
    <col min="4" max="6" width="17.81640625" style="4" customWidth="1"/>
    <col min="7" max="7" width="15.1796875" customWidth="1"/>
  </cols>
  <sheetData>
    <row r="2" spans="1:8" x14ac:dyDescent="0.35">
      <c r="D2" s="92" t="s">
        <v>8</v>
      </c>
      <c r="E2" s="92"/>
      <c r="F2" s="92"/>
    </row>
    <row r="3" spans="1:8" x14ac:dyDescent="0.35">
      <c r="D3" s="92" t="s">
        <v>49</v>
      </c>
      <c r="E3" s="92"/>
      <c r="F3" s="92"/>
    </row>
    <row r="4" spans="1:8" x14ac:dyDescent="0.35">
      <c r="D4" s="28" t="s">
        <v>70</v>
      </c>
      <c r="E4" s="93" t="s">
        <v>74</v>
      </c>
      <c r="F4" s="93"/>
    </row>
    <row r="5" spans="1:8" s="2" customFormat="1" x14ac:dyDescent="0.35">
      <c r="A5" s="3"/>
      <c r="B5" s="3"/>
      <c r="C5" s="3"/>
      <c r="D5" s="9" t="s">
        <v>9</v>
      </c>
      <c r="E5" s="5" t="s">
        <v>9</v>
      </c>
      <c r="F5" s="5" t="s">
        <v>10</v>
      </c>
    </row>
    <row r="6" spans="1:8" x14ac:dyDescent="0.35">
      <c r="A6" t="s">
        <v>60</v>
      </c>
      <c r="D6" s="11"/>
      <c r="E6" s="10"/>
      <c r="F6" s="10"/>
    </row>
    <row r="7" spans="1:8" x14ac:dyDescent="0.35">
      <c r="B7" t="s">
        <v>1</v>
      </c>
      <c r="D7" s="23">
        <v>319</v>
      </c>
      <c r="E7" s="20">
        <v>48</v>
      </c>
      <c r="F7" s="20">
        <v>48</v>
      </c>
    </row>
    <row r="8" spans="1:8" x14ac:dyDescent="0.35">
      <c r="B8" t="s">
        <v>36</v>
      </c>
      <c r="D8" s="23">
        <v>167</v>
      </c>
      <c r="E8" s="20">
        <v>90</v>
      </c>
      <c r="F8" s="20">
        <v>90</v>
      </c>
    </row>
    <row r="9" spans="1:8" x14ac:dyDescent="0.35">
      <c r="B9" t="s">
        <v>2</v>
      </c>
      <c r="C9" t="s">
        <v>16</v>
      </c>
      <c r="D9" s="23">
        <v>76</v>
      </c>
      <c r="E9" s="20">
        <v>250</v>
      </c>
      <c r="F9" s="20">
        <v>250</v>
      </c>
      <c r="G9" s="14"/>
      <c r="H9" s="14"/>
    </row>
    <row r="10" spans="1:8" x14ac:dyDescent="0.35">
      <c r="B10" t="s">
        <v>3</v>
      </c>
      <c r="D10" s="24">
        <v>45</v>
      </c>
      <c r="E10" s="19">
        <v>20</v>
      </c>
      <c r="F10" s="19">
        <v>20</v>
      </c>
    </row>
    <row r="11" spans="1:8" x14ac:dyDescent="0.35">
      <c r="D11" s="23">
        <f>SUM(D7:D10)</f>
        <v>607</v>
      </c>
      <c r="E11" s="20">
        <f>SUM(E7:E10)</f>
        <v>408</v>
      </c>
      <c r="F11" s="20">
        <f>SUM(F7:F10)</f>
        <v>408</v>
      </c>
    </row>
    <row r="12" spans="1:8" x14ac:dyDescent="0.35">
      <c r="A12" t="s">
        <v>31</v>
      </c>
      <c r="D12" s="23"/>
      <c r="E12" s="20"/>
      <c r="F12" s="20"/>
    </row>
    <row r="13" spans="1:8" x14ac:dyDescent="0.35">
      <c r="B13" t="s">
        <v>15</v>
      </c>
      <c r="D13" s="23">
        <v>4</v>
      </c>
      <c r="E13" s="20">
        <v>43</v>
      </c>
      <c r="F13" s="20">
        <v>43</v>
      </c>
    </row>
    <row r="14" spans="1:8" x14ac:dyDescent="0.35">
      <c r="B14" t="s">
        <v>54</v>
      </c>
      <c r="C14" t="s">
        <v>17</v>
      </c>
      <c r="D14" s="23">
        <v>13</v>
      </c>
      <c r="E14" s="20">
        <v>17</v>
      </c>
      <c r="F14" s="20">
        <v>14</v>
      </c>
    </row>
    <row r="15" spans="1:8" x14ac:dyDescent="0.35">
      <c r="B15" t="s">
        <v>61</v>
      </c>
      <c r="C15" t="s">
        <v>18</v>
      </c>
      <c r="D15" s="24">
        <f>D63+D64+D61+D62</f>
        <v>228</v>
      </c>
      <c r="E15" s="19">
        <f>SUM(F61:F64)</f>
        <v>312</v>
      </c>
      <c r="F15" s="19">
        <v>775</v>
      </c>
    </row>
    <row r="16" spans="1:8" x14ac:dyDescent="0.35">
      <c r="D16" s="23">
        <f>SUM(D13:D15)</f>
        <v>245</v>
      </c>
      <c r="E16" s="20">
        <f>SUM(E13:E15)</f>
        <v>372</v>
      </c>
      <c r="F16" s="20">
        <f>SUM(F13:F15)</f>
        <v>832</v>
      </c>
    </row>
    <row r="17" spans="1:6" x14ac:dyDescent="0.35">
      <c r="D17" s="23"/>
      <c r="E17" s="20"/>
      <c r="F17" s="20"/>
    </row>
    <row r="18" spans="1:6" x14ac:dyDescent="0.35">
      <c r="B18" t="s">
        <v>50</v>
      </c>
      <c r="D18" s="80">
        <f>D16+D11</f>
        <v>852</v>
      </c>
      <c r="E18" s="81">
        <f>E16+E11</f>
        <v>780</v>
      </c>
      <c r="F18" s="81">
        <f>F16+F11</f>
        <v>1240</v>
      </c>
    </row>
    <row r="19" spans="1:6" x14ac:dyDescent="0.35">
      <c r="D19" s="23"/>
      <c r="E19" s="20"/>
      <c r="F19" s="20"/>
    </row>
    <row r="20" spans="1:6" x14ac:dyDescent="0.35">
      <c r="A20" t="s">
        <v>30</v>
      </c>
      <c r="D20" s="23"/>
      <c r="E20" s="20"/>
      <c r="F20" s="20"/>
    </row>
    <row r="21" spans="1:6" x14ac:dyDescent="0.35">
      <c r="B21" t="s">
        <v>4</v>
      </c>
      <c r="D21" s="23">
        <v>12</v>
      </c>
      <c r="E21" s="20">
        <v>45</v>
      </c>
      <c r="F21" s="20">
        <v>45</v>
      </c>
    </row>
    <row r="22" spans="1:6" x14ac:dyDescent="0.35">
      <c r="B22" t="s">
        <v>11</v>
      </c>
      <c r="D22" s="23">
        <v>17</v>
      </c>
      <c r="E22" s="20">
        <v>14</v>
      </c>
      <c r="F22" s="20">
        <v>14</v>
      </c>
    </row>
    <row r="23" spans="1:6" x14ac:dyDescent="0.35">
      <c r="B23" t="s">
        <v>43</v>
      </c>
      <c r="D23" s="23">
        <v>50</v>
      </c>
      <c r="E23" s="20"/>
      <c r="F23" s="20"/>
    </row>
    <row r="24" spans="1:6" x14ac:dyDescent="0.35">
      <c r="B24" t="s">
        <v>62</v>
      </c>
      <c r="D24" s="24">
        <v>120</v>
      </c>
      <c r="E24" s="19">
        <v>100</v>
      </c>
      <c r="F24" s="19">
        <v>100</v>
      </c>
    </row>
    <row r="25" spans="1:6" x14ac:dyDescent="0.35">
      <c r="D25" s="23">
        <f>SUM(D21:D24)</f>
        <v>199</v>
      </c>
      <c r="E25" s="20">
        <f>SUM(E21:E24)</f>
        <v>159</v>
      </c>
      <c r="F25" s="20">
        <f>SUM(F21:F24)</f>
        <v>159</v>
      </c>
    </row>
    <row r="26" spans="1:6" x14ac:dyDescent="0.35">
      <c r="A26" t="s">
        <v>32</v>
      </c>
      <c r="D26" s="23"/>
      <c r="E26" s="20"/>
      <c r="F26" s="20"/>
    </row>
    <row r="27" spans="1:6" x14ac:dyDescent="0.35">
      <c r="B27" t="s">
        <v>63</v>
      </c>
      <c r="D27" s="23">
        <v>350</v>
      </c>
      <c r="E27" s="20">
        <v>350</v>
      </c>
      <c r="F27" s="20">
        <v>350</v>
      </c>
    </row>
    <row r="28" spans="1:6" x14ac:dyDescent="0.35">
      <c r="B28" t="s">
        <v>64</v>
      </c>
      <c r="D28" s="24">
        <v>-120</v>
      </c>
      <c r="E28" s="22">
        <v>-100</v>
      </c>
      <c r="F28" s="19">
        <v>-100</v>
      </c>
    </row>
    <row r="29" spans="1:6" x14ac:dyDescent="0.35">
      <c r="D29" s="23">
        <f>SUM(D27:D28)</f>
        <v>230</v>
      </c>
      <c r="E29" s="20">
        <f>SUM(E27:E28)</f>
        <v>250</v>
      </c>
      <c r="F29" s="20">
        <f>SUM(F27:F28)</f>
        <v>250</v>
      </c>
    </row>
    <row r="30" spans="1:6" x14ac:dyDescent="0.35">
      <c r="D30" s="23"/>
      <c r="E30" s="20"/>
      <c r="F30" s="20"/>
    </row>
    <row r="31" spans="1:6" s="32" customFormat="1" x14ac:dyDescent="0.35">
      <c r="D31" s="71">
        <f>D29+D25</f>
        <v>429</v>
      </c>
      <c r="E31" s="72">
        <f>E29+E25</f>
        <v>409</v>
      </c>
      <c r="F31" s="72">
        <f>F29+F25</f>
        <v>409</v>
      </c>
    </row>
    <row r="32" spans="1:6" x14ac:dyDescent="0.35">
      <c r="D32" s="23"/>
      <c r="E32" s="20"/>
      <c r="F32" s="20"/>
    </row>
    <row r="33" spans="1:6" x14ac:dyDescent="0.35">
      <c r="A33" t="s">
        <v>7</v>
      </c>
      <c r="D33" s="23"/>
      <c r="E33" s="20"/>
      <c r="F33" s="20"/>
    </row>
    <row r="34" spans="1:6" x14ac:dyDescent="0.35">
      <c r="B34" t="s">
        <v>55</v>
      </c>
      <c r="D34" s="23">
        <v>110</v>
      </c>
      <c r="E34" s="20">
        <v>110</v>
      </c>
      <c r="F34" s="20"/>
    </row>
    <row r="35" spans="1:6" x14ac:dyDescent="0.35">
      <c r="B35" t="s">
        <v>35</v>
      </c>
      <c r="C35" t="s">
        <v>19</v>
      </c>
      <c r="D35" s="24">
        <v>313</v>
      </c>
      <c r="E35" s="19">
        <v>261</v>
      </c>
      <c r="F35" s="19"/>
    </row>
    <row r="36" spans="1:6" s="32" customFormat="1" x14ac:dyDescent="0.35">
      <c r="D36" s="74">
        <f>SUM(D34:D35)</f>
        <v>423</v>
      </c>
      <c r="E36" s="75">
        <f>SUM(E34:E35)</f>
        <v>371</v>
      </c>
      <c r="F36" s="75"/>
    </row>
    <row r="37" spans="1:6" x14ac:dyDescent="0.35">
      <c r="D37" s="20"/>
      <c r="E37" s="18"/>
      <c r="F37" s="18"/>
    </row>
    <row r="38" spans="1:6" x14ac:dyDescent="0.35">
      <c r="D38" s="82">
        <f>D36+D31</f>
        <v>852</v>
      </c>
      <c r="E38" s="82">
        <f>E36+E31</f>
        <v>780</v>
      </c>
      <c r="F38" s="83"/>
    </row>
    <row r="39" spans="1:6" x14ac:dyDescent="0.35">
      <c r="D39" s="18">
        <f>D18-D36-D31</f>
        <v>0</v>
      </c>
      <c r="E39" s="18">
        <f>E18-E36-E31</f>
        <v>0</v>
      </c>
      <c r="F39" s="18"/>
    </row>
    <row r="42" spans="1:6" x14ac:dyDescent="0.35">
      <c r="B42" s="32" t="str">
        <f>C9</f>
        <v>Note 1</v>
      </c>
    </row>
    <row r="43" spans="1:6" x14ac:dyDescent="0.35">
      <c r="B43" s="94" t="s">
        <v>51</v>
      </c>
      <c r="C43" s="94"/>
      <c r="D43" s="94"/>
      <c r="E43" s="94"/>
      <c r="F43" s="94"/>
    </row>
    <row r="44" spans="1:6" x14ac:dyDescent="0.35">
      <c r="B44" s="94"/>
      <c r="C44" s="94"/>
      <c r="D44" s="94"/>
      <c r="E44" s="94"/>
      <c r="F44" s="94"/>
    </row>
    <row r="46" spans="1:6" x14ac:dyDescent="0.35">
      <c r="B46" s="32" t="str">
        <f>C14</f>
        <v>Note 2</v>
      </c>
    </row>
    <row r="47" spans="1:6" x14ac:dyDescent="0.35">
      <c r="B47" t="s">
        <v>65</v>
      </c>
      <c r="F47"/>
    </row>
    <row r="48" spans="1:6" x14ac:dyDescent="0.35">
      <c r="D48" s="28" t="s">
        <v>58</v>
      </c>
      <c r="E48" s="93" t="s">
        <v>59</v>
      </c>
      <c r="F48" s="93"/>
    </row>
    <row r="49" spans="2:9" ht="29" x14ac:dyDescent="0.35">
      <c r="D49" s="5" t="s">
        <v>9</v>
      </c>
      <c r="F49" s="5" t="s">
        <v>9</v>
      </c>
      <c r="H49" s="5" t="s">
        <v>10</v>
      </c>
      <c r="I49" s="5" t="s">
        <v>23</v>
      </c>
    </row>
    <row r="50" spans="2:9" x14ac:dyDescent="0.35">
      <c r="C50" s="7" t="s">
        <v>21</v>
      </c>
      <c r="D50" s="18">
        <f>F50</f>
        <v>12</v>
      </c>
      <c r="F50" s="18">
        <v>12</v>
      </c>
      <c r="H50" s="18">
        <v>8</v>
      </c>
      <c r="I50" s="25">
        <v>4</v>
      </c>
    </row>
    <row r="51" spans="2:9" x14ac:dyDescent="0.35">
      <c r="C51" s="7"/>
      <c r="D51" s="18">
        <f>D50/I50*-2</f>
        <v>-6</v>
      </c>
      <c r="E51" s="18">
        <v>6</v>
      </c>
      <c r="F51" s="18">
        <f>F50/I50*-1</f>
        <v>-3</v>
      </c>
      <c r="G51">
        <v>9</v>
      </c>
      <c r="H51" s="18"/>
      <c r="I51" s="25"/>
    </row>
    <row r="52" spans="2:9" x14ac:dyDescent="0.35">
      <c r="C52" s="7" t="s">
        <v>22</v>
      </c>
      <c r="D52" s="18">
        <f>F52</f>
        <v>10</v>
      </c>
      <c r="E52" s="18"/>
      <c r="F52" s="18">
        <v>10</v>
      </c>
      <c r="H52" s="18">
        <v>6</v>
      </c>
      <c r="I52" s="25">
        <v>10</v>
      </c>
    </row>
    <row r="53" spans="2:9" x14ac:dyDescent="0.35">
      <c r="C53" s="7"/>
      <c r="D53" s="19">
        <f>-F52/I52*3</f>
        <v>-3</v>
      </c>
      <c r="E53" s="19">
        <v>7</v>
      </c>
      <c r="F53" s="19">
        <f>-F52/I52*2</f>
        <v>-2</v>
      </c>
      <c r="G53" s="8">
        <v>8</v>
      </c>
      <c r="H53" s="19"/>
    </row>
    <row r="54" spans="2:9" x14ac:dyDescent="0.35">
      <c r="E54" s="18">
        <f>SUM(D50:D53)</f>
        <v>13</v>
      </c>
      <c r="G54" s="18">
        <f>SUM(F50:F53)</f>
        <v>17</v>
      </c>
      <c r="H54" s="18">
        <f>SUM(H50:H53)</f>
        <v>14</v>
      </c>
    </row>
    <row r="55" spans="2:9" x14ac:dyDescent="0.35">
      <c r="D55" s="18"/>
      <c r="E55" s="18"/>
      <c r="F55"/>
      <c r="G55" s="18"/>
      <c r="H55" s="25"/>
    </row>
    <row r="56" spans="2:9" x14ac:dyDescent="0.35">
      <c r="F56"/>
    </row>
    <row r="57" spans="2:9" x14ac:dyDescent="0.35">
      <c r="B57" s="32" t="str">
        <f>C15</f>
        <v>Note 3</v>
      </c>
      <c r="F57"/>
    </row>
    <row r="58" spans="2:9" x14ac:dyDescent="0.35">
      <c r="B58" t="s">
        <v>66</v>
      </c>
      <c r="E58"/>
      <c r="F58"/>
    </row>
    <row r="59" spans="2:9" x14ac:dyDescent="0.35">
      <c r="D59" s="28" t="s">
        <v>70</v>
      </c>
      <c r="G59" s="93" t="s">
        <v>74</v>
      </c>
      <c r="H59" s="93"/>
    </row>
    <row r="60" spans="2:9" ht="29" x14ac:dyDescent="0.35">
      <c r="D60" s="5" t="s">
        <v>9</v>
      </c>
      <c r="F60" s="5" t="s">
        <v>9</v>
      </c>
      <c r="H60" s="5" t="s">
        <v>10</v>
      </c>
      <c r="I60" s="5" t="s">
        <v>23</v>
      </c>
    </row>
    <row r="61" spans="2:9" x14ac:dyDescent="0.35">
      <c r="C61" s="7" t="s">
        <v>25</v>
      </c>
      <c r="D61" s="18">
        <v>120</v>
      </c>
      <c r="F61" s="18">
        <v>120</v>
      </c>
      <c r="H61" s="18">
        <v>215</v>
      </c>
      <c r="I61" s="25">
        <v>5</v>
      </c>
    </row>
    <row r="62" spans="2:9" x14ac:dyDescent="0.35">
      <c r="D62" s="18">
        <v>-72</v>
      </c>
      <c r="E62" s="18">
        <f>SUM(D61:D62)</f>
        <v>48</v>
      </c>
      <c r="F62" s="18">
        <v>-48</v>
      </c>
      <c r="G62" s="18">
        <f>SUM(F61:F62)</f>
        <v>72</v>
      </c>
      <c r="H62" s="18"/>
      <c r="I62" s="25"/>
    </row>
    <row r="63" spans="2:9" x14ac:dyDescent="0.35">
      <c r="C63" s="7" t="s">
        <v>24</v>
      </c>
      <c r="D63" s="18">
        <f>F63</f>
        <v>300</v>
      </c>
      <c r="E63" s="18"/>
      <c r="F63" s="18">
        <v>300</v>
      </c>
      <c r="H63" s="18">
        <v>560</v>
      </c>
      <c r="I63" s="25">
        <v>5</v>
      </c>
    </row>
    <row r="64" spans="2:9" x14ac:dyDescent="0.35">
      <c r="D64" s="19">
        <v>-120</v>
      </c>
      <c r="E64" s="19">
        <f>SUM(D63:D64)</f>
        <v>180</v>
      </c>
      <c r="F64" s="19">
        <v>-60</v>
      </c>
      <c r="G64" s="19">
        <f>SUM(F63:F64)</f>
        <v>240</v>
      </c>
      <c r="H64" s="19"/>
    </row>
    <row r="65" spans="2:8" x14ac:dyDescent="0.35">
      <c r="E65" s="18">
        <f>SUM(D61:D64)</f>
        <v>228</v>
      </c>
      <c r="G65" s="18">
        <f>SUM(F61:F64)</f>
        <v>312</v>
      </c>
      <c r="H65" s="18"/>
    </row>
    <row r="66" spans="2:8" x14ac:dyDescent="0.35">
      <c r="D66" s="18"/>
      <c r="E66" s="18"/>
      <c r="F66" s="18"/>
      <c r="G66" s="25"/>
    </row>
    <row r="67" spans="2:8" x14ac:dyDescent="0.35">
      <c r="F67"/>
    </row>
    <row r="68" spans="2:8" x14ac:dyDescent="0.35">
      <c r="B68" s="32" t="str">
        <f>C35</f>
        <v>Note 4</v>
      </c>
    </row>
    <row r="69" spans="2:8" x14ac:dyDescent="0.35">
      <c r="B69" t="s">
        <v>67</v>
      </c>
    </row>
    <row r="70" spans="2:8" x14ac:dyDescent="0.35">
      <c r="D70" s="28" t="s">
        <v>70</v>
      </c>
    </row>
    <row r="71" spans="2:8" x14ac:dyDescent="0.35">
      <c r="C71" s="7" t="s">
        <v>75</v>
      </c>
      <c r="D71" s="18">
        <v>261</v>
      </c>
    </row>
    <row r="72" spans="2:8" x14ac:dyDescent="0.35">
      <c r="C72" s="7" t="s">
        <v>27</v>
      </c>
      <c r="D72" s="18">
        <v>102</v>
      </c>
    </row>
    <row r="73" spans="2:8" x14ac:dyDescent="0.35">
      <c r="C73" s="7" t="s">
        <v>28</v>
      </c>
      <c r="D73" s="19">
        <v>-50</v>
      </c>
    </row>
    <row r="74" spans="2:8" x14ac:dyDescent="0.35">
      <c r="C74" s="7" t="s">
        <v>76</v>
      </c>
      <c r="D74" s="18">
        <f>SUM(D71:D73)</f>
        <v>313</v>
      </c>
    </row>
    <row r="75" spans="2:8" x14ac:dyDescent="0.35">
      <c r="D75" s="25"/>
    </row>
  </sheetData>
  <mergeCells count="6">
    <mergeCell ref="G59:H59"/>
    <mergeCell ref="E48:F48"/>
    <mergeCell ref="E4:F4"/>
    <mergeCell ref="D3:F3"/>
    <mergeCell ref="D2:F2"/>
    <mergeCell ref="B43:F44"/>
  </mergeCells>
  <pageMargins left="0.7" right="0.7" top="0.75" bottom="0.75" header="0.3" footer="0.3"/>
  <pageSetup scale="75"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248C-0A4B-4FEB-9E92-DE445C819DD1}">
  <sheetPr>
    <pageSetUpPr fitToPage="1"/>
  </sheetPr>
  <dimension ref="A2:J97"/>
  <sheetViews>
    <sheetView showGridLines="0" topLeftCell="A48" workbookViewId="0">
      <selection activeCell="E69" sqref="E69:E72"/>
    </sheetView>
  </sheetViews>
  <sheetFormatPr baseColWidth="10" defaultRowHeight="14.5" x14ac:dyDescent="0.35"/>
  <cols>
    <col min="1" max="1" width="3" customWidth="1"/>
    <col min="2" max="2" width="38.81640625" customWidth="1"/>
    <col min="3" max="3" width="9" customWidth="1"/>
    <col min="4" max="5" width="18.1796875" style="4" customWidth="1"/>
    <col min="6" max="6" width="18.1796875" customWidth="1"/>
    <col min="7" max="7" width="13.1796875" customWidth="1"/>
  </cols>
  <sheetData>
    <row r="2" spans="1:8" x14ac:dyDescent="0.35">
      <c r="D2" s="92" t="s">
        <v>14</v>
      </c>
      <c r="E2" s="92"/>
      <c r="F2" s="92"/>
      <c r="H2" s="15"/>
    </row>
    <row r="3" spans="1:8" x14ac:dyDescent="0.35">
      <c r="D3" s="92" t="s">
        <v>49</v>
      </c>
      <c r="E3" s="92"/>
      <c r="F3" s="92"/>
    </row>
    <row r="4" spans="1:8" x14ac:dyDescent="0.35">
      <c r="D4" s="28" t="s">
        <v>70</v>
      </c>
      <c r="E4" s="93" t="s">
        <v>74</v>
      </c>
      <c r="F4" s="93"/>
    </row>
    <row r="5" spans="1:8" s="7" customFormat="1" x14ac:dyDescent="0.35">
      <c r="A5" s="6"/>
      <c r="B5" s="6"/>
      <c r="C5" s="6"/>
      <c r="D5" s="9" t="s">
        <v>9</v>
      </c>
      <c r="E5" s="5" t="s">
        <v>9</v>
      </c>
      <c r="F5" s="5" t="s">
        <v>10</v>
      </c>
    </row>
    <row r="6" spans="1:8" x14ac:dyDescent="0.35">
      <c r="A6" t="s">
        <v>29</v>
      </c>
      <c r="D6" s="11"/>
      <c r="E6" s="10"/>
    </row>
    <row r="7" spans="1:8" x14ac:dyDescent="0.35">
      <c r="B7" t="s">
        <v>1</v>
      </c>
      <c r="D7" s="23">
        <v>488</v>
      </c>
      <c r="E7" s="20">
        <v>350</v>
      </c>
      <c r="F7" s="26">
        <v>350</v>
      </c>
      <c r="H7" s="25"/>
    </row>
    <row r="8" spans="1:8" x14ac:dyDescent="0.35">
      <c r="B8" t="s">
        <v>36</v>
      </c>
      <c r="D8" s="23">
        <v>215</v>
      </c>
      <c r="E8" s="20">
        <v>209</v>
      </c>
      <c r="F8" s="26">
        <v>209</v>
      </c>
      <c r="H8" s="25"/>
    </row>
    <row r="9" spans="1:8" x14ac:dyDescent="0.35">
      <c r="B9" t="s">
        <v>3</v>
      </c>
      <c r="C9" t="s">
        <v>16</v>
      </c>
      <c r="D9" s="27">
        <v>12</v>
      </c>
      <c r="E9" s="19">
        <v>20</v>
      </c>
      <c r="F9" s="19">
        <v>25</v>
      </c>
      <c r="H9" s="25"/>
    </row>
    <row r="10" spans="1:8" x14ac:dyDescent="0.35">
      <c r="D10" s="23">
        <f>SUM(D7:D9)</f>
        <v>715</v>
      </c>
      <c r="E10" s="20">
        <f>SUM(E7:E9)</f>
        <v>579</v>
      </c>
      <c r="F10" s="20">
        <f>SUM(F7:F9)</f>
        <v>584</v>
      </c>
    </row>
    <row r="11" spans="1:8" x14ac:dyDescent="0.35">
      <c r="A11" t="s">
        <v>31</v>
      </c>
      <c r="D11" s="23"/>
      <c r="E11" s="20"/>
      <c r="F11" s="20"/>
    </row>
    <row r="12" spans="1:8" x14ac:dyDescent="0.35">
      <c r="B12" t="s">
        <v>15</v>
      </c>
      <c r="C12" t="s">
        <v>17</v>
      </c>
      <c r="D12" s="23">
        <v>0</v>
      </c>
      <c r="E12" s="20">
        <v>15</v>
      </c>
      <c r="F12" s="20">
        <v>17</v>
      </c>
      <c r="H12" s="25"/>
    </row>
    <row r="13" spans="1:8" x14ac:dyDescent="0.35">
      <c r="B13" t="s">
        <v>54</v>
      </c>
      <c r="C13" t="s">
        <v>18</v>
      </c>
      <c r="D13" s="23">
        <v>18</v>
      </c>
      <c r="E13" s="20">
        <v>30</v>
      </c>
      <c r="F13" s="20">
        <v>25</v>
      </c>
      <c r="H13" s="25"/>
    </row>
    <row r="14" spans="1:8" x14ac:dyDescent="0.35">
      <c r="B14" t="s">
        <v>6</v>
      </c>
      <c r="C14" t="s">
        <v>19</v>
      </c>
      <c r="D14" s="24">
        <v>500</v>
      </c>
      <c r="E14" s="19">
        <v>600</v>
      </c>
      <c r="F14" s="19">
        <v>2400</v>
      </c>
      <c r="H14" s="25"/>
    </row>
    <row r="15" spans="1:8" x14ac:dyDescent="0.35">
      <c r="D15" s="23">
        <f>SUM(D13:D14)</f>
        <v>518</v>
      </c>
      <c r="E15" s="20">
        <f>SUM(E12:E14)</f>
        <v>645</v>
      </c>
      <c r="F15" s="20">
        <f>SUM(F12:F14)</f>
        <v>2442</v>
      </c>
      <c r="H15" s="25"/>
    </row>
    <row r="16" spans="1:8" x14ac:dyDescent="0.35">
      <c r="D16" s="23"/>
      <c r="E16" s="20"/>
      <c r="F16" s="20"/>
      <c r="H16" s="25"/>
    </row>
    <row r="17" spans="1:10" s="32" customFormat="1" x14ac:dyDescent="0.35">
      <c r="D17" s="71">
        <f>D15+D10</f>
        <v>1233</v>
      </c>
      <c r="E17" s="72">
        <f>E15+E10</f>
        <v>1224</v>
      </c>
      <c r="F17" s="72">
        <f>F15+F10</f>
        <v>3026</v>
      </c>
      <c r="H17" s="73"/>
    </row>
    <row r="18" spans="1:10" x14ac:dyDescent="0.35">
      <c r="D18" s="23"/>
      <c r="E18" s="20"/>
      <c r="F18" s="20"/>
    </row>
    <row r="19" spans="1:10" x14ac:dyDescent="0.35">
      <c r="A19" t="s">
        <v>30</v>
      </c>
      <c r="D19" s="23"/>
      <c r="E19" s="20"/>
      <c r="F19" s="20"/>
    </row>
    <row r="20" spans="1:10" x14ac:dyDescent="0.35">
      <c r="B20" t="s">
        <v>4</v>
      </c>
      <c r="D20" s="23">
        <v>355</v>
      </c>
      <c r="E20" s="20">
        <v>310</v>
      </c>
      <c r="F20" s="20">
        <v>310</v>
      </c>
    </row>
    <row r="21" spans="1:10" x14ac:dyDescent="0.35">
      <c r="B21" t="s">
        <v>47</v>
      </c>
      <c r="D21" s="23">
        <v>135</v>
      </c>
      <c r="E21" s="20">
        <v>29</v>
      </c>
      <c r="F21" s="20">
        <v>29</v>
      </c>
    </row>
    <row r="22" spans="1:10" x14ac:dyDescent="0.35">
      <c r="B22" t="s">
        <v>37</v>
      </c>
      <c r="D22" s="23">
        <v>15</v>
      </c>
      <c r="E22" s="20"/>
      <c r="F22" s="20"/>
    </row>
    <row r="23" spans="1:10" x14ac:dyDescent="0.35">
      <c r="B23" t="s">
        <v>52</v>
      </c>
      <c r="D23" s="24">
        <v>40</v>
      </c>
      <c r="E23" s="19">
        <v>40</v>
      </c>
      <c r="F23" s="84">
        <v>40</v>
      </c>
    </row>
    <row r="24" spans="1:10" x14ac:dyDescent="0.35">
      <c r="D24" s="23">
        <f>SUM(D20:D23)</f>
        <v>545</v>
      </c>
      <c r="E24" s="20">
        <f>SUM(E20:E23)</f>
        <v>379</v>
      </c>
      <c r="F24" s="20">
        <f>SUM(F20:F23)</f>
        <v>379</v>
      </c>
    </row>
    <row r="25" spans="1:10" x14ac:dyDescent="0.35">
      <c r="A25" t="s">
        <v>32</v>
      </c>
      <c r="D25" s="23"/>
      <c r="E25" s="20"/>
      <c r="F25" s="20"/>
      <c r="I25" s="17"/>
      <c r="J25" s="17"/>
    </row>
    <row r="26" spans="1:10" x14ac:dyDescent="0.35">
      <c r="B26" t="s">
        <v>20</v>
      </c>
      <c r="C26" t="s">
        <v>17</v>
      </c>
      <c r="D26" s="23">
        <v>22</v>
      </c>
      <c r="E26" s="20"/>
      <c r="F26" s="20"/>
      <c r="I26" s="17"/>
      <c r="J26" s="17"/>
    </row>
    <row r="27" spans="1:10" x14ac:dyDescent="0.35">
      <c r="B27" t="s">
        <v>12</v>
      </c>
      <c r="D27" s="23">
        <v>400</v>
      </c>
      <c r="E27" s="26">
        <v>440</v>
      </c>
      <c r="F27" s="85">
        <v>444</v>
      </c>
      <c r="H27" s="25"/>
      <c r="I27" s="29"/>
      <c r="J27" s="29"/>
    </row>
    <row r="28" spans="1:10" x14ac:dyDescent="0.35">
      <c r="B28" t="s">
        <v>53</v>
      </c>
      <c r="D28" s="24">
        <v>-40</v>
      </c>
      <c r="E28" s="22">
        <v>-40</v>
      </c>
      <c r="F28" s="19">
        <f>E28</f>
        <v>-40</v>
      </c>
    </row>
    <row r="29" spans="1:10" x14ac:dyDescent="0.35">
      <c r="D29" s="23">
        <f>SUM(D26:D28)</f>
        <v>382</v>
      </c>
      <c r="E29" s="20">
        <f>SUM(E26:E28)</f>
        <v>400</v>
      </c>
      <c r="F29" s="20">
        <f>SUM(F26:F28)</f>
        <v>404</v>
      </c>
    </row>
    <row r="30" spans="1:10" x14ac:dyDescent="0.35">
      <c r="D30" s="23"/>
      <c r="E30" s="20"/>
      <c r="F30" s="20"/>
    </row>
    <row r="31" spans="1:10" s="32" customFormat="1" x14ac:dyDescent="0.35">
      <c r="D31" s="71">
        <f>D29+D24</f>
        <v>927</v>
      </c>
      <c r="E31" s="72">
        <f>E29+E24</f>
        <v>779</v>
      </c>
      <c r="F31" s="72">
        <f>F29+F24</f>
        <v>783</v>
      </c>
    </row>
    <row r="32" spans="1:10" x14ac:dyDescent="0.35">
      <c r="D32" s="23"/>
      <c r="E32" s="20"/>
      <c r="F32" s="20"/>
    </row>
    <row r="33" spans="1:6" x14ac:dyDescent="0.35">
      <c r="A33" t="s">
        <v>7</v>
      </c>
      <c r="D33" s="23"/>
      <c r="E33" s="20"/>
      <c r="F33" s="20"/>
    </row>
    <row r="34" spans="1:6" x14ac:dyDescent="0.35">
      <c r="B34" t="s">
        <v>55</v>
      </c>
      <c r="D34" s="23">
        <v>170</v>
      </c>
      <c r="E34" s="20">
        <v>170</v>
      </c>
      <c r="F34" s="20"/>
    </row>
    <row r="35" spans="1:6" x14ac:dyDescent="0.35">
      <c r="B35" t="s">
        <v>35</v>
      </c>
      <c r="D35" s="24">
        <v>136</v>
      </c>
      <c r="E35" s="19">
        <v>275</v>
      </c>
      <c r="F35" s="19"/>
    </row>
    <row r="36" spans="1:6" s="32" customFormat="1" x14ac:dyDescent="0.35">
      <c r="D36" s="74">
        <f>SUM(D34:D35)</f>
        <v>306</v>
      </c>
      <c r="E36" s="72">
        <f>SUM(E34:E35)</f>
        <v>445</v>
      </c>
      <c r="F36" s="73"/>
    </row>
    <row r="38" spans="1:6" s="32" customFormat="1" x14ac:dyDescent="0.35">
      <c r="D38" s="75">
        <f>D36+D31</f>
        <v>1233</v>
      </c>
      <c r="E38" s="75">
        <f>E36+E31</f>
        <v>1224</v>
      </c>
      <c r="F38" s="75"/>
    </row>
    <row r="40" spans="1:6" x14ac:dyDescent="0.35">
      <c r="F40" s="18"/>
    </row>
    <row r="42" spans="1:6" x14ac:dyDescent="0.35">
      <c r="B42" t="str">
        <f>C9</f>
        <v>Note 1</v>
      </c>
      <c r="F42" s="25"/>
    </row>
    <row r="43" spans="1:6" ht="15" customHeight="1" x14ac:dyDescent="0.35">
      <c r="B43" s="94" t="s">
        <v>77</v>
      </c>
      <c r="C43" s="94"/>
      <c r="D43" s="94"/>
      <c r="E43" s="94"/>
      <c r="F43" s="94"/>
    </row>
    <row r="44" spans="1:6" x14ac:dyDescent="0.35">
      <c r="B44" s="94"/>
      <c r="C44" s="94"/>
      <c r="D44" s="94"/>
      <c r="E44" s="94"/>
      <c r="F44" s="94"/>
    </row>
    <row r="45" spans="1:6" x14ac:dyDescent="0.35">
      <c r="B45" s="94"/>
      <c r="C45" s="94"/>
      <c r="D45" s="94"/>
      <c r="E45" s="94"/>
      <c r="F45" s="94"/>
    </row>
    <row r="46" spans="1:6" x14ac:dyDescent="0.35">
      <c r="B46" s="94"/>
      <c r="C46" s="94"/>
      <c r="D46" s="94"/>
      <c r="E46" s="94"/>
      <c r="F46" s="94"/>
    </row>
    <row r="48" spans="1:6" x14ac:dyDescent="0.35">
      <c r="B48" t="str">
        <f>C12</f>
        <v>Note 2</v>
      </c>
    </row>
    <row r="49" spans="2:10" x14ac:dyDescent="0.35">
      <c r="B49" s="94" t="s">
        <v>78</v>
      </c>
      <c r="C49" s="94"/>
      <c r="D49" s="94"/>
      <c r="E49" s="94"/>
      <c r="F49" s="94"/>
    </row>
    <row r="50" spans="2:10" x14ac:dyDescent="0.35">
      <c r="B50" s="94"/>
      <c r="C50" s="94"/>
      <c r="D50" s="94"/>
      <c r="E50" s="94"/>
      <c r="F50" s="94"/>
    </row>
    <row r="51" spans="2:10" x14ac:dyDescent="0.35">
      <c r="B51" s="94"/>
      <c r="C51" s="94"/>
      <c r="D51" s="94"/>
      <c r="E51" s="94"/>
      <c r="F51" s="94"/>
    </row>
    <row r="52" spans="2:10" x14ac:dyDescent="0.35">
      <c r="B52" s="94"/>
      <c r="C52" s="94"/>
      <c r="D52" s="94"/>
      <c r="E52" s="94"/>
      <c r="F52" s="94"/>
    </row>
    <row r="53" spans="2:10" x14ac:dyDescent="0.35">
      <c r="B53" t="str">
        <f>C13</f>
        <v>Note 3</v>
      </c>
    </row>
    <row r="54" spans="2:10" x14ac:dyDescent="0.35">
      <c r="B54" t="s">
        <v>68</v>
      </c>
    </row>
    <row r="55" spans="2:10" x14ac:dyDescent="0.35">
      <c r="D55" s="28" t="s">
        <v>70</v>
      </c>
      <c r="E55" s="99" t="s">
        <v>74</v>
      </c>
      <c r="F55" s="99"/>
      <c r="I55" s="93"/>
      <c r="J55" s="93"/>
    </row>
    <row r="56" spans="2:10" ht="29" x14ac:dyDescent="0.35">
      <c r="D56" s="5" t="s">
        <v>9</v>
      </c>
      <c r="F56" s="5" t="s">
        <v>9</v>
      </c>
      <c r="H56" s="5" t="s">
        <v>10</v>
      </c>
      <c r="I56" s="5" t="s">
        <v>23</v>
      </c>
    </row>
    <row r="57" spans="2:10" x14ac:dyDescent="0.35">
      <c r="C57" s="7" t="s">
        <v>21</v>
      </c>
      <c r="D57" s="18">
        <f>F57</f>
        <v>30</v>
      </c>
      <c r="F57" s="18">
        <v>30</v>
      </c>
      <c r="H57" s="18">
        <v>15</v>
      </c>
      <c r="I57" s="2">
        <v>3</v>
      </c>
    </row>
    <row r="58" spans="2:10" x14ac:dyDescent="0.35">
      <c r="C58" s="7"/>
      <c r="D58" s="18">
        <v>-20</v>
      </c>
      <c r="E58" s="18">
        <f>SUM(D57:D58)</f>
        <v>10</v>
      </c>
      <c r="F58" s="18">
        <f>-F57/I57</f>
        <v>-10</v>
      </c>
      <c r="G58" s="18">
        <f>SUM(F57:F58)</f>
        <v>20</v>
      </c>
      <c r="H58" s="18"/>
      <c r="I58" s="2"/>
    </row>
    <row r="59" spans="2:10" x14ac:dyDescent="0.35">
      <c r="C59" s="7" t="s">
        <v>22</v>
      </c>
      <c r="D59" s="18">
        <v>20</v>
      </c>
      <c r="F59" s="18">
        <v>20</v>
      </c>
      <c r="H59" s="18">
        <v>10</v>
      </c>
      <c r="I59" s="2">
        <v>8</v>
      </c>
    </row>
    <row r="60" spans="2:10" x14ac:dyDescent="0.35">
      <c r="C60" s="7"/>
      <c r="D60" s="19">
        <f>-D59/I59*5</f>
        <v>-12.5</v>
      </c>
      <c r="E60" s="19">
        <f>SUM(D59:D60)</f>
        <v>7.5</v>
      </c>
      <c r="F60" s="19">
        <f>-F59/I59*4</f>
        <v>-10</v>
      </c>
      <c r="G60" s="19">
        <f>SUM(F59:F60)</f>
        <v>10</v>
      </c>
      <c r="H60" s="19"/>
    </row>
    <row r="61" spans="2:10" x14ac:dyDescent="0.35">
      <c r="D61" s="18"/>
      <c r="E61" s="18">
        <f>SUM(D57:D60)</f>
        <v>17.5</v>
      </c>
      <c r="G61" s="18">
        <f>SUM(F57:F60)</f>
        <v>30</v>
      </c>
      <c r="H61" s="18"/>
    </row>
    <row r="62" spans="2:10" x14ac:dyDescent="0.35">
      <c r="D62" s="18"/>
      <c r="E62" s="18"/>
      <c r="F62" s="18"/>
    </row>
    <row r="64" spans="2:10" x14ac:dyDescent="0.35">
      <c r="B64" t="str">
        <f>C14</f>
        <v>Note 4</v>
      </c>
      <c r="E64"/>
    </row>
    <row r="65" spans="2:9" x14ac:dyDescent="0.35">
      <c r="B65" t="s">
        <v>69</v>
      </c>
      <c r="E65"/>
    </row>
    <row r="66" spans="2:9" x14ac:dyDescent="0.35">
      <c r="D66" s="28" t="s">
        <v>70</v>
      </c>
      <c r="E66" s="99" t="s">
        <v>74</v>
      </c>
      <c r="F66" s="99"/>
      <c r="G66" s="91"/>
    </row>
    <row r="67" spans="2:9" ht="29" x14ac:dyDescent="0.35">
      <c r="D67" s="5" t="s">
        <v>9</v>
      </c>
      <c r="F67" s="5" t="s">
        <v>9</v>
      </c>
      <c r="H67" s="5" t="s">
        <v>10</v>
      </c>
      <c r="I67" s="5" t="s">
        <v>23</v>
      </c>
    </row>
    <row r="68" spans="2:9" x14ac:dyDescent="0.35">
      <c r="C68" s="7" t="s">
        <v>25</v>
      </c>
      <c r="D68" s="18">
        <v>200</v>
      </c>
      <c r="F68" s="18">
        <v>200</v>
      </c>
      <c r="H68" s="18">
        <v>600</v>
      </c>
      <c r="I68" s="2">
        <v>5</v>
      </c>
    </row>
    <row r="69" spans="2:9" x14ac:dyDescent="0.35">
      <c r="D69" s="18">
        <f>D68/I68*-3</f>
        <v>-120</v>
      </c>
      <c r="E69" s="18">
        <f>SUM(D68:D69)</f>
        <v>80</v>
      </c>
      <c r="F69" s="18">
        <f>-F68/I68*2</f>
        <v>-80</v>
      </c>
      <c r="G69" s="18">
        <f>SUM(F68:F69)</f>
        <v>120</v>
      </c>
      <c r="H69" s="18"/>
      <c r="I69" s="2"/>
    </row>
    <row r="70" spans="2:9" x14ac:dyDescent="0.35">
      <c r="C70" s="7" t="s">
        <v>24</v>
      </c>
      <c r="D70" s="18">
        <v>600</v>
      </c>
      <c r="F70" s="18">
        <v>600</v>
      </c>
      <c r="G70" s="4"/>
      <c r="H70" s="18">
        <v>1800</v>
      </c>
      <c r="I70" s="2">
        <v>5</v>
      </c>
    </row>
    <row r="71" spans="2:9" x14ac:dyDescent="0.35">
      <c r="D71" s="19">
        <f>-D70/I70*0.5+F71</f>
        <v>-180</v>
      </c>
      <c r="E71" s="19">
        <f>SUM(D70:D71)</f>
        <v>420</v>
      </c>
      <c r="F71" s="19">
        <v>-120</v>
      </c>
      <c r="G71" s="19">
        <f>SUM(F70:F71)</f>
        <v>480</v>
      </c>
      <c r="H71" s="19"/>
    </row>
    <row r="72" spans="2:9" x14ac:dyDescent="0.35">
      <c r="E72" s="18">
        <f>SUM(D68:D71)</f>
        <v>500</v>
      </c>
      <c r="F72" s="18"/>
      <c r="G72" s="18">
        <f>SUM(F68:F71)</f>
        <v>600</v>
      </c>
    </row>
    <row r="73" spans="2:9" x14ac:dyDescent="0.35">
      <c r="D73" s="18"/>
      <c r="E73" s="18"/>
      <c r="F73" s="18"/>
      <c r="G73" s="25"/>
    </row>
    <row r="74" spans="2:9" x14ac:dyDescent="0.35">
      <c r="C74" s="7"/>
      <c r="D74" s="18"/>
      <c r="E74" s="18"/>
    </row>
    <row r="75" spans="2:9" x14ac:dyDescent="0.35">
      <c r="D75" s="20"/>
      <c r="E75" s="20"/>
    </row>
    <row r="76" spans="2:9" x14ac:dyDescent="0.35">
      <c r="D76" s="20"/>
      <c r="E76" s="20"/>
    </row>
    <row r="77" spans="2:9" x14ac:dyDescent="0.35">
      <c r="D77" s="20"/>
      <c r="E77" s="20"/>
    </row>
    <row r="78" spans="2:9" x14ac:dyDescent="0.35">
      <c r="D78" s="10"/>
      <c r="E78" s="10"/>
    </row>
    <row r="79" spans="2:9" x14ac:dyDescent="0.35">
      <c r="D79" s="10"/>
      <c r="E79" s="10"/>
    </row>
    <row r="80" spans="2:9" x14ac:dyDescent="0.35">
      <c r="D80" s="10"/>
      <c r="E80" s="10"/>
    </row>
    <row r="81" spans="2:6" x14ac:dyDescent="0.35">
      <c r="D81" s="10"/>
      <c r="E81" s="10"/>
    </row>
    <row r="82" spans="2:6" ht="15" customHeight="1" x14ac:dyDescent="0.35">
      <c r="B82" s="94"/>
      <c r="C82" s="94"/>
      <c r="D82" s="94"/>
      <c r="E82" s="94"/>
      <c r="F82" s="94"/>
    </row>
    <row r="83" spans="2:6" x14ac:dyDescent="0.35">
      <c r="B83" s="94"/>
      <c r="C83" s="94"/>
      <c r="D83" s="94"/>
      <c r="E83" s="94"/>
      <c r="F83" s="94"/>
    </row>
    <row r="84" spans="2:6" x14ac:dyDescent="0.35">
      <c r="B84" s="94"/>
      <c r="C84" s="94"/>
      <c r="D84" s="94"/>
      <c r="E84" s="94"/>
      <c r="F84" s="94"/>
    </row>
    <row r="85" spans="2:6" x14ac:dyDescent="0.35">
      <c r="B85" s="94"/>
      <c r="C85" s="94"/>
      <c r="D85" s="94"/>
      <c r="E85" s="94"/>
      <c r="F85" s="94"/>
    </row>
    <row r="86" spans="2:6" x14ac:dyDescent="0.35">
      <c r="B86" s="94"/>
      <c r="C86" s="94"/>
      <c r="D86" s="94"/>
      <c r="E86" s="94"/>
      <c r="F86" s="94"/>
    </row>
    <row r="90" spans="2:6" s="15" customFormat="1" x14ac:dyDescent="0.35">
      <c r="D90" s="16"/>
    </row>
    <row r="91" spans="2:6" s="15" customFormat="1" x14ac:dyDescent="0.35">
      <c r="D91" s="16"/>
    </row>
    <row r="92" spans="2:6" s="15" customFormat="1" x14ac:dyDescent="0.35">
      <c r="D92" s="16"/>
    </row>
    <row r="93" spans="2:6" s="15" customFormat="1" x14ac:dyDescent="0.35">
      <c r="D93" s="16"/>
    </row>
    <row r="94" spans="2:6" s="15" customFormat="1" x14ac:dyDescent="0.35">
      <c r="D94" s="16"/>
    </row>
    <row r="95" spans="2:6" s="15" customFormat="1" x14ac:dyDescent="0.35">
      <c r="D95" s="16"/>
    </row>
    <row r="96" spans="2:6" s="15" customFormat="1" x14ac:dyDescent="0.35">
      <c r="D96" s="16"/>
    </row>
    <row r="97" spans="4:5" s="15" customFormat="1" x14ac:dyDescent="0.35">
      <c r="D97" s="16"/>
      <c r="E97" s="16"/>
    </row>
  </sheetData>
  <mergeCells count="9">
    <mergeCell ref="I55:J55"/>
    <mergeCell ref="B82:F86"/>
    <mergeCell ref="E66:F66"/>
    <mergeCell ref="E4:F4"/>
    <mergeCell ref="D2:F2"/>
    <mergeCell ref="D3:F3"/>
    <mergeCell ref="B43:F46"/>
    <mergeCell ref="B49:F52"/>
    <mergeCell ref="E55:F55"/>
  </mergeCells>
  <phoneticPr fontId="12" type="noConversion"/>
  <pageMargins left="0.7" right="0.7" top="0.75" bottom="0.75" header="0.3" footer="0.3"/>
  <pageSetup scale="77"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B88B-CA9B-47FC-BD28-25F74A1DF180}">
  <sheetPr>
    <pageSetUpPr fitToPage="1"/>
  </sheetPr>
  <dimension ref="B1:L37"/>
  <sheetViews>
    <sheetView showGridLines="0" tabSelected="1" topLeftCell="A10" workbookViewId="0">
      <selection activeCell="H22" sqref="G22:H35"/>
    </sheetView>
  </sheetViews>
  <sheetFormatPr baseColWidth="10" defaultRowHeight="14.5" x14ac:dyDescent="0.35"/>
  <cols>
    <col min="1" max="1" width="1.453125" customWidth="1"/>
    <col min="2" max="2" width="2.1796875" style="32" customWidth="1"/>
    <col min="3" max="3" width="46.81640625" customWidth="1"/>
    <col min="4" max="6" width="11.26953125" customWidth="1"/>
    <col min="7" max="8" width="8" customWidth="1"/>
    <col min="9" max="11" width="7.453125" style="50" customWidth="1"/>
    <col min="12" max="12" width="13.26953125" customWidth="1"/>
  </cols>
  <sheetData>
    <row r="1" spans="2:12" ht="7.5" customHeight="1" thickBot="1" x14ac:dyDescent="0.4"/>
    <row r="2" spans="2:12" s="32" customFormat="1" ht="38" customHeight="1" thickBot="1" x14ac:dyDescent="0.4">
      <c r="F2" s="51"/>
      <c r="G2" s="97" t="s">
        <v>79</v>
      </c>
      <c r="H2" s="98"/>
      <c r="I2" s="95" t="s">
        <v>41</v>
      </c>
      <c r="J2" s="96"/>
      <c r="K2" s="96"/>
      <c r="L2" s="70" t="s">
        <v>79</v>
      </c>
    </row>
    <row r="3" spans="2:12" s="34" customFormat="1" ht="29.5" thickBot="1" x14ac:dyDescent="0.4">
      <c r="B3" s="33"/>
      <c r="C3" s="66"/>
      <c r="D3" s="67" t="s">
        <v>39</v>
      </c>
      <c r="E3" s="68" t="s">
        <v>44</v>
      </c>
      <c r="F3" s="53" t="s">
        <v>46</v>
      </c>
      <c r="G3" s="54" t="s">
        <v>45</v>
      </c>
      <c r="H3" s="64" t="s">
        <v>40</v>
      </c>
      <c r="I3" s="59"/>
      <c r="J3" s="60"/>
      <c r="K3" s="60"/>
      <c r="L3" s="65" t="s">
        <v>42</v>
      </c>
    </row>
    <row r="4" spans="2:12" x14ac:dyDescent="0.35">
      <c r="B4" s="46" t="s">
        <v>29</v>
      </c>
      <c r="C4" s="43"/>
      <c r="D4" s="35"/>
      <c r="F4" s="36"/>
      <c r="G4" s="52"/>
      <c r="H4" s="43"/>
      <c r="I4" s="86"/>
      <c r="J4" s="87"/>
      <c r="K4" s="88"/>
      <c r="L4" s="61"/>
    </row>
    <row r="5" spans="2:12" x14ac:dyDescent="0.35">
      <c r="B5" s="44"/>
      <c r="C5" s="36" t="s">
        <v>1</v>
      </c>
      <c r="D5" s="37">
        <v>1511</v>
      </c>
      <c r="E5" s="20"/>
      <c r="F5" s="38"/>
      <c r="G5" s="37"/>
      <c r="H5" s="38">
        <v>488.5</v>
      </c>
      <c r="I5" s="55"/>
      <c r="J5" s="56"/>
      <c r="K5" s="89"/>
      <c r="L5" s="62"/>
    </row>
    <row r="6" spans="2:12" x14ac:dyDescent="0.35">
      <c r="B6" s="44"/>
      <c r="C6" s="36" t="s">
        <v>13</v>
      </c>
      <c r="D6" s="37">
        <v>700</v>
      </c>
      <c r="E6" s="20"/>
      <c r="F6" s="38"/>
      <c r="G6" s="37"/>
      <c r="H6" s="36"/>
      <c r="I6" s="55"/>
      <c r="J6" s="56"/>
      <c r="K6" s="89"/>
      <c r="L6" s="48"/>
    </row>
    <row r="7" spans="2:12" x14ac:dyDescent="0.35">
      <c r="B7" s="44"/>
      <c r="C7" s="36" t="s">
        <v>26</v>
      </c>
      <c r="D7" s="37">
        <v>9</v>
      </c>
      <c r="E7" s="20"/>
      <c r="F7" s="38"/>
      <c r="G7" s="37"/>
      <c r="H7" s="36"/>
      <c r="I7" s="55"/>
      <c r="J7" s="56"/>
      <c r="K7" s="89"/>
      <c r="L7" s="48"/>
    </row>
    <row r="8" spans="2:12" x14ac:dyDescent="0.35">
      <c r="B8" s="44"/>
      <c r="C8" s="36" t="s">
        <v>36</v>
      </c>
      <c r="D8" s="37">
        <v>1291</v>
      </c>
      <c r="E8" s="20"/>
      <c r="F8" s="38"/>
      <c r="G8" s="37"/>
      <c r="H8" s="38">
        <v>215</v>
      </c>
      <c r="I8" s="55"/>
      <c r="J8" s="56"/>
      <c r="K8" s="89"/>
      <c r="L8" s="48"/>
    </row>
    <row r="9" spans="2:12" x14ac:dyDescent="0.35">
      <c r="B9" s="44"/>
      <c r="C9" s="36" t="s">
        <v>38</v>
      </c>
      <c r="D9" s="37">
        <v>15</v>
      </c>
      <c r="E9" s="20"/>
      <c r="F9" s="38"/>
      <c r="G9" s="37"/>
      <c r="H9" s="38"/>
      <c r="I9" s="55"/>
      <c r="J9" s="56"/>
      <c r="K9" s="89"/>
      <c r="L9" s="48"/>
    </row>
    <row r="10" spans="2:12" x14ac:dyDescent="0.35">
      <c r="B10" s="44"/>
      <c r="C10" s="36" t="s">
        <v>2</v>
      </c>
      <c r="D10" s="37">
        <v>300</v>
      </c>
      <c r="E10" s="20"/>
      <c r="F10" s="38"/>
      <c r="G10" s="37"/>
      <c r="H10" s="36"/>
      <c r="I10" s="55"/>
      <c r="J10" s="56"/>
      <c r="K10" s="89"/>
      <c r="L10" s="48"/>
    </row>
    <row r="11" spans="2:12" x14ac:dyDescent="0.35">
      <c r="B11" s="44"/>
      <c r="C11" s="36" t="s">
        <v>3</v>
      </c>
      <c r="D11" s="37">
        <v>100</v>
      </c>
      <c r="E11" s="20"/>
      <c r="F11" s="38"/>
      <c r="G11" s="37"/>
      <c r="H11" s="38">
        <v>12</v>
      </c>
      <c r="I11" s="55"/>
      <c r="J11" s="56"/>
      <c r="K11" s="89"/>
      <c r="L11" s="48"/>
    </row>
    <row r="12" spans="2:12" x14ac:dyDescent="0.35">
      <c r="B12" s="44"/>
      <c r="C12" s="36"/>
      <c r="D12" s="37"/>
      <c r="E12" s="20"/>
      <c r="F12" s="38"/>
      <c r="G12" s="37"/>
      <c r="H12" s="38"/>
      <c r="I12" s="55"/>
      <c r="J12" s="56"/>
      <c r="K12" s="89"/>
      <c r="L12" s="48"/>
    </row>
    <row r="13" spans="2:12" x14ac:dyDescent="0.35">
      <c r="B13" s="47" t="s">
        <v>31</v>
      </c>
      <c r="C13" s="36"/>
      <c r="D13" s="37"/>
      <c r="E13" s="20"/>
      <c r="F13" s="38"/>
      <c r="G13" s="37"/>
      <c r="H13" s="38"/>
      <c r="I13" s="55"/>
      <c r="J13" s="56"/>
      <c r="K13" s="89"/>
      <c r="L13" s="48"/>
    </row>
    <row r="14" spans="2:12" x14ac:dyDescent="0.35">
      <c r="B14" s="44"/>
      <c r="C14" s="36" t="s">
        <v>15</v>
      </c>
      <c r="D14" s="37"/>
      <c r="E14" s="20"/>
      <c r="F14" s="38"/>
      <c r="G14" s="37"/>
      <c r="H14" s="38"/>
      <c r="I14" s="55"/>
      <c r="J14" s="63"/>
      <c r="K14" s="89"/>
      <c r="L14" s="48"/>
    </row>
    <row r="15" spans="2:12" x14ac:dyDescent="0.35">
      <c r="B15" s="44"/>
      <c r="C15" s="36" t="s">
        <v>34</v>
      </c>
      <c r="D15" s="37">
        <v>833</v>
      </c>
      <c r="E15" s="20"/>
      <c r="F15" s="38"/>
      <c r="G15" s="37"/>
      <c r="H15" s="38"/>
      <c r="I15" s="55"/>
      <c r="J15" s="56"/>
      <c r="K15" s="89"/>
      <c r="L15" s="48"/>
    </row>
    <row r="16" spans="2:12" x14ac:dyDescent="0.35">
      <c r="B16" s="44"/>
      <c r="C16" s="36" t="s">
        <v>54</v>
      </c>
      <c r="D16" s="37"/>
      <c r="E16" s="20"/>
      <c r="F16" s="38"/>
      <c r="G16" s="37"/>
      <c r="H16" s="38">
        <v>18</v>
      </c>
      <c r="I16" s="55"/>
      <c r="J16" s="56"/>
      <c r="K16" s="89"/>
      <c r="L16" s="48"/>
    </row>
    <row r="17" spans="2:12" x14ac:dyDescent="0.35">
      <c r="B17" s="44"/>
      <c r="C17" s="36" t="s">
        <v>6</v>
      </c>
      <c r="D17" s="37">
        <v>2100</v>
      </c>
      <c r="E17" s="20"/>
      <c r="F17" s="38"/>
      <c r="G17" s="37"/>
      <c r="H17" s="38">
        <v>500</v>
      </c>
      <c r="I17" s="55"/>
      <c r="J17" s="56"/>
      <c r="K17" s="89"/>
      <c r="L17" s="48"/>
    </row>
    <row r="18" spans="2:12" x14ac:dyDescent="0.35">
      <c r="B18" s="44"/>
      <c r="C18" s="36" t="s">
        <v>13</v>
      </c>
      <c r="D18" s="37">
        <v>2900</v>
      </c>
      <c r="E18" s="20"/>
      <c r="F18" s="69"/>
      <c r="G18" s="37"/>
      <c r="H18" s="38"/>
      <c r="I18" s="55"/>
      <c r="J18" s="56"/>
      <c r="K18" s="89"/>
      <c r="L18" s="48"/>
    </row>
    <row r="19" spans="2:12" x14ac:dyDescent="0.35">
      <c r="B19" s="44"/>
      <c r="C19" s="36"/>
      <c r="D19" s="37"/>
      <c r="E19" s="20"/>
      <c r="F19" s="38"/>
      <c r="G19" s="37"/>
      <c r="H19" s="38"/>
      <c r="I19" s="55"/>
      <c r="J19" s="56"/>
      <c r="K19" s="89"/>
      <c r="L19" s="48"/>
    </row>
    <row r="20" spans="2:12" x14ac:dyDescent="0.35">
      <c r="B20" s="44"/>
      <c r="C20" s="36"/>
      <c r="D20" s="37"/>
      <c r="E20" s="20"/>
      <c r="F20" s="38"/>
      <c r="G20" s="37"/>
      <c r="H20" s="38"/>
      <c r="I20" s="55"/>
      <c r="J20" s="56"/>
      <c r="K20" s="89"/>
      <c r="L20" s="48"/>
    </row>
    <row r="21" spans="2:12" x14ac:dyDescent="0.35">
      <c r="B21" s="47" t="s">
        <v>30</v>
      </c>
      <c r="C21" s="36"/>
      <c r="D21" s="37"/>
      <c r="E21" s="20"/>
      <c r="F21" s="38"/>
      <c r="G21" s="37"/>
      <c r="H21" s="38"/>
      <c r="I21" s="55"/>
      <c r="J21" s="56"/>
      <c r="K21" s="89"/>
      <c r="L21" s="48"/>
    </row>
    <row r="22" spans="2:12" x14ac:dyDescent="0.35">
      <c r="B22" s="44"/>
      <c r="C22" s="36" t="s">
        <v>4</v>
      </c>
      <c r="D22" s="37">
        <v>75</v>
      </c>
      <c r="E22" s="20"/>
      <c r="F22" s="38"/>
      <c r="G22" s="37"/>
      <c r="H22" s="38">
        <v>355</v>
      </c>
      <c r="I22" s="55"/>
      <c r="J22" s="56"/>
      <c r="K22" s="89"/>
      <c r="L22" s="48"/>
    </row>
    <row r="23" spans="2:12" x14ac:dyDescent="0.35">
      <c r="B23" s="44"/>
      <c r="C23" s="36" t="s">
        <v>11</v>
      </c>
      <c r="D23" s="37">
        <v>215</v>
      </c>
      <c r="E23" s="20"/>
      <c r="F23" s="38"/>
      <c r="G23" s="37"/>
      <c r="H23" s="38">
        <v>135</v>
      </c>
      <c r="I23" s="55"/>
      <c r="J23" s="56"/>
      <c r="K23" s="89"/>
      <c r="L23" s="48"/>
    </row>
    <row r="24" spans="2:12" x14ac:dyDescent="0.35">
      <c r="B24" s="44"/>
      <c r="C24" s="36" t="s">
        <v>37</v>
      </c>
      <c r="D24" s="37"/>
      <c r="E24" s="20"/>
      <c r="F24" s="38"/>
      <c r="G24" s="37"/>
      <c r="H24" s="38">
        <v>15</v>
      </c>
      <c r="I24" s="55"/>
      <c r="J24" s="56"/>
      <c r="K24" s="89"/>
      <c r="L24" s="48"/>
    </row>
    <row r="25" spans="2:12" x14ac:dyDescent="0.35">
      <c r="B25" s="44"/>
      <c r="C25" s="36" t="s">
        <v>52</v>
      </c>
      <c r="D25" s="37">
        <v>500</v>
      </c>
      <c r="E25" s="20"/>
      <c r="F25" s="38"/>
      <c r="G25" s="37"/>
      <c r="H25" s="38">
        <v>40</v>
      </c>
      <c r="I25" s="55"/>
      <c r="J25" s="56"/>
      <c r="K25" s="89"/>
      <c r="L25" s="48"/>
    </row>
    <row r="26" spans="2:12" x14ac:dyDescent="0.35">
      <c r="B26" s="44"/>
      <c r="C26" s="36"/>
      <c r="D26" s="37"/>
      <c r="E26" s="20"/>
      <c r="F26" s="38"/>
      <c r="G26" s="37"/>
      <c r="H26" s="38"/>
      <c r="I26" s="55"/>
      <c r="J26" s="56"/>
      <c r="K26" s="89"/>
      <c r="L26" s="48"/>
    </row>
    <row r="27" spans="2:12" x14ac:dyDescent="0.35">
      <c r="B27" s="47" t="s">
        <v>32</v>
      </c>
      <c r="C27" s="36"/>
      <c r="D27" s="37"/>
      <c r="E27" s="20"/>
      <c r="F27" s="38"/>
      <c r="G27" s="37"/>
      <c r="H27" s="38"/>
      <c r="I27" s="55"/>
      <c r="J27" s="56"/>
      <c r="K27" s="89"/>
      <c r="L27" s="48"/>
    </row>
    <row r="28" spans="2:12" x14ac:dyDescent="0.35">
      <c r="B28" s="44"/>
      <c r="C28" s="36" t="s">
        <v>5</v>
      </c>
      <c r="D28" s="37">
        <v>915</v>
      </c>
      <c r="E28" s="20"/>
      <c r="F28" s="38"/>
      <c r="G28" s="37"/>
      <c r="H28" s="38"/>
      <c r="I28" s="55"/>
      <c r="J28" s="56"/>
      <c r="K28" s="89"/>
      <c r="L28" s="48"/>
    </row>
    <row r="29" spans="2:12" x14ac:dyDescent="0.35">
      <c r="B29" s="44"/>
      <c r="C29" s="36" t="s">
        <v>20</v>
      </c>
      <c r="D29" s="37">
        <v>214</v>
      </c>
      <c r="E29" s="20"/>
      <c r="F29" s="38"/>
      <c r="G29" s="37"/>
      <c r="H29" s="38">
        <v>22</v>
      </c>
      <c r="I29" s="55"/>
      <c r="J29" s="63"/>
      <c r="K29" s="89"/>
      <c r="L29" s="48"/>
    </row>
    <row r="30" spans="2:12" x14ac:dyDescent="0.35">
      <c r="B30" s="44"/>
      <c r="C30" s="36" t="s">
        <v>12</v>
      </c>
      <c r="D30" s="37">
        <v>3500</v>
      </c>
      <c r="E30" s="20"/>
      <c r="F30" s="38"/>
      <c r="G30" s="37"/>
      <c r="H30" s="38">
        <v>400</v>
      </c>
      <c r="I30" s="55"/>
      <c r="J30" s="56"/>
      <c r="K30" s="89"/>
      <c r="L30" s="48"/>
    </row>
    <row r="31" spans="2:12" x14ac:dyDescent="0.35">
      <c r="B31" s="44"/>
      <c r="C31" s="36" t="s">
        <v>53</v>
      </c>
      <c r="D31" s="37">
        <v>-500</v>
      </c>
      <c r="E31" s="20"/>
      <c r="F31" s="38"/>
      <c r="G31" s="37"/>
      <c r="H31" s="38">
        <v>-40</v>
      </c>
      <c r="I31" s="55"/>
      <c r="J31" s="56"/>
      <c r="K31" s="89"/>
      <c r="L31" s="48"/>
    </row>
    <row r="32" spans="2:12" x14ac:dyDescent="0.35">
      <c r="B32" s="44"/>
      <c r="C32" s="36"/>
      <c r="D32" s="37"/>
      <c r="E32" s="20"/>
      <c r="F32" s="38"/>
      <c r="G32" s="37"/>
      <c r="H32" s="38"/>
      <c r="I32" s="55"/>
      <c r="J32" s="56"/>
      <c r="K32" s="89"/>
      <c r="L32" s="48"/>
    </row>
    <row r="33" spans="2:12" x14ac:dyDescent="0.35">
      <c r="B33" s="47" t="s">
        <v>7</v>
      </c>
      <c r="C33" s="36"/>
      <c r="D33" s="37"/>
      <c r="E33" s="20"/>
      <c r="F33" s="38"/>
      <c r="G33" s="37"/>
      <c r="H33" s="38"/>
      <c r="I33" s="55"/>
      <c r="J33" s="56"/>
      <c r="K33" s="89"/>
      <c r="L33" s="48"/>
    </row>
    <row r="34" spans="2:12" x14ac:dyDescent="0.35">
      <c r="B34" s="44"/>
      <c r="C34" s="36" t="s">
        <v>55</v>
      </c>
      <c r="D34" s="37">
        <v>500</v>
      </c>
      <c r="E34" s="20"/>
      <c r="F34" s="38"/>
      <c r="G34" s="37"/>
      <c r="H34" s="38">
        <v>170</v>
      </c>
      <c r="I34" s="55"/>
      <c r="J34" s="56"/>
      <c r="K34" s="89"/>
      <c r="L34" s="48"/>
    </row>
    <row r="35" spans="2:12" ht="15" thickBot="1" x14ac:dyDescent="0.4">
      <c r="B35" s="45"/>
      <c r="C35" s="42" t="s">
        <v>35</v>
      </c>
      <c r="D35" s="39">
        <v>4340</v>
      </c>
      <c r="E35" s="40"/>
      <c r="F35" s="41"/>
      <c r="G35" s="39"/>
      <c r="H35" s="41">
        <v>136</v>
      </c>
      <c r="I35" s="57"/>
      <c r="J35" s="58"/>
      <c r="K35" s="90"/>
      <c r="L35" s="49"/>
    </row>
    <row r="36" spans="2:12" x14ac:dyDescent="0.35">
      <c r="H36" s="20"/>
    </row>
    <row r="37" spans="2:12" x14ac:dyDescent="0.35">
      <c r="H37" s="20"/>
    </row>
  </sheetData>
  <mergeCells count="2">
    <mergeCell ref="I2:K2"/>
    <mergeCell ref="G2:H2"/>
  </mergeCells>
  <pageMargins left="0.7" right="0.7" top="0.75" bottom="0.75" header="0.3" footer="0.3"/>
  <pageSetup scale="67" fitToHeight="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1.1 EGI</vt:lpstr>
      <vt:lpstr>1.2 PI</vt:lpstr>
      <vt:lpstr>1.3 EAI</vt:lpstr>
      <vt:lpstr>A.4) Consolidé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veronique beland</dc:creator>
  <cp:lastModifiedBy>Louise Overbeek</cp:lastModifiedBy>
  <cp:lastPrinted>2022-02-17T19:15:48Z</cp:lastPrinted>
  <dcterms:created xsi:type="dcterms:W3CDTF">2022-01-19T17:42:07Z</dcterms:created>
  <dcterms:modified xsi:type="dcterms:W3CDTF">2025-03-13T19:22:12Z</dcterms:modified>
</cp:coreProperties>
</file>