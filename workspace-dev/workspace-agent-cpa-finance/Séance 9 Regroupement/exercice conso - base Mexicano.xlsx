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S\Information financiere intégrité et confirmité\Séance 9 Regroupement\"/>
    </mc:Choice>
  </mc:AlternateContent>
  <xr:revisionPtr revIDLastSave="0" documentId="13_ncr:1_{06F1B1C8-AEB9-467E-BE82-D219BCA5DFFA}" xr6:coauthVersionLast="47" xr6:coauthVersionMax="47" xr10:uidLastSave="{00000000-0000-0000-0000-000000000000}"/>
  <bookViews>
    <workbookView xWindow="-108" yWindow="-108" windowWidth="23256" windowHeight="13896" firstSheet="1" activeTab="8" xr2:uid="{1804FEF6-CEE8-44FA-8E69-4655A80A6AE2}"/>
  </bookViews>
  <sheets>
    <sheet name="Énoncé - acq" sheetId="1" r:id="rId1"/>
    <sheet name="libre" sheetId="3" r:id="rId2"/>
    <sheet name="Solution" sheetId="2" r:id="rId3"/>
    <sheet name="Énoncé 31 déc" sheetId="4" r:id="rId4"/>
    <sheet name="libre 2" sheetId="5" r:id="rId5"/>
    <sheet name="Solution 31 déc" sheetId="6" r:id="rId6"/>
    <sheet name="Si acquiert 70 %" sheetId="7" r:id="rId7"/>
    <sheet name="libre 3" sheetId="8" r:id="rId8"/>
    <sheet name="Solution 70 %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9" l="1"/>
  <c r="P18" i="9"/>
  <c r="R18" i="9"/>
  <c r="P11" i="9"/>
  <c r="P7" i="9"/>
  <c r="J25" i="1"/>
  <c r="J23" i="1"/>
  <c r="N17" i="1"/>
  <c r="N16" i="1"/>
  <c r="N14" i="1"/>
  <c r="K17" i="1"/>
  <c r="P20" i="9"/>
  <c r="P9" i="9"/>
  <c r="C23" i="9"/>
  <c r="C26" i="9" s="1"/>
  <c r="C15" i="9"/>
  <c r="C18" i="9" s="1"/>
  <c r="C31" i="9" s="1"/>
  <c r="C30" i="9" s="1"/>
  <c r="C29" i="9" s="1"/>
  <c r="C22" i="7"/>
  <c r="C25" i="7" s="1"/>
  <c r="C17" i="7"/>
  <c r="C30" i="7" s="1"/>
  <c r="C14" i="7"/>
  <c r="K42" i="6"/>
  <c r="K40" i="6"/>
  <c r="K37" i="6"/>
  <c r="K26" i="6"/>
  <c r="K39" i="6"/>
  <c r="K7" i="6"/>
  <c r="K9" i="6"/>
  <c r="K15" i="6"/>
  <c r="K17" i="6"/>
  <c r="K18" i="6"/>
  <c r="K19" i="6"/>
  <c r="K21" i="6"/>
  <c r="K24" i="6"/>
  <c r="K25" i="6"/>
  <c r="K29" i="6"/>
  <c r="K33" i="6"/>
  <c r="K34" i="6"/>
  <c r="K35" i="6"/>
  <c r="K36" i="6"/>
  <c r="G20" i="6"/>
  <c r="G32" i="6" s="1"/>
  <c r="I14" i="6"/>
  <c r="H14" i="6" s="1"/>
  <c r="P18" i="2"/>
  <c r="G14" i="6"/>
  <c r="K14" i="6" s="1"/>
  <c r="G15" i="6"/>
  <c r="G30" i="6"/>
  <c r="G28" i="6"/>
  <c r="K28" i="6" s="1"/>
  <c r="G13" i="6"/>
  <c r="K13" i="6" s="1"/>
  <c r="G12" i="6"/>
  <c r="H12" i="6" s="1"/>
  <c r="G8" i="6"/>
  <c r="H8" i="6" s="1"/>
  <c r="G7" i="6"/>
  <c r="H7" i="6" s="1"/>
  <c r="E37" i="6"/>
  <c r="E40" i="6" s="1"/>
  <c r="C37" i="6"/>
  <c r="C40" i="6" s="1"/>
  <c r="E22" i="6"/>
  <c r="E26" i="6" s="1"/>
  <c r="C22" i="6"/>
  <c r="C26" i="6" s="1"/>
  <c r="C10" i="6"/>
  <c r="C16" i="6" s="1"/>
  <c r="C32" i="6" s="1"/>
  <c r="C29" i="4"/>
  <c r="C40" i="4"/>
  <c r="C36" i="4"/>
  <c r="C39" i="4" s="1"/>
  <c r="E36" i="4"/>
  <c r="E39" i="4" s="1"/>
  <c r="E40" i="4" s="1"/>
  <c r="C22" i="4"/>
  <c r="C25" i="4" s="1"/>
  <c r="C13" i="4"/>
  <c r="C17" i="4" s="1"/>
  <c r="E22" i="4"/>
  <c r="E25" i="4" s="1"/>
  <c r="Q21" i="2"/>
  <c r="Q18" i="2"/>
  <c r="Q13" i="2"/>
  <c r="Q11" i="2"/>
  <c r="Q9" i="2"/>
  <c r="C23" i="2"/>
  <c r="C26" i="2" s="1"/>
  <c r="C15" i="2"/>
  <c r="C18" i="2" s="1"/>
  <c r="C31" i="2" s="1"/>
  <c r="C30" i="2" s="1"/>
  <c r="C29" i="2" s="1"/>
  <c r="C25" i="1"/>
  <c r="C28" i="1" s="1"/>
  <c r="C17" i="1"/>
  <c r="C20" i="1" s="1"/>
  <c r="C33" i="1" s="1"/>
  <c r="J27" i="1" l="1"/>
  <c r="C29" i="7"/>
  <c r="C28" i="7" s="1"/>
  <c r="K12" i="6"/>
  <c r="K20" i="6"/>
  <c r="K22" i="6" s="1"/>
  <c r="K8" i="6"/>
  <c r="H30" i="6"/>
  <c r="H32" i="6" s="1"/>
  <c r="G16" i="6"/>
  <c r="H16" i="6"/>
  <c r="C41" i="6"/>
  <c r="E41" i="6"/>
  <c r="E42" i="6" s="1"/>
  <c r="C31" i="6"/>
  <c r="C31" i="4"/>
  <c r="C30" i="4" s="1"/>
  <c r="E41" i="4"/>
  <c r="C41" i="4"/>
  <c r="C32" i="1"/>
  <c r="C31" i="1" s="1"/>
  <c r="C30" i="6" l="1"/>
  <c r="C42" i="6"/>
  <c r="K41" i="6"/>
  <c r="E30" i="6"/>
  <c r="E31" i="6" s="1"/>
  <c r="E32" i="6" s="1"/>
  <c r="E45" i="6"/>
  <c r="E29" i="4"/>
  <c r="E30" i="4" s="1"/>
  <c r="E31" i="4" s="1"/>
  <c r="E17" i="4" s="1"/>
  <c r="E13" i="4" s="1"/>
  <c r="E9" i="4" s="1"/>
  <c r="E44" i="4"/>
  <c r="E16" i="6" l="1"/>
  <c r="E10" i="6" s="1"/>
  <c r="E6" i="6" s="1"/>
  <c r="K6" i="6" s="1"/>
  <c r="K10" i="6" s="1"/>
  <c r="K16" i="6" s="1"/>
  <c r="K30" i="6"/>
  <c r="K31" i="6" s="1"/>
  <c r="K32" i="6" s="1"/>
</calcChain>
</file>

<file path=xl/sharedStrings.xml><?xml version="1.0" encoding="utf-8"?>
<sst xmlns="http://schemas.openxmlformats.org/spreadsheetml/2006/main" count="212" uniqueCount="85">
  <si>
    <t>1 - Identification de l'acquéreur</t>
  </si>
  <si>
    <t>2 - Détermination de la date de l'acquisition</t>
  </si>
  <si>
    <t>3 - Évaluation des éléments acquis et de toute participation ne donnant pas le contrôle</t>
  </si>
  <si>
    <t>ACTIF</t>
  </si>
  <si>
    <t xml:space="preserve">  Encaisse</t>
  </si>
  <si>
    <t xml:space="preserve">  Clients et autres débiteurs</t>
  </si>
  <si>
    <t xml:space="preserve">  Stocks</t>
  </si>
  <si>
    <t xml:space="preserve">  Frais payés d'avance</t>
  </si>
  <si>
    <t>PASSIF</t>
  </si>
  <si>
    <t xml:space="preserve">  Créditeurs</t>
  </si>
  <si>
    <t>DETTE À LONG TERME</t>
  </si>
  <si>
    <t>CAPITAUX PROPRES</t>
  </si>
  <si>
    <t xml:space="preserve">  Actions ordinaires</t>
  </si>
  <si>
    <t>en trésorerie</t>
  </si>
  <si>
    <t>Mère acquiert 100 % des actions avec droit de vote de Filiale le 1er janvier 2021 en contrepartie de :</t>
  </si>
  <si>
    <t>De plus, le vendeur et ex-dirigeant de filiale a accepté d'être à l'emploi de Filiale pour la prochaine année en échange d'une rémunération de 150 000 $.</t>
  </si>
  <si>
    <t>Bilan de Filiale au 1er janvier 2021</t>
  </si>
  <si>
    <t>Valeur comptable</t>
  </si>
  <si>
    <t>Juste valeur</t>
  </si>
  <si>
    <t>Court terme</t>
  </si>
  <si>
    <t xml:space="preserve">  Bénéfices non répartis</t>
  </si>
  <si>
    <t>Provision insuffisante estimée à 4 000 $</t>
  </si>
  <si>
    <t>actions privilégiées émises par Mère, donnant droit à un dividende de 8 % cumulatif, rachetables le 1er janvier 2023</t>
  </si>
  <si>
    <t>Immobilisations corporelles</t>
  </si>
  <si>
    <t xml:space="preserve">  Portion courante de la dette à long terme</t>
  </si>
  <si>
    <t>Hypothèse : équipement de production, amortissement dégressif 30 % ; juste valeur 300 000 $</t>
  </si>
  <si>
    <t>f</t>
  </si>
  <si>
    <t>Mère</t>
  </si>
  <si>
    <t>1er janvier 2021</t>
  </si>
  <si>
    <t>Prix</t>
  </si>
  <si>
    <t>?</t>
  </si>
  <si>
    <t>10 % du BAIIA excédent 500 000 $ pour les deux prochaines années</t>
  </si>
  <si>
    <t>trésorerie</t>
  </si>
  <si>
    <t>JV act priv</t>
  </si>
  <si>
    <t>taux 8 % raisonnable, sinon aurait dû déterminer la JV de l'instrument financier</t>
  </si>
  <si>
    <t>contrepartie conditionnelle</t>
  </si>
  <si>
    <t>Valeur comptable avoir act ord</t>
  </si>
  <si>
    <t>Ajustements JV</t>
  </si>
  <si>
    <t>Inclut des stocks pour une valeur de 3 000 $ qui datent de plus de trois ans</t>
  </si>
  <si>
    <t>actualisation de 2 000 $ pour une période de 36 mois, hypothèse taux 8 %</t>
  </si>
  <si>
    <t>Poursuite</t>
  </si>
  <si>
    <t>Contrat favorable - bail</t>
  </si>
  <si>
    <t>Calcul de l'écart d'acquisition</t>
  </si>
  <si>
    <t>Écart d'acquisition</t>
  </si>
  <si>
    <t xml:space="preserve">Les états financiers de Mère et Filiale au 31 décembre 2021 : </t>
  </si>
  <si>
    <t>Filiale</t>
  </si>
  <si>
    <t>Actions privilégiées</t>
  </si>
  <si>
    <t>Aucune transactions inter-sociétés</t>
  </si>
  <si>
    <t>Ventes</t>
  </si>
  <si>
    <t>Coût des ventes</t>
  </si>
  <si>
    <t>Bénéfice brut</t>
  </si>
  <si>
    <t>Frais d'exploitation</t>
  </si>
  <si>
    <t>Bénéfice avant impôts</t>
  </si>
  <si>
    <t>Impôts</t>
  </si>
  <si>
    <t>Bénéfice net</t>
  </si>
  <si>
    <t>Impôts futurs si ce choix de méthode comptable</t>
  </si>
  <si>
    <t>BAIIA</t>
  </si>
  <si>
    <t>Filiale prétend que le BAIIA des deux prochaines années atteindra 550 000 $ mais Mère croit plutôt qu'il s'élèvera à 450 000 $</t>
  </si>
  <si>
    <t>Placement dans Filiale</t>
  </si>
  <si>
    <t>Préparez les états financiers consolidés</t>
  </si>
  <si>
    <t>Ajustements conso</t>
  </si>
  <si>
    <t>Contrat bail favorable</t>
  </si>
  <si>
    <t>Provision - poursuite</t>
  </si>
  <si>
    <t>reclassement</t>
  </si>
  <si>
    <t>Consolidé</t>
  </si>
  <si>
    <t>si ajustement pour la contrepartie conditionnelle : au résultat net après 12 mois</t>
  </si>
  <si>
    <t>Mère acquiert 70 % des actions avec droit de vote de Filiale le 1er janvier 2021 en contrepartie de :</t>
  </si>
  <si>
    <t>Choix</t>
  </si>
  <si>
    <t>réduction correspondate Part des actionnaires sans contrôle</t>
  </si>
  <si>
    <t>Part des actionnaires sans contrôle</t>
  </si>
  <si>
    <t>extrapolation du prix payé à 100 % des actions</t>
  </si>
  <si>
    <t>à 100 %</t>
  </si>
  <si>
    <t>Présenté dans les capitaux propres</t>
  </si>
  <si>
    <t>Filiale loue un espace à un prix de 10 000 $ / mois alors que le même espace coûterait 12 000 $ / mois lors de l'acquisition - il reste 36 mois au bail</t>
  </si>
  <si>
    <t>Filiale est poursuivie par un client pour une somme de 80 000 $, mais assure qu'il n'y a pas de cause. L'avocat de Mère a regardé le dossier et croit qu'il serait souhaitable de régler hors cours et croit pouvoir obtenir un règlement qui coûterait 20 000 $.</t>
  </si>
  <si>
    <t>La méthode EF consolidée a été retenue. Calculer l'écart d'acquisition.</t>
  </si>
  <si>
    <t>estimation de l'acquéreur retenue</t>
  </si>
  <si>
    <t>Rémunération 150 k$ à titre d'employé et non en contrepartie des actions vendues</t>
  </si>
  <si>
    <t>Good will</t>
  </si>
  <si>
    <t>EPC</t>
  </si>
  <si>
    <t>PMT</t>
  </si>
  <si>
    <t>FV</t>
  </si>
  <si>
    <t>I</t>
  </si>
  <si>
    <t>N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</si>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</sst>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$&quot;_);[Red]\(#,##0.00\ &quot;$&quot;\)"/>
    <numFmt numFmtId="164" formatCode="_-* #,##0.00_-;\-* #,##0.00_-;_-* &quot;-&quot;??_-;_-@_-"/>
    <numFmt numFmtId="165" formatCode="_ * #,##0_)\ _$_ ;_ * \(#,##0\)\ _$_ ;_ * &quot;-&quot;??_)\ _$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165" fontId="3" fillId="0" borderId="0" xfId="1" applyNumberFormat="1" applyFont="1"/>
    <xf numFmtId="165" fontId="3" fillId="0" borderId="0" xfId="1" applyNumberFormat="1" applyFont="1" applyFill="1"/>
    <xf numFmtId="0" fontId="1" fillId="0" borderId="0" xfId="0" applyFont="1"/>
    <xf numFmtId="165" fontId="1" fillId="0" borderId="0" xfId="1" applyNumberFormat="1" applyFont="1" applyFill="1"/>
    <xf numFmtId="165" fontId="1" fillId="0" borderId="1" xfId="1" applyNumberFormat="1" applyFont="1" applyFill="1" applyBorder="1"/>
    <xf numFmtId="165" fontId="2" fillId="0" borderId="2" xfId="1" applyNumberFormat="1" applyFont="1" applyFill="1" applyBorder="1"/>
    <xf numFmtId="165" fontId="1" fillId="0" borderId="0" xfId="1" applyNumberFormat="1" applyFont="1" applyFill="1" applyBorder="1"/>
    <xf numFmtId="165" fontId="1" fillId="0" borderId="3" xfId="1" applyNumberFormat="1" applyFont="1" applyFill="1" applyBorder="1"/>
    <xf numFmtId="165" fontId="3" fillId="0" borderId="0" xfId="1" applyNumberFormat="1" applyFont="1" applyFill="1" applyAlignment="1">
      <alignment horizontal="right"/>
    </xf>
    <xf numFmtId="0" fontId="4" fillId="0" borderId="0" xfId="0" applyFont="1"/>
    <xf numFmtId="165" fontId="0" fillId="0" borderId="0" xfId="0" applyNumberFormat="1"/>
    <xf numFmtId="0" fontId="2" fillId="0" borderId="0" xfId="0" applyFont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8" xfId="0" applyNumberFormat="1" applyBorder="1"/>
    <xf numFmtId="165" fontId="1" fillId="0" borderId="9" xfId="1" applyNumberFormat="1" applyFont="1" applyFill="1" applyBorder="1"/>
    <xf numFmtId="165" fontId="0" fillId="0" borderId="9" xfId="0" applyNumberFormat="1" applyBorder="1"/>
    <xf numFmtId="0" fontId="2" fillId="0" borderId="10" xfId="0" applyFont="1" applyBorder="1"/>
    <xf numFmtId="165" fontId="2" fillId="0" borderId="11" xfId="1" applyNumberFormat="1" applyFont="1" applyFill="1" applyBorder="1"/>
    <xf numFmtId="165" fontId="2" fillId="0" borderId="12" xfId="0" applyNumberFormat="1" applyFont="1" applyBorder="1"/>
    <xf numFmtId="165" fontId="5" fillId="0" borderId="0" xfId="1" applyNumberFormat="1" applyFont="1" applyFill="1" applyBorder="1"/>
    <xf numFmtId="165" fontId="6" fillId="0" borderId="0" xfId="1" applyNumberFormat="1" applyFont="1" applyFill="1"/>
    <xf numFmtId="165" fontId="4" fillId="0" borderId="0" xfId="1" applyNumberFormat="1" applyFont="1" applyFill="1"/>
    <xf numFmtId="9" fontId="0" fillId="0" borderId="6" xfId="0" applyNumberFormat="1" applyBorder="1" applyAlignment="1">
      <alignment horizontal="center"/>
    </xf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0" fontId="9" fillId="0" borderId="0" xfId="0" applyFont="1"/>
    <xf numFmtId="8" fontId="0" fillId="0" borderId="0" xfId="0" applyNumberFormat="1"/>
    <xf numFmtId="9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0A5E-2C24-4ECB-986E-F3C30F0EE2B2}">
  <dimension ref="A1:N40"/>
  <sheetViews>
    <sheetView topLeftCell="A9" workbookViewId="0">
      <selection activeCell="J32" sqref="J32"/>
    </sheetView>
  </sheetViews>
  <sheetFormatPr baseColWidth="10" defaultRowHeight="14.4" x14ac:dyDescent="0.3"/>
  <cols>
    <col min="2" max="2" width="37.21875" customWidth="1"/>
  </cols>
  <sheetData>
    <row r="1" spans="1:14" x14ac:dyDescent="0.3">
      <c r="A1" t="s">
        <v>14</v>
      </c>
    </row>
    <row r="2" spans="1:14" x14ac:dyDescent="0.3">
      <c r="B2" s="3">
        <v>200000</v>
      </c>
      <c r="C2" t="s">
        <v>13</v>
      </c>
    </row>
    <row r="3" spans="1:14" x14ac:dyDescent="0.3">
      <c r="B3" s="3">
        <v>100000</v>
      </c>
      <c r="C3" t="s">
        <v>22</v>
      </c>
    </row>
    <row r="4" spans="1:14" x14ac:dyDescent="0.3">
      <c r="B4" s="10" t="s">
        <v>30</v>
      </c>
      <c r="C4" t="s">
        <v>31</v>
      </c>
    </row>
    <row r="5" spans="1:14" x14ac:dyDescent="0.3">
      <c r="A5" t="s">
        <v>15</v>
      </c>
      <c r="B5" s="3"/>
    </row>
    <row r="6" spans="1:14" x14ac:dyDescent="0.3">
      <c r="B6" s="3"/>
    </row>
    <row r="7" spans="1:14" x14ac:dyDescent="0.3">
      <c r="B7" s="3"/>
    </row>
    <row r="8" spans="1:14" x14ac:dyDescent="0.3">
      <c r="A8" t="s">
        <v>16</v>
      </c>
      <c r="B8" s="3"/>
    </row>
    <row r="10" spans="1:14" x14ac:dyDescent="0.3">
      <c r="C10" t="s">
        <v>17</v>
      </c>
      <c r="E10" t="s">
        <v>18</v>
      </c>
    </row>
    <row r="11" spans="1:14" x14ac:dyDescent="0.3">
      <c r="B11" t="s">
        <v>3</v>
      </c>
      <c r="C11" s="2"/>
      <c r="D11" s="1"/>
      <c r="E11" s="2"/>
    </row>
    <row r="12" spans="1:14" x14ac:dyDescent="0.3">
      <c r="B12" t="s">
        <v>19</v>
      </c>
      <c r="C12" s="3"/>
      <c r="D12" s="1"/>
      <c r="M12">
        <v>300000</v>
      </c>
    </row>
    <row r="13" spans="1:14" x14ac:dyDescent="0.3">
      <c r="B13" t="s">
        <v>4</v>
      </c>
      <c r="C13" s="5">
        <v>15000</v>
      </c>
      <c r="D13" s="1"/>
    </row>
    <row r="14" spans="1:14" x14ac:dyDescent="0.3">
      <c r="B14" t="s">
        <v>5</v>
      </c>
      <c r="C14" s="5">
        <v>30000</v>
      </c>
      <c r="D14" s="1"/>
      <c r="E14" s="11" t="s">
        <v>21</v>
      </c>
      <c r="K14">
        <v>-4000</v>
      </c>
      <c r="M14" t="s">
        <v>79</v>
      </c>
      <c r="N14" s="12">
        <f>+M12-C32</f>
        <v>118000</v>
      </c>
    </row>
    <row r="15" spans="1:14" x14ac:dyDescent="0.3">
      <c r="B15" t="s">
        <v>6</v>
      </c>
      <c r="C15" s="5">
        <v>50000</v>
      </c>
      <c r="D15" s="1"/>
      <c r="E15" s="11" t="s">
        <v>38</v>
      </c>
      <c r="K15">
        <v>-3000</v>
      </c>
    </row>
    <row r="16" spans="1:14" x14ac:dyDescent="0.3">
      <c r="B16" t="s">
        <v>7</v>
      </c>
      <c r="C16" s="6">
        <v>2000</v>
      </c>
      <c r="D16" s="1"/>
      <c r="E16" s="11"/>
      <c r="K16">
        <v>-50000</v>
      </c>
      <c r="M16" t="s">
        <v>78</v>
      </c>
      <c r="N16" s="12">
        <f>+N14+K21</f>
        <v>118000</v>
      </c>
    </row>
    <row r="17" spans="2:14" x14ac:dyDescent="0.3">
      <c r="C17" s="5">
        <f>SUM(C13:C16)</f>
        <v>97000</v>
      </c>
      <c r="D17" s="1"/>
      <c r="E17" s="11"/>
      <c r="K17">
        <f>36*2000</f>
        <v>72000</v>
      </c>
      <c r="N17" s="12">
        <f>+N16-K14-K15-K16-K17-K18</f>
        <v>123000</v>
      </c>
    </row>
    <row r="18" spans="2:14" x14ac:dyDescent="0.3">
      <c r="C18" s="5"/>
      <c r="D18" s="1"/>
      <c r="E18" s="11"/>
      <c r="K18">
        <v>-20000</v>
      </c>
    </row>
    <row r="19" spans="2:14" x14ac:dyDescent="0.3">
      <c r="B19" t="s">
        <v>23</v>
      </c>
      <c r="C19" s="5">
        <v>350000</v>
      </c>
      <c r="D19" s="1"/>
      <c r="E19" s="11" t="s">
        <v>25</v>
      </c>
    </row>
    <row r="20" spans="2:14" ht="15" thickBot="1" x14ac:dyDescent="0.35">
      <c r="C20" s="7">
        <f>SUM(C17:C19)</f>
        <v>447000</v>
      </c>
      <c r="D20" s="1"/>
    </row>
    <row r="21" spans="2:14" ht="15" thickTop="1" x14ac:dyDescent="0.3">
      <c r="B21" t="s">
        <v>8</v>
      </c>
      <c r="C21" s="5"/>
      <c r="D21" s="1"/>
    </row>
    <row r="22" spans="2:14" x14ac:dyDescent="0.3">
      <c r="B22" t="s">
        <v>19</v>
      </c>
      <c r="C22" s="5"/>
      <c r="D22" s="1"/>
    </row>
    <row r="23" spans="2:14" x14ac:dyDescent="0.3">
      <c r="B23" t="s">
        <v>9</v>
      </c>
      <c r="C23" s="8">
        <v>25000</v>
      </c>
      <c r="D23" s="1"/>
      <c r="I23" t="s">
        <v>80</v>
      </c>
      <c r="J23">
        <f>-2000</f>
        <v>-2000</v>
      </c>
    </row>
    <row r="24" spans="2:14" x14ac:dyDescent="0.3">
      <c r="B24" t="s">
        <v>24</v>
      </c>
      <c r="C24" s="6">
        <v>60000</v>
      </c>
      <c r="D24" s="1"/>
      <c r="I24" t="s">
        <v>81</v>
      </c>
      <c r="J24">
        <v>0</v>
      </c>
    </row>
    <row r="25" spans="2:14" x14ac:dyDescent="0.3">
      <c r="C25" s="5">
        <f>SUM(C23:C24)</f>
        <v>85000</v>
      </c>
      <c r="D25" s="1"/>
      <c r="I25" t="s">
        <v>82</v>
      </c>
      <c r="J25" s="34">
        <f>8%/12</f>
        <v>6.6666666666666671E-3</v>
      </c>
    </row>
    <row r="26" spans="2:14" x14ac:dyDescent="0.3">
      <c r="C26" s="5"/>
      <c r="D26" s="1"/>
      <c r="I26" t="s">
        <v>83</v>
      </c>
      <c r="J26">
        <v>36</v>
      </c>
    </row>
    <row r="27" spans="2:14" x14ac:dyDescent="0.3">
      <c r="B27" t="s">
        <v>10</v>
      </c>
      <c r="C27" s="5">
        <v>180000</v>
      </c>
      <c r="D27" s="1"/>
      <c r="I27" t="s">
        <v>84</v>
      </c>
      <c r="J27" s="33">
        <f>PV(J25,J26,J23,J24,1)</f>
        <v>64249.101760424368</v>
      </c>
    </row>
    <row r="28" spans="2:14" x14ac:dyDescent="0.3">
      <c r="C28" s="9">
        <f>SUM(C25:C27)</f>
        <v>265000</v>
      </c>
      <c r="D28" s="1"/>
    </row>
    <row r="29" spans="2:14" x14ac:dyDescent="0.3">
      <c r="B29" t="s">
        <v>11</v>
      </c>
      <c r="C29" s="5"/>
      <c r="D29" s="1"/>
    </row>
    <row r="30" spans="2:14" x14ac:dyDescent="0.3">
      <c r="B30" t="s">
        <v>12</v>
      </c>
      <c r="C30" s="5">
        <v>40000</v>
      </c>
      <c r="D30" s="1"/>
    </row>
    <row r="31" spans="2:14" x14ac:dyDescent="0.3">
      <c r="B31" t="s">
        <v>20</v>
      </c>
      <c r="C31" s="6">
        <f>+C32-C30</f>
        <v>142000</v>
      </c>
      <c r="D31" s="1"/>
    </row>
    <row r="32" spans="2:14" x14ac:dyDescent="0.3">
      <c r="C32" s="9">
        <f>+C33-C28</f>
        <v>182000</v>
      </c>
      <c r="D32" s="1"/>
    </row>
    <row r="33" spans="1:4" ht="15" thickBot="1" x14ac:dyDescent="0.35">
      <c r="C33" s="7">
        <f>+C20</f>
        <v>447000</v>
      </c>
      <c r="D33" s="1"/>
    </row>
    <row r="34" spans="1:4" ht="15" thickTop="1" x14ac:dyDescent="0.3">
      <c r="C34" s="4"/>
      <c r="D34" s="1"/>
    </row>
    <row r="35" spans="1:4" x14ac:dyDescent="0.3">
      <c r="A35" t="s">
        <v>73</v>
      </c>
    </row>
    <row r="36" spans="1:4" x14ac:dyDescent="0.3">
      <c r="A36" t="s">
        <v>74</v>
      </c>
    </row>
    <row r="37" spans="1:4" x14ac:dyDescent="0.3">
      <c r="A37" t="s">
        <v>57</v>
      </c>
    </row>
    <row r="40" spans="1:4" x14ac:dyDescent="0.3">
      <c r="A40" s="29" t="s">
        <v>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D3FB-D64E-48A0-9956-616E091D5423}">
  <dimension ref="A1"/>
  <sheetViews>
    <sheetView workbookViewId="0">
      <selection activeCell="M16" sqref="M16"/>
    </sheetView>
  </sheetViews>
  <sheetFormatPr baseColWidth="10" defaultRowHeight="14.4" x14ac:dyDescent="0.3"/>
  <sheetData>
    <row r="1" spans="1:1" x14ac:dyDescent="0.3">
      <c r="A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B279-2F96-4327-895A-2DD98526E88C}">
  <dimension ref="A2:R35"/>
  <sheetViews>
    <sheetView zoomScale="90" zoomScaleNormal="90" workbookViewId="0">
      <selection activeCell="L32" sqref="L32"/>
    </sheetView>
  </sheetViews>
  <sheetFormatPr baseColWidth="10" defaultRowHeight="14.4" x14ac:dyDescent="0.3"/>
  <cols>
    <col min="2" max="2" width="36.88671875" customWidth="1"/>
    <col min="15" max="15" width="25.44140625" bestFit="1" customWidth="1"/>
  </cols>
  <sheetData>
    <row r="2" spans="1:18" x14ac:dyDescent="0.3">
      <c r="A2" t="s">
        <v>0</v>
      </c>
      <c r="E2" t="s">
        <v>27</v>
      </c>
    </row>
    <row r="4" spans="1:18" ht="15" thickBot="1" x14ac:dyDescent="0.35">
      <c r="A4" t="s">
        <v>1</v>
      </c>
      <c r="E4" t="s">
        <v>28</v>
      </c>
    </row>
    <row r="5" spans="1:18" x14ac:dyDescent="0.3">
      <c r="N5" s="14" t="s">
        <v>42</v>
      </c>
      <c r="O5" s="15"/>
      <c r="P5" s="15"/>
      <c r="Q5" s="16"/>
    </row>
    <row r="6" spans="1:18" x14ac:dyDescent="0.3">
      <c r="A6" t="s">
        <v>2</v>
      </c>
      <c r="N6" s="17"/>
      <c r="Q6" s="18"/>
    </row>
    <row r="7" spans="1:18" x14ac:dyDescent="0.3">
      <c r="N7" s="17" t="s">
        <v>29</v>
      </c>
      <c r="O7" s="8" t="s">
        <v>32</v>
      </c>
      <c r="P7" s="8">
        <v>200000</v>
      </c>
      <c r="Q7" s="18"/>
    </row>
    <row r="8" spans="1:18" x14ac:dyDescent="0.3">
      <c r="C8" t="s">
        <v>17</v>
      </c>
      <c r="E8" t="s">
        <v>18</v>
      </c>
      <c r="N8" s="17"/>
      <c r="O8" s="8" t="s">
        <v>33</v>
      </c>
      <c r="P8" s="8">
        <v>100000</v>
      </c>
      <c r="Q8" s="18"/>
      <c r="R8" s="11" t="s">
        <v>34</v>
      </c>
    </row>
    <row r="9" spans="1:18" x14ac:dyDescent="0.3">
      <c r="B9" t="s">
        <v>3</v>
      </c>
      <c r="C9" s="2"/>
      <c r="D9" s="1"/>
      <c r="E9" s="2"/>
      <c r="N9" s="17"/>
      <c r="O9" s="8" t="s">
        <v>35</v>
      </c>
      <c r="P9" s="6">
        <v>0</v>
      </c>
      <c r="Q9" s="19">
        <f>SUM(P7:P9)</f>
        <v>300000</v>
      </c>
      <c r="R9" s="11" t="s">
        <v>76</v>
      </c>
    </row>
    <row r="10" spans="1:18" x14ac:dyDescent="0.3">
      <c r="B10" t="s">
        <v>19</v>
      </c>
      <c r="C10" s="3"/>
      <c r="D10" s="1"/>
      <c r="N10" s="17"/>
      <c r="O10" s="8"/>
      <c r="P10" s="8"/>
      <c r="Q10" s="18"/>
      <c r="R10" s="11" t="s">
        <v>77</v>
      </c>
    </row>
    <row r="11" spans="1:18" x14ac:dyDescent="0.3">
      <c r="B11" t="s">
        <v>4</v>
      </c>
      <c r="C11" s="5">
        <v>15000</v>
      </c>
      <c r="D11" s="1"/>
      <c r="N11" s="17" t="s">
        <v>36</v>
      </c>
      <c r="O11" s="8"/>
      <c r="Q11" s="20">
        <f>+C30</f>
        <v>182000</v>
      </c>
    </row>
    <row r="12" spans="1:18" x14ac:dyDescent="0.3">
      <c r="B12" t="s">
        <v>5</v>
      </c>
      <c r="C12" s="5">
        <v>30000</v>
      </c>
      <c r="D12" s="1"/>
      <c r="E12" t="s">
        <v>21</v>
      </c>
      <c r="N12" s="17"/>
      <c r="O12" s="8"/>
      <c r="P12" s="8"/>
      <c r="Q12" s="18"/>
    </row>
    <row r="13" spans="1:18" x14ac:dyDescent="0.3">
      <c r="B13" t="s">
        <v>6</v>
      </c>
      <c r="C13" s="5">
        <v>50000</v>
      </c>
      <c r="D13" s="1"/>
      <c r="E13" t="s">
        <v>38</v>
      </c>
      <c r="N13" s="17"/>
      <c r="O13" s="8"/>
      <c r="P13" s="8"/>
      <c r="Q13" s="19">
        <f>+Q9-Q11</f>
        <v>118000</v>
      </c>
    </row>
    <row r="14" spans="1:18" x14ac:dyDescent="0.3">
      <c r="B14" t="s">
        <v>7</v>
      </c>
      <c r="C14" s="6">
        <v>2000</v>
      </c>
      <c r="D14" s="1"/>
      <c r="N14" s="17" t="s">
        <v>37</v>
      </c>
      <c r="O14" s="8"/>
      <c r="P14" s="8"/>
      <c r="Q14" s="18"/>
    </row>
    <row r="15" spans="1:18" x14ac:dyDescent="0.3">
      <c r="C15" s="5">
        <f>SUM(C11:C14)</f>
        <v>97000</v>
      </c>
      <c r="D15" s="1"/>
      <c r="N15" s="17"/>
      <c r="O15" t="s">
        <v>5</v>
      </c>
      <c r="P15" s="8">
        <v>-4000</v>
      </c>
      <c r="Q15" s="19">
        <v>4000</v>
      </c>
    </row>
    <row r="16" spans="1:18" x14ac:dyDescent="0.3">
      <c r="C16" s="5"/>
      <c r="D16" s="1"/>
      <c r="N16" s="17"/>
      <c r="O16" t="s">
        <v>6</v>
      </c>
      <c r="P16" s="8">
        <v>-3000</v>
      </c>
      <c r="Q16" s="19">
        <v>3000</v>
      </c>
    </row>
    <row r="17" spans="2:18" x14ac:dyDescent="0.3">
      <c r="B17" t="s">
        <v>23</v>
      </c>
      <c r="C17" s="5">
        <v>350000</v>
      </c>
      <c r="D17" s="1"/>
      <c r="E17" t="s">
        <v>25</v>
      </c>
      <c r="N17" s="17"/>
      <c r="O17" t="s">
        <v>23</v>
      </c>
      <c r="P17" s="8">
        <v>-50000</v>
      </c>
      <c r="Q17" s="19">
        <v>50000</v>
      </c>
    </row>
    <row r="18" spans="2:18" ht="15" thickBot="1" x14ac:dyDescent="0.35">
      <c r="C18" s="7">
        <f>SUM(C15:C17)</f>
        <v>447000</v>
      </c>
      <c r="D18" s="1"/>
      <c r="N18" s="17"/>
      <c r="O18" s="8" t="s">
        <v>41</v>
      </c>
      <c r="P18" s="8">
        <f>-Q18</f>
        <v>64249.889015054301</v>
      </c>
      <c r="Q18" s="19">
        <f>PV(8%/12,36,2000,1,1)</f>
        <v>-64249.889015054301</v>
      </c>
      <c r="R18" t="s">
        <v>39</v>
      </c>
    </row>
    <row r="19" spans="2:18" ht="15" thickTop="1" x14ac:dyDescent="0.3">
      <c r="B19" t="s">
        <v>8</v>
      </c>
      <c r="C19" s="5"/>
      <c r="D19" s="1"/>
      <c r="N19" s="17"/>
      <c r="O19" s="8" t="s">
        <v>40</v>
      </c>
      <c r="P19" s="8">
        <v>20000</v>
      </c>
      <c r="Q19" s="21">
        <v>20000</v>
      </c>
    </row>
    <row r="20" spans="2:18" x14ac:dyDescent="0.3">
      <c r="B20" t="s">
        <v>19</v>
      </c>
      <c r="C20" s="5"/>
      <c r="D20" s="1"/>
      <c r="N20" s="17"/>
      <c r="O20" s="25" t="s">
        <v>55</v>
      </c>
      <c r="P20" s="8"/>
      <c r="Q20" s="19"/>
    </row>
    <row r="21" spans="2:18" ht="15" thickBot="1" x14ac:dyDescent="0.35">
      <c r="B21" t="s">
        <v>9</v>
      </c>
      <c r="C21" s="8">
        <v>25000</v>
      </c>
      <c r="D21" s="1"/>
      <c r="N21" s="22" t="s">
        <v>43</v>
      </c>
      <c r="O21" s="23"/>
      <c r="P21" s="23"/>
      <c r="Q21" s="24">
        <f>SUM(Q13:Q19)</f>
        <v>130750.1109849457</v>
      </c>
    </row>
    <row r="22" spans="2:18" x14ac:dyDescent="0.3">
      <c r="B22" t="s">
        <v>24</v>
      </c>
      <c r="C22" s="6">
        <v>60000</v>
      </c>
      <c r="D22" s="1"/>
      <c r="O22" s="5"/>
      <c r="P22" s="5"/>
      <c r="Q22" s="12"/>
    </row>
    <row r="23" spans="2:18" x14ac:dyDescent="0.3">
      <c r="C23" s="5">
        <f>SUM(C21:C22)</f>
        <v>85000</v>
      </c>
      <c r="D23" s="1"/>
      <c r="O23" s="5"/>
      <c r="P23" s="5"/>
      <c r="Q23" s="12"/>
    </row>
    <row r="24" spans="2:18" x14ac:dyDescent="0.3">
      <c r="C24" s="5"/>
      <c r="D24" s="1"/>
      <c r="O24" s="5"/>
      <c r="P24" s="5"/>
      <c r="Q24" s="12"/>
    </row>
    <row r="25" spans="2:18" x14ac:dyDescent="0.3">
      <c r="B25" t="s">
        <v>10</v>
      </c>
      <c r="C25" s="5">
        <v>180000</v>
      </c>
      <c r="D25" s="1"/>
      <c r="O25" s="5"/>
      <c r="P25" s="5"/>
      <c r="Q25" s="12"/>
    </row>
    <row r="26" spans="2:18" x14ac:dyDescent="0.3">
      <c r="C26" s="9">
        <f>SUM(C23:C25)</f>
        <v>265000</v>
      </c>
      <c r="D26" s="1"/>
      <c r="O26" s="5"/>
      <c r="P26" s="5"/>
      <c r="Q26" s="12"/>
    </row>
    <row r="27" spans="2:18" x14ac:dyDescent="0.3">
      <c r="B27" t="s">
        <v>11</v>
      </c>
      <c r="C27" s="5"/>
      <c r="D27" s="1"/>
      <c r="O27" s="5"/>
      <c r="P27" s="5"/>
    </row>
    <row r="28" spans="2:18" x14ac:dyDescent="0.3">
      <c r="B28" t="s">
        <v>12</v>
      </c>
      <c r="C28" s="5">
        <v>40000</v>
      </c>
      <c r="D28" s="1"/>
      <c r="O28" s="5"/>
      <c r="P28" s="5"/>
    </row>
    <row r="29" spans="2:18" x14ac:dyDescent="0.3">
      <c r="B29" t="s">
        <v>20</v>
      </c>
      <c r="C29" s="6">
        <f>+C30-C28</f>
        <v>142000</v>
      </c>
      <c r="D29" s="1"/>
    </row>
    <row r="30" spans="2:18" x14ac:dyDescent="0.3">
      <c r="C30" s="9">
        <f>+C31-C26</f>
        <v>182000</v>
      </c>
      <c r="D30" s="1"/>
    </row>
    <row r="31" spans="2:18" ht="15" thickBot="1" x14ac:dyDescent="0.35">
      <c r="C31" s="7">
        <f>+C18</f>
        <v>447000</v>
      </c>
      <c r="D31" s="1"/>
    </row>
    <row r="32" spans="2:18" ht="15" thickTop="1" x14ac:dyDescent="0.3">
      <c r="C32" s="4"/>
      <c r="D32" s="1"/>
    </row>
    <row r="33" spans="1:1" x14ac:dyDescent="0.3">
      <c r="A33" t="s">
        <v>73</v>
      </c>
    </row>
    <row r="34" spans="1:1" x14ac:dyDescent="0.3">
      <c r="A34" t="s">
        <v>74</v>
      </c>
    </row>
    <row r="35" spans="1:1" x14ac:dyDescent="0.3">
      <c r="A3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EBB7-610F-4721-B9A8-6E2C8126FAC1}">
  <dimension ref="A2:E46"/>
  <sheetViews>
    <sheetView topLeftCell="A15" workbookViewId="0">
      <selection activeCell="J32" sqref="J32"/>
    </sheetView>
  </sheetViews>
  <sheetFormatPr baseColWidth="10" defaultRowHeight="14.4" x14ac:dyDescent="0.3"/>
  <cols>
    <col min="2" max="2" width="37.21875" bestFit="1" customWidth="1"/>
    <col min="3" max="3" width="11.88671875" bestFit="1" customWidth="1"/>
    <col min="5" max="5" width="11.77734375" bestFit="1" customWidth="1"/>
  </cols>
  <sheetData>
    <row r="2" spans="1:5" x14ac:dyDescent="0.3">
      <c r="A2" t="s">
        <v>44</v>
      </c>
    </row>
    <row r="3" spans="1:5" x14ac:dyDescent="0.3">
      <c r="A3" s="11" t="s">
        <v>47</v>
      </c>
    </row>
    <row r="6" spans="1:5" x14ac:dyDescent="0.3">
      <c r="C6" t="s">
        <v>27</v>
      </c>
      <c r="E6" t="s">
        <v>45</v>
      </c>
    </row>
    <row r="7" spans="1:5" x14ac:dyDescent="0.3">
      <c r="B7" t="s">
        <v>3</v>
      </c>
      <c r="E7" s="2"/>
    </row>
    <row r="8" spans="1:5" x14ac:dyDescent="0.3">
      <c r="B8" t="s">
        <v>19</v>
      </c>
      <c r="E8" s="3"/>
    </row>
    <row r="9" spans="1:5" x14ac:dyDescent="0.3">
      <c r="B9" t="s">
        <v>4</v>
      </c>
      <c r="C9" s="5">
        <v>100000</v>
      </c>
      <c r="E9" s="5">
        <f>E13-SUM(E10:E12)</f>
        <v>173000</v>
      </c>
    </row>
    <row r="10" spans="1:5" x14ac:dyDescent="0.3">
      <c r="B10" t="s">
        <v>5</v>
      </c>
      <c r="C10" s="5">
        <v>340000</v>
      </c>
      <c r="E10" s="5">
        <v>29000</v>
      </c>
    </row>
    <row r="11" spans="1:5" x14ac:dyDescent="0.3">
      <c r="B11" t="s">
        <v>6</v>
      </c>
      <c r="C11" s="5">
        <v>400000</v>
      </c>
      <c r="E11" s="5">
        <v>48000</v>
      </c>
    </row>
    <row r="12" spans="1:5" x14ac:dyDescent="0.3">
      <c r="B12" t="s">
        <v>7</v>
      </c>
      <c r="C12" s="6">
        <v>15000</v>
      </c>
      <c r="E12" s="6">
        <v>2000</v>
      </c>
    </row>
    <row r="13" spans="1:5" x14ac:dyDescent="0.3">
      <c r="C13" s="5">
        <f>SUM(C9:C12)</f>
        <v>855000</v>
      </c>
      <c r="E13" s="5">
        <f>E17-E15</f>
        <v>252000</v>
      </c>
    </row>
    <row r="14" spans="1:5" x14ac:dyDescent="0.3">
      <c r="C14" s="5"/>
      <c r="E14" s="5"/>
    </row>
    <row r="15" spans="1:5" x14ac:dyDescent="0.3">
      <c r="B15" t="s">
        <v>23</v>
      </c>
      <c r="C15" s="5">
        <v>2000000</v>
      </c>
      <c r="E15" s="5">
        <v>360000</v>
      </c>
    </row>
    <row r="16" spans="1:5" x14ac:dyDescent="0.3">
      <c r="B16" t="s">
        <v>58</v>
      </c>
      <c r="C16" s="5">
        <v>300000</v>
      </c>
      <c r="E16" s="5"/>
    </row>
    <row r="17" spans="2:5" ht="15" thickBot="1" x14ac:dyDescent="0.35">
      <c r="C17" s="7">
        <f>SUM(C13:C16)</f>
        <v>3155000</v>
      </c>
      <c r="E17" s="7">
        <f>E31</f>
        <v>612000</v>
      </c>
    </row>
    <row r="18" spans="2:5" ht="15" thickTop="1" x14ac:dyDescent="0.3">
      <c r="B18" t="s">
        <v>8</v>
      </c>
      <c r="C18" s="5"/>
      <c r="E18" s="5"/>
    </row>
    <row r="19" spans="2:5" x14ac:dyDescent="0.3">
      <c r="B19" t="s">
        <v>19</v>
      </c>
      <c r="C19" s="5"/>
      <c r="E19" s="5"/>
    </row>
    <row r="20" spans="2:5" x14ac:dyDescent="0.3">
      <c r="B20" t="s">
        <v>9</v>
      </c>
      <c r="C20" s="8">
        <v>380000</v>
      </c>
      <c r="E20" s="8">
        <v>26000</v>
      </c>
    </row>
    <row r="21" spans="2:5" x14ac:dyDescent="0.3">
      <c r="B21" t="s">
        <v>24</v>
      </c>
      <c r="C21" s="6">
        <v>250000</v>
      </c>
      <c r="E21" s="6">
        <v>60000</v>
      </c>
    </row>
    <row r="22" spans="2:5" x14ac:dyDescent="0.3">
      <c r="C22" s="5">
        <f>SUM(C20:C21)</f>
        <v>630000</v>
      </c>
      <c r="E22" s="5">
        <f>SUM(E20:E21)</f>
        <v>86000</v>
      </c>
    </row>
    <row r="23" spans="2:5" x14ac:dyDescent="0.3">
      <c r="C23" s="5"/>
      <c r="E23" s="5"/>
    </row>
    <row r="24" spans="2:5" x14ac:dyDescent="0.3">
      <c r="B24" t="s">
        <v>10</v>
      </c>
      <c r="C24" s="5">
        <v>1000000</v>
      </c>
      <c r="E24" s="5">
        <v>120000</v>
      </c>
    </row>
    <row r="25" spans="2:5" x14ac:dyDescent="0.3">
      <c r="C25" s="9">
        <f>SUM(C22:C24)</f>
        <v>1630000</v>
      </c>
      <c r="E25" s="9">
        <f>SUM(E22:E24)</f>
        <v>206000</v>
      </c>
    </row>
    <row r="26" spans="2:5" x14ac:dyDescent="0.3">
      <c r="B26" t="s">
        <v>11</v>
      </c>
      <c r="C26" s="5"/>
      <c r="E26" s="5"/>
    </row>
    <row r="27" spans="2:5" x14ac:dyDescent="0.3">
      <c r="B27" t="s">
        <v>12</v>
      </c>
      <c r="C27" s="5">
        <v>300000</v>
      </c>
      <c r="E27" s="5">
        <v>40000</v>
      </c>
    </row>
    <row r="28" spans="2:5" x14ac:dyDescent="0.3">
      <c r="B28" t="s">
        <v>46</v>
      </c>
      <c r="C28" s="5">
        <v>100000</v>
      </c>
      <c r="E28" s="5"/>
    </row>
    <row r="29" spans="2:5" x14ac:dyDescent="0.3">
      <c r="B29" t="s">
        <v>20</v>
      </c>
      <c r="C29" s="6">
        <f>+C30-C27-C28</f>
        <v>1125000</v>
      </c>
      <c r="E29" s="6">
        <f>+'Énoncé - acq'!C31+E41</f>
        <v>366000</v>
      </c>
    </row>
    <row r="30" spans="2:5" x14ac:dyDescent="0.3">
      <c r="C30" s="9">
        <f>+C31-C25</f>
        <v>1525000</v>
      </c>
      <c r="E30" s="9">
        <f>SUM(E27:E29)</f>
        <v>406000</v>
      </c>
    </row>
    <row r="31" spans="2:5" ht="15" thickBot="1" x14ac:dyDescent="0.35">
      <c r="C31" s="7">
        <f>+C17</f>
        <v>3155000</v>
      </c>
      <c r="E31" s="7">
        <f>+E30+E25</f>
        <v>612000</v>
      </c>
    </row>
    <row r="32" spans="2:5" ht="15" thickTop="1" x14ac:dyDescent="0.3"/>
    <row r="34" spans="1:5" x14ac:dyDescent="0.3">
      <c r="B34" t="s">
        <v>48</v>
      </c>
      <c r="C34" s="5">
        <v>4000000</v>
      </c>
      <c r="D34" s="5"/>
      <c r="E34" s="5">
        <v>800000</v>
      </c>
    </row>
    <row r="35" spans="1:5" x14ac:dyDescent="0.3">
      <c r="B35" t="s">
        <v>49</v>
      </c>
      <c r="C35" s="6">
        <v>2100000</v>
      </c>
      <c r="D35" s="5"/>
      <c r="E35" s="6">
        <v>300000</v>
      </c>
    </row>
    <row r="36" spans="1:5" x14ac:dyDescent="0.3">
      <c r="B36" t="s">
        <v>50</v>
      </c>
      <c r="C36" s="5">
        <f>C34-C35</f>
        <v>1900000</v>
      </c>
      <c r="D36" s="5"/>
      <c r="E36" s="5">
        <f>E34-E35</f>
        <v>500000</v>
      </c>
    </row>
    <row r="37" spans="1:5" x14ac:dyDescent="0.3">
      <c r="C37" s="5"/>
      <c r="D37" s="5"/>
      <c r="E37" s="5"/>
    </row>
    <row r="38" spans="1:5" x14ac:dyDescent="0.3">
      <c r="B38" t="s">
        <v>51</v>
      </c>
      <c r="C38" s="6">
        <v>1200000</v>
      </c>
      <c r="D38" s="5"/>
      <c r="E38" s="6">
        <v>220000</v>
      </c>
    </row>
    <row r="39" spans="1:5" x14ac:dyDescent="0.3">
      <c r="B39" t="s">
        <v>52</v>
      </c>
      <c r="C39" s="5">
        <f>C36-C38</f>
        <v>700000</v>
      </c>
      <c r="D39" s="5"/>
      <c r="E39" s="5">
        <f>E36-E38</f>
        <v>280000</v>
      </c>
    </row>
    <row r="40" spans="1:5" x14ac:dyDescent="0.3">
      <c r="B40" t="s">
        <v>53</v>
      </c>
      <c r="C40" s="6">
        <f>+C39*0.2</f>
        <v>140000</v>
      </c>
      <c r="D40" s="5"/>
      <c r="E40" s="6">
        <f>0.2*E39</f>
        <v>56000</v>
      </c>
    </row>
    <row r="41" spans="1:5" x14ac:dyDescent="0.3">
      <c r="B41" t="s">
        <v>54</v>
      </c>
      <c r="C41" s="5">
        <f>C39-C40</f>
        <v>560000</v>
      </c>
      <c r="D41" s="5"/>
      <c r="E41" s="5">
        <f>E39-E40</f>
        <v>224000</v>
      </c>
    </row>
    <row r="44" spans="1:5" x14ac:dyDescent="0.3">
      <c r="B44" t="s">
        <v>56</v>
      </c>
      <c r="C44" s="5"/>
      <c r="D44" s="5"/>
      <c r="E44" s="5">
        <f>+E41+20000+110000</f>
        <v>354000</v>
      </c>
    </row>
    <row r="46" spans="1:5" x14ac:dyDescent="0.3">
      <c r="A46" s="29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823-5C57-4243-8BBA-6B7CE3702AD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92C-7BB6-4397-8C59-93D76DD5513C}">
  <dimension ref="B3:K45"/>
  <sheetViews>
    <sheetView topLeftCell="A16" workbookViewId="0">
      <selection activeCell="F45" sqref="F45"/>
    </sheetView>
  </sheetViews>
  <sheetFormatPr baseColWidth="10" defaultRowHeight="14.4" x14ac:dyDescent="0.3"/>
  <cols>
    <col min="2" max="2" width="37.21875" bestFit="1" customWidth="1"/>
    <col min="3" max="3" width="11.88671875" bestFit="1" customWidth="1"/>
    <col min="7" max="7" width="11.6640625" bestFit="1" customWidth="1"/>
    <col min="11" max="11" width="11.88671875" bestFit="1" customWidth="1"/>
  </cols>
  <sheetData>
    <row r="3" spans="2:11" x14ac:dyDescent="0.3">
      <c r="C3" s="13" t="s">
        <v>27</v>
      </c>
      <c r="D3" s="13"/>
      <c r="E3" s="13" t="s">
        <v>45</v>
      </c>
      <c r="F3" s="13"/>
      <c r="G3" s="13" t="s">
        <v>60</v>
      </c>
      <c r="H3" s="13"/>
      <c r="I3" s="13"/>
      <c r="J3" s="13"/>
      <c r="K3" s="13" t="s">
        <v>64</v>
      </c>
    </row>
    <row r="4" spans="2:11" x14ac:dyDescent="0.3">
      <c r="B4" t="s">
        <v>3</v>
      </c>
      <c r="E4" s="2"/>
    </row>
    <row r="5" spans="2:11" x14ac:dyDescent="0.3">
      <c r="B5" t="s">
        <v>19</v>
      </c>
      <c r="E5" s="3"/>
    </row>
    <row r="6" spans="2:11" x14ac:dyDescent="0.3">
      <c r="B6" t="s">
        <v>4</v>
      </c>
      <c r="C6" s="5">
        <v>100000</v>
      </c>
      <c r="E6" s="5">
        <f>E10-SUM(E7:E9)</f>
        <v>296000</v>
      </c>
      <c r="G6" s="5"/>
      <c r="H6" s="5"/>
      <c r="K6" s="5">
        <f>SUM(C6:H6)</f>
        <v>396000</v>
      </c>
    </row>
    <row r="7" spans="2:11" x14ac:dyDescent="0.3">
      <c r="B7" t="s">
        <v>5</v>
      </c>
      <c r="C7" s="5">
        <v>340000</v>
      </c>
      <c r="E7" s="5">
        <v>29000</v>
      </c>
      <c r="G7" s="5">
        <f>+Solution!P15</f>
        <v>-4000</v>
      </c>
      <c r="H7" s="5">
        <f>-G7</f>
        <v>4000</v>
      </c>
      <c r="K7" s="5">
        <f t="shared" ref="K7:K41" si="0">SUM(C7:H7)</f>
        <v>369000</v>
      </c>
    </row>
    <row r="8" spans="2:11" x14ac:dyDescent="0.3">
      <c r="B8" t="s">
        <v>6</v>
      </c>
      <c r="C8" s="5">
        <v>400000</v>
      </c>
      <c r="E8" s="5">
        <v>48000</v>
      </c>
      <c r="G8" s="5">
        <f>+Solution!P16</f>
        <v>-3000</v>
      </c>
      <c r="H8" s="5">
        <f>-G8</f>
        <v>3000</v>
      </c>
      <c r="K8" s="5">
        <f t="shared" si="0"/>
        <v>448000</v>
      </c>
    </row>
    <row r="9" spans="2:11" x14ac:dyDescent="0.3">
      <c r="B9" t="s">
        <v>7</v>
      </c>
      <c r="C9" s="6">
        <v>15000</v>
      </c>
      <c r="E9" s="6">
        <v>2000</v>
      </c>
      <c r="G9" s="5"/>
      <c r="H9" s="5"/>
      <c r="K9" s="6">
        <f t="shared" si="0"/>
        <v>17000</v>
      </c>
    </row>
    <row r="10" spans="2:11" x14ac:dyDescent="0.3">
      <c r="C10" s="5">
        <f>SUM(C6:C9)</f>
        <v>855000</v>
      </c>
      <c r="E10" s="5">
        <f>E16-E12</f>
        <v>375000</v>
      </c>
      <c r="G10" s="5"/>
      <c r="H10" s="5"/>
      <c r="K10" s="5">
        <f>SUM(K6:K9)</f>
        <v>1230000</v>
      </c>
    </row>
    <row r="11" spans="2:11" x14ac:dyDescent="0.3">
      <c r="C11" s="5"/>
      <c r="E11" s="5"/>
      <c r="G11" s="5"/>
      <c r="H11" s="5"/>
      <c r="K11" s="5"/>
    </row>
    <row r="12" spans="2:11" x14ac:dyDescent="0.3">
      <c r="B12" t="s">
        <v>23</v>
      </c>
      <c r="C12" s="5">
        <v>2000000</v>
      </c>
      <c r="E12" s="5">
        <v>360000</v>
      </c>
      <c r="G12" s="5">
        <f>+Solution!P17</f>
        <v>-50000</v>
      </c>
      <c r="H12" s="5">
        <f>-G12*0.3</f>
        <v>15000</v>
      </c>
      <c r="K12" s="5">
        <f t="shared" si="0"/>
        <v>2325000</v>
      </c>
    </row>
    <row r="13" spans="2:11" x14ac:dyDescent="0.3">
      <c r="B13" t="s">
        <v>58</v>
      </c>
      <c r="C13" s="5">
        <v>300000</v>
      </c>
      <c r="E13" s="5"/>
      <c r="G13" s="5">
        <f>-C13</f>
        <v>-300000</v>
      </c>
      <c r="H13" s="5"/>
      <c r="K13" s="5">
        <f t="shared" si="0"/>
        <v>0</v>
      </c>
    </row>
    <row r="14" spans="2:11" x14ac:dyDescent="0.3">
      <c r="B14" t="s">
        <v>61</v>
      </c>
      <c r="C14" s="5"/>
      <c r="E14" s="5"/>
      <c r="G14" s="5">
        <f>+Solution!P18</f>
        <v>64249.889015054301</v>
      </c>
      <c r="H14" s="12">
        <f>-(G14+I14)</f>
        <v>-19733.141955181243</v>
      </c>
      <c r="I14" s="26">
        <f>PV(8%/12,24,2000,1,1)</f>
        <v>-44516.747059873058</v>
      </c>
      <c r="K14" s="5">
        <f t="shared" si="0"/>
        <v>44516.747059873058</v>
      </c>
    </row>
    <row r="15" spans="2:11" x14ac:dyDescent="0.3">
      <c r="B15" t="s">
        <v>43</v>
      </c>
      <c r="C15" s="5"/>
      <c r="E15" s="5"/>
      <c r="G15" s="5">
        <f>+Solution!Q21</f>
        <v>130750.1109849457</v>
      </c>
      <c r="H15" s="5"/>
      <c r="K15" s="5">
        <f t="shared" si="0"/>
        <v>130750.1109849457</v>
      </c>
    </row>
    <row r="16" spans="2:11" ht="15" thickBot="1" x14ac:dyDescent="0.35">
      <c r="C16" s="7">
        <f>SUM(C10:C13)</f>
        <v>3155000</v>
      </c>
      <c r="E16" s="7">
        <f>E32</f>
        <v>735000</v>
      </c>
      <c r="G16" s="27">
        <f>SUM(G6:G15)</f>
        <v>-161999.99999999997</v>
      </c>
      <c r="H16" s="27">
        <f>SUM(H6:H15)</f>
        <v>2266.8580448187568</v>
      </c>
      <c r="K16" s="7">
        <f>SUM(K10:K15)</f>
        <v>3730266.8580448185</v>
      </c>
    </row>
    <row r="17" spans="2:11" ht="15" thickTop="1" x14ac:dyDescent="0.3">
      <c r="B17" t="s">
        <v>8</v>
      </c>
      <c r="C17" s="5"/>
      <c r="E17" s="5"/>
      <c r="G17" s="5"/>
      <c r="H17" s="5"/>
      <c r="K17" s="12">
        <f t="shared" si="0"/>
        <v>0</v>
      </c>
    </row>
    <row r="18" spans="2:11" x14ac:dyDescent="0.3">
      <c r="B18" t="s">
        <v>19</v>
      </c>
      <c r="C18" s="5"/>
      <c r="E18" s="5"/>
      <c r="G18" s="5"/>
      <c r="H18" s="5"/>
      <c r="K18" s="12">
        <f t="shared" si="0"/>
        <v>0</v>
      </c>
    </row>
    <row r="19" spans="2:11" x14ac:dyDescent="0.3">
      <c r="B19" t="s">
        <v>9</v>
      </c>
      <c r="C19" s="8">
        <v>380000</v>
      </c>
      <c r="E19" s="8">
        <v>26000</v>
      </c>
      <c r="G19" s="5"/>
      <c r="H19" s="5"/>
      <c r="K19" s="8">
        <f t="shared" si="0"/>
        <v>406000</v>
      </c>
    </row>
    <row r="20" spans="2:11" x14ac:dyDescent="0.3">
      <c r="B20" t="s">
        <v>62</v>
      </c>
      <c r="C20" s="8"/>
      <c r="E20" s="8"/>
      <c r="G20" s="5">
        <f>+Solution!P19</f>
        <v>20000</v>
      </c>
      <c r="H20" s="5"/>
      <c r="K20" s="8">
        <f t="shared" si="0"/>
        <v>20000</v>
      </c>
    </row>
    <row r="21" spans="2:11" x14ac:dyDescent="0.3">
      <c r="B21" t="s">
        <v>24</v>
      </c>
      <c r="C21" s="6">
        <v>250000</v>
      </c>
      <c r="E21" s="6">
        <v>60000</v>
      </c>
      <c r="G21" s="5"/>
      <c r="H21" s="5"/>
      <c r="K21" s="6">
        <f t="shared" si="0"/>
        <v>310000</v>
      </c>
    </row>
    <row r="22" spans="2:11" x14ac:dyDescent="0.3">
      <c r="C22" s="5">
        <f>SUM(C19:C21)</f>
        <v>630000</v>
      </c>
      <c r="E22" s="5">
        <f>SUM(E19:E21)</f>
        <v>86000</v>
      </c>
      <c r="G22" s="5"/>
      <c r="H22" s="5"/>
      <c r="K22" s="5">
        <f>SUM(K19:K21)</f>
        <v>736000</v>
      </c>
    </row>
    <row r="23" spans="2:11" x14ac:dyDescent="0.3">
      <c r="C23" s="5"/>
      <c r="E23" s="5"/>
      <c r="G23" s="5"/>
      <c r="H23" s="5"/>
      <c r="K23" s="5"/>
    </row>
    <row r="24" spans="2:11" x14ac:dyDescent="0.3">
      <c r="B24" t="s">
        <v>10</v>
      </c>
      <c r="C24" s="5">
        <v>1000000</v>
      </c>
      <c r="E24" s="5">
        <v>120000</v>
      </c>
      <c r="G24" s="5"/>
      <c r="H24" s="5"/>
      <c r="K24" s="5">
        <f t="shared" si="0"/>
        <v>1120000</v>
      </c>
    </row>
    <row r="25" spans="2:11" x14ac:dyDescent="0.3">
      <c r="B25" t="s">
        <v>46</v>
      </c>
      <c r="C25" s="5"/>
      <c r="E25" s="5"/>
      <c r="G25" s="5">
        <v>100000</v>
      </c>
      <c r="H25" s="5"/>
      <c r="I25" s="26" t="s">
        <v>63</v>
      </c>
      <c r="K25" s="5">
        <f t="shared" si="0"/>
        <v>100000</v>
      </c>
    </row>
    <row r="26" spans="2:11" x14ac:dyDescent="0.3">
      <c r="C26" s="9">
        <f>SUM(C22:C24)</f>
        <v>1630000</v>
      </c>
      <c r="E26" s="9">
        <f>SUM(E22:E24)</f>
        <v>206000</v>
      </c>
      <c r="G26" s="5"/>
      <c r="H26" s="5"/>
      <c r="K26" s="9">
        <f>SUM(K22:K25)</f>
        <v>1956000</v>
      </c>
    </row>
    <row r="27" spans="2:11" x14ac:dyDescent="0.3">
      <c r="B27" t="s">
        <v>11</v>
      </c>
      <c r="C27" s="5"/>
      <c r="E27" s="5"/>
      <c r="G27" s="5"/>
      <c r="H27" s="5"/>
      <c r="K27" s="5"/>
    </row>
    <row r="28" spans="2:11" x14ac:dyDescent="0.3">
      <c r="B28" t="s">
        <v>12</v>
      </c>
      <c r="C28" s="5">
        <v>300000</v>
      </c>
      <c r="E28" s="5">
        <v>40000</v>
      </c>
      <c r="G28" s="5">
        <f>-Solution!C28</f>
        <v>-40000</v>
      </c>
      <c r="H28" s="5"/>
      <c r="K28" s="5">
        <f t="shared" si="0"/>
        <v>300000</v>
      </c>
    </row>
    <row r="29" spans="2:11" x14ac:dyDescent="0.3">
      <c r="B29" t="s">
        <v>46</v>
      </c>
      <c r="C29" s="5">
        <v>100000</v>
      </c>
      <c r="E29" s="5"/>
      <c r="G29" s="5">
        <v>-100000</v>
      </c>
      <c r="H29" s="5"/>
      <c r="I29" s="26" t="s">
        <v>63</v>
      </c>
      <c r="K29" s="5">
        <f t="shared" si="0"/>
        <v>0</v>
      </c>
    </row>
    <row r="30" spans="2:11" x14ac:dyDescent="0.3">
      <c r="B30" t="s">
        <v>20</v>
      </c>
      <c r="C30" s="6">
        <f>+C31-C28-C29</f>
        <v>1125000</v>
      </c>
      <c r="E30" s="6">
        <f>+'Énoncé - acq'!C28+E42</f>
        <v>489000</v>
      </c>
      <c r="G30" s="5">
        <f>-Solution!C29</f>
        <v>-142000</v>
      </c>
      <c r="H30" s="5">
        <f>+H7+H8+H12+H14</f>
        <v>2266.8580448187568</v>
      </c>
      <c r="K30" s="6">
        <f t="shared" si="0"/>
        <v>1474266.8580448187</v>
      </c>
    </row>
    <row r="31" spans="2:11" x14ac:dyDescent="0.3">
      <c r="C31" s="9">
        <f>+C32-C26</f>
        <v>1525000</v>
      </c>
      <c r="E31" s="9">
        <f>SUM(E28:E30)</f>
        <v>529000</v>
      </c>
      <c r="G31" s="5"/>
      <c r="H31" s="5"/>
      <c r="K31" s="9">
        <f>SUM(K28:K30)</f>
        <v>1774266.8580448187</v>
      </c>
    </row>
    <row r="32" spans="2:11" ht="15" thickBot="1" x14ac:dyDescent="0.35">
      <c r="C32" s="7">
        <f>+C16</f>
        <v>3155000</v>
      </c>
      <c r="E32" s="7">
        <f>+E31+E26</f>
        <v>735000</v>
      </c>
      <c r="G32" s="27">
        <f>SUM(G18:G31)</f>
        <v>-162000</v>
      </c>
      <c r="H32" s="27">
        <f>SUM(H18:H31)</f>
        <v>2266.8580448187568</v>
      </c>
      <c r="K32" s="7">
        <f>+K31+K26</f>
        <v>3730266.858044819</v>
      </c>
    </row>
    <row r="33" spans="2:11" ht="15" thickTop="1" x14ac:dyDescent="0.3">
      <c r="G33" s="5"/>
      <c r="H33" s="5"/>
      <c r="K33">
        <f t="shared" si="0"/>
        <v>0</v>
      </c>
    </row>
    <row r="34" spans="2:11" x14ac:dyDescent="0.3">
      <c r="G34" s="5"/>
      <c r="H34" s="5"/>
      <c r="K34">
        <f t="shared" si="0"/>
        <v>0</v>
      </c>
    </row>
    <row r="35" spans="2:11" x14ac:dyDescent="0.3">
      <c r="B35" t="s">
        <v>48</v>
      </c>
      <c r="C35" s="5">
        <v>4000000</v>
      </c>
      <c r="D35" s="5"/>
      <c r="E35" s="5">
        <v>800000</v>
      </c>
      <c r="G35" s="5"/>
      <c r="H35" s="5"/>
      <c r="K35" s="5">
        <f t="shared" si="0"/>
        <v>4800000</v>
      </c>
    </row>
    <row r="36" spans="2:11" x14ac:dyDescent="0.3">
      <c r="B36" t="s">
        <v>49</v>
      </c>
      <c r="C36" s="6">
        <v>2100000</v>
      </c>
      <c r="D36" s="5"/>
      <c r="E36" s="6">
        <v>300000</v>
      </c>
      <c r="G36" s="5"/>
      <c r="H36" s="5"/>
      <c r="K36" s="6">
        <f t="shared" si="0"/>
        <v>2400000</v>
      </c>
    </row>
    <row r="37" spans="2:11" x14ac:dyDescent="0.3">
      <c r="B37" t="s">
        <v>50</v>
      </c>
      <c r="C37" s="5">
        <f>C35-C36</f>
        <v>1900000</v>
      </c>
      <c r="D37" s="5"/>
      <c r="E37" s="5">
        <f>E35-E36</f>
        <v>500000</v>
      </c>
      <c r="G37" s="5"/>
      <c r="H37" s="5"/>
      <c r="K37" s="5">
        <f>K35-K36</f>
        <v>2400000</v>
      </c>
    </row>
    <row r="38" spans="2:11" x14ac:dyDescent="0.3">
      <c r="C38" s="5"/>
      <c r="D38" s="5"/>
      <c r="E38" s="5"/>
      <c r="G38" s="5"/>
      <c r="H38" s="5"/>
      <c r="K38" s="5"/>
    </row>
    <row r="39" spans="2:11" x14ac:dyDescent="0.3">
      <c r="B39" t="s">
        <v>51</v>
      </c>
      <c r="C39" s="6">
        <v>1200000</v>
      </c>
      <c r="D39" s="5"/>
      <c r="E39" s="6">
        <v>220000</v>
      </c>
      <c r="G39" s="5"/>
      <c r="H39" s="5"/>
      <c r="K39" s="6">
        <f t="shared" si="0"/>
        <v>1420000</v>
      </c>
    </row>
    <row r="40" spans="2:11" x14ac:dyDescent="0.3">
      <c r="B40" t="s">
        <v>52</v>
      </c>
      <c r="C40" s="5">
        <f>C37-C39</f>
        <v>700000</v>
      </c>
      <c r="D40" s="5"/>
      <c r="E40" s="5">
        <f>E37-E39</f>
        <v>280000</v>
      </c>
      <c r="G40" s="5"/>
      <c r="H40" s="5"/>
      <c r="K40" s="5">
        <f>K37-K39</f>
        <v>980000</v>
      </c>
    </row>
    <row r="41" spans="2:11" x14ac:dyDescent="0.3">
      <c r="B41" t="s">
        <v>53</v>
      </c>
      <c r="C41" s="6">
        <f>+C40*0.2</f>
        <v>140000</v>
      </c>
      <c r="D41" s="5"/>
      <c r="E41" s="6">
        <f>0.2*E40</f>
        <v>56000</v>
      </c>
      <c r="G41" s="5"/>
      <c r="H41" s="5"/>
      <c r="K41" s="6">
        <f t="shared" si="0"/>
        <v>196000</v>
      </c>
    </row>
    <row r="42" spans="2:11" x14ac:dyDescent="0.3">
      <c r="B42" t="s">
        <v>54</v>
      </c>
      <c r="C42" s="5">
        <f>C40-C41</f>
        <v>560000</v>
      </c>
      <c r="D42" s="5"/>
      <c r="E42" s="5">
        <f>E40-E41</f>
        <v>224000</v>
      </c>
      <c r="K42" s="5">
        <f>K40-K41</f>
        <v>784000</v>
      </c>
    </row>
    <row r="45" spans="2:11" x14ac:dyDescent="0.3">
      <c r="B45" t="s">
        <v>56</v>
      </c>
      <c r="C45" s="5"/>
      <c r="D45" s="5"/>
      <c r="E45" s="5">
        <f>+E42+20000+110000</f>
        <v>354000</v>
      </c>
      <c r="K45" s="11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7C7-D027-4F1D-BC2E-2DC93290E721}">
  <dimension ref="A2:E33"/>
  <sheetViews>
    <sheetView workbookViewId="0">
      <selection activeCell="H23" sqref="H23"/>
    </sheetView>
  </sheetViews>
  <sheetFormatPr baseColWidth="10" defaultRowHeight="14.4" x14ac:dyDescent="0.3"/>
  <cols>
    <col min="2" max="2" width="37.21875" bestFit="1" customWidth="1"/>
  </cols>
  <sheetData>
    <row r="2" spans="1:5" x14ac:dyDescent="0.3">
      <c r="A2" t="s">
        <v>66</v>
      </c>
    </row>
    <row r="3" spans="1:5" x14ac:dyDescent="0.3">
      <c r="B3" s="3">
        <v>200000</v>
      </c>
      <c r="C3" t="s">
        <v>13</v>
      </c>
    </row>
    <row r="4" spans="1:5" x14ac:dyDescent="0.3">
      <c r="B4" s="3"/>
    </row>
    <row r="5" spans="1:5" x14ac:dyDescent="0.3">
      <c r="A5" t="s">
        <v>16</v>
      </c>
      <c r="B5" s="3"/>
    </row>
    <row r="7" spans="1:5" x14ac:dyDescent="0.3">
      <c r="C7" t="s">
        <v>17</v>
      </c>
    </row>
    <row r="8" spans="1:5" x14ac:dyDescent="0.3">
      <c r="B8" t="s">
        <v>3</v>
      </c>
      <c r="C8" s="2"/>
      <c r="D8" s="1"/>
    </row>
    <row r="9" spans="1:5" x14ac:dyDescent="0.3">
      <c r="B9" t="s">
        <v>19</v>
      </c>
      <c r="C9" s="3"/>
      <c r="D9" s="1"/>
    </row>
    <row r="10" spans="1:5" x14ac:dyDescent="0.3">
      <c r="B10" t="s">
        <v>4</v>
      </c>
      <c r="C10" s="5">
        <v>15000</v>
      </c>
      <c r="D10" s="1"/>
    </row>
    <row r="11" spans="1:5" x14ac:dyDescent="0.3">
      <c r="B11" t="s">
        <v>5</v>
      </c>
      <c r="C11" s="5">
        <v>30000</v>
      </c>
      <c r="D11" s="1"/>
      <c r="E11" t="s">
        <v>21</v>
      </c>
    </row>
    <row r="12" spans="1:5" x14ac:dyDescent="0.3">
      <c r="B12" t="s">
        <v>6</v>
      </c>
      <c r="C12" s="5">
        <v>50000</v>
      </c>
      <c r="D12" s="1"/>
      <c r="E12" t="s">
        <v>38</v>
      </c>
    </row>
    <row r="13" spans="1:5" x14ac:dyDescent="0.3">
      <c r="B13" t="s">
        <v>7</v>
      </c>
      <c r="C13" s="6">
        <v>2000</v>
      </c>
      <c r="D13" s="1"/>
    </row>
    <row r="14" spans="1:5" x14ac:dyDescent="0.3">
      <c r="C14" s="5">
        <f>SUM(C10:C13)</f>
        <v>97000</v>
      </c>
      <c r="D14" s="1"/>
    </row>
    <row r="15" spans="1:5" x14ac:dyDescent="0.3">
      <c r="C15" s="5"/>
      <c r="D15" s="1"/>
    </row>
    <row r="16" spans="1:5" x14ac:dyDescent="0.3">
      <c r="B16" t="s">
        <v>23</v>
      </c>
      <c r="C16" s="5">
        <v>350000</v>
      </c>
      <c r="D16" s="1"/>
      <c r="E16" t="s">
        <v>25</v>
      </c>
    </row>
    <row r="17" spans="2:4" ht="15" thickBot="1" x14ac:dyDescent="0.35">
      <c r="C17" s="7">
        <f>SUM(C14:C16)</f>
        <v>447000</v>
      </c>
      <c r="D17" s="1"/>
    </row>
    <row r="18" spans="2:4" ht="15" thickTop="1" x14ac:dyDescent="0.3">
      <c r="B18" t="s">
        <v>8</v>
      </c>
      <c r="C18" s="5"/>
      <c r="D18" s="1"/>
    </row>
    <row r="19" spans="2:4" x14ac:dyDescent="0.3">
      <c r="B19" t="s">
        <v>19</v>
      </c>
      <c r="C19" s="5"/>
      <c r="D19" s="1"/>
    </row>
    <row r="20" spans="2:4" x14ac:dyDescent="0.3">
      <c r="B20" t="s">
        <v>9</v>
      </c>
      <c r="C20" s="8">
        <v>25000</v>
      </c>
      <c r="D20" s="1"/>
    </row>
    <row r="21" spans="2:4" x14ac:dyDescent="0.3">
      <c r="B21" t="s">
        <v>24</v>
      </c>
      <c r="C21" s="6">
        <v>60000</v>
      </c>
      <c r="D21" s="1"/>
    </row>
    <row r="22" spans="2:4" x14ac:dyDescent="0.3">
      <c r="C22" s="5">
        <f>SUM(C20:C21)</f>
        <v>85000</v>
      </c>
      <c r="D22" s="1"/>
    </row>
    <row r="23" spans="2:4" x14ac:dyDescent="0.3">
      <c r="C23" s="5"/>
      <c r="D23" s="1"/>
    </row>
    <row r="24" spans="2:4" x14ac:dyDescent="0.3">
      <c r="B24" t="s">
        <v>10</v>
      </c>
      <c r="C24" s="5">
        <v>180000</v>
      </c>
      <c r="D24" s="1"/>
    </row>
    <row r="25" spans="2:4" x14ac:dyDescent="0.3">
      <c r="C25" s="9">
        <f>SUM(C22:C24)</f>
        <v>265000</v>
      </c>
      <c r="D25" s="1"/>
    </row>
    <row r="26" spans="2:4" x14ac:dyDescent="0.3">
      <c r="B26" t="s">
        <v>11</v>
      </c>
      <c r="C26" s="5"/>
      <c r="D26" s="1"/>
    </row>
    <row r="27" spans="2:4" x14ac:dyDescent="0.3">
      <c r="B27" t="s">
        <v>12</v>
      </c>
      <c r="C27" s="5">
        <v>40000</v>
      </c>
      <c r="D27" s="1"/>
    </row>
    <row r="28" spans="2:4" x14ac:dyDescent="0.3">
      <c r="B28" t="s">
        <v>20</v>
      </c>
      <c r="C28" s="6">
        <f>+C29-C27</f>
        <v>142000</v>
      </c>
      <c r="D28" s="1"/>
    </row>
    <row r="29" spans="2:4" x14ac:dyDescent="0.3">
      <c r="C29" s="9">
        <f>+C30-C25</f>
        <v>182000</v>
      </c>
      <c r="D29" s="1"/>
    </row>
    <row r="30" spans="2:4" ht="15" thickBot="1" x14ac:dyDescent="0.35">
      <c r="C30" s="7">
        <f>+C17</f>
        <v>447000</v>
      </c>
      <c r="D30" s="1"/>
    </row>
    <row r="31" spans="2:4" ht="15" thickTop="1" x14ac:dyDescent="0.3"/>
    <row r="33" spans="1:1" x14ac:dyDescent="0.3">
      <c r="A33" s="29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6006-3B67-4E90-88BA-39F183341A1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8E70-437B-41AE-94C2-0A38F3CFD140}">
  <dimension ref="A3:S32"/>
  <sheetViews>
    <sheetView tabSelected="1" topLeftCell="F1" workbookViewId="0">
      <selection activeCell="S25" sqref="S25"/>
    </sheetView>
  </sheetViews>
  <sheetFormatPr baseColWidth="10" defaultRowHeight="14.4" x14ac:dyDescent="0.3"/>
  <cols>
    <col min="2" max="2" width="37.21875" bestFit="1" customWidth="1"/>
    <col min="14" max="14" width="25.77734375" customWidth="1"/>
  </cols>
  <sheetData>
    <row r="3" spans="1:18" x14ac:dyDescent="0.3">
      <c r="A3" t="s">
        <v>66</v>
      </c>
    </row>
    <row r="4" spans="1:18" ht="15" thickBot="1" x14ac:dyDescent="0.35">
      <c r="B4" s="3">
        <v>200000</v>
      </c>
      <c r="C4" t="s">
        <v>13</v>
      </c>
    </row>
    <row r="5" spans="1:18" x14ac:dyDescent="0.3">
      <c r="B5" s="3"/>
      <c r="M5" s="14" t="s">
        <v>42</v>
      </c>
      <c r="N5" s="15"/>
      <c r="O5" s="15"/>
      <c r="P5" s="28">
        <v>1</v>
      </c>
    </row>
    <row r="6" spans="1:18" x14ac:dyDescent="0.3">
      <c r="A6" t="s">
        <v>16</v>
      </c>
      <c r="B6" s="3"/>
      <c r="M6" s="17"/>
      <c r="P6" s="18"/>
    </row>
    <row r="7" spans="1:18" x14ac:dyDescent="0.3">
      <c r="M7" s="17" t="s">
        <v>29</v>
      </c>
      <c r="N7" s="8" t="s">
        <v>32</v>
      </c>
      <c r="O7" s="8">
        <v>200000</v>
      </c>
      <c r="P7" s="19">
        <f>+O7/0.7</f>
        <v>285714.28571428574</v>
      </c>
      <c r="Q7" s="11" t="s">
        <v>70</v>
      </c>
    </row>
    <row r="8" spans="1:18" x14ac:dyDescent="0.3">
      <c r="C8" t="s">
        <v>17</v>
      </c>
      <c r="M8" s="17"/>
      <c r="N8" s="8"/>
      <c r="O8" s="8"/>
      <c r="P8" s="18"/>
    </row>
    <row r="9" spans="1:18" x14ac:dyDescent="0.3">
      <c r="B9" t="s">
        <v>3</v>
      </c>
      <c r="C9" s="2"/>
      <c r="D9" s="1"/>
      <c r="M9" s="17" t="s">
        <v>36</v>
      </c>
      <c r="N9" s="8"/>
      <c r="O9" s="8"/>
      <c r="P9" s="21">
        <f>+C30</f>
        <v>182000</v>
      </c>
    </row>
    <row r="10" spans="1:18" x14ac:dyDescent="0.3">
      <c r="B10" t="s">
        <v>19</v>
      </c>
      <c r="C10" s="3"/>
      <c r="D10" s="1"/>
      <c r="M10" s="17"/>
      <c r="N10" s="8"/>
      <c r="O10" s="8"/>
      <c r="P10" s="18"/>
      <c r="R10" s="12"/>
    </row>
    <row r="11" spans="1:18" x14ac:dyDescent="0.3">
      <c r="B11" t="s">
        <v>4</v>
      </c>
      <c r="C11" s="5">
        <v>15000</v>
      </c>
      <c r="D11" s="1"/>
      <c r="M11" s="17"/>
      <c r="N11" s="8"/>
      <c r="O11" s="8"/>
      <c r="P11" s="19">
        <f>P7-P9</f>
        <v>103714.28571428574</v>
      </c>
    </row>
    <row r="12" spans="1:18" x14ac:dyDescent="0.3">
      <c r="B12" t="s">
        <v>5</v>
      </c>
      <c r="C12" s="5">
        <v>30000</v>
      </c>
      <c r="D12" s="1"/>
      <c r="E12" t="s">
        <v>21</v>
      </c>
      <c r="M12" s="17"/>
      <c r="N12" s="8"/>
      <c r="O12" s="8"/>
      <c r="P12" s="18"/>
    </row>
    <row r="13" spans="1:18" x14ac:dyDescent="0.3">
      <c r="B13" t="s">
        <v>6</v>
      </c>
      <c r="C13" s="5">
        <v>50000</v>
      </c>
      <c r="D13" s="1"/>
      <c r="E13" t="s">
        <v>38</v>
      </c>
      <c r="M13" s="17" t="s">
        <v>37</v>
      </c>
      <c r="N13" s="8"/>
      <c r="O13" s="8"/>
      <c r="P13" s="18"/>
      <c r="Q13" s="11" t="s">
        <v>71</v>
      </c>
    </row>
    <row r="14" spans="1:18" x14ac:dyDescent="0.3">
      <c r="B14" t="s">
        <v>7</v>
      </c>
      <c r="C14" s="6">
        <v>2000</v>
      </c>
      <c r="D14" s="1"/>
      <c r="M14" s="17"/>
      <c r="N14" t="s">
        <v>5</v>
      </c>
      <c r="O14" s="8">
        <v>-4000</v>
      </c>
      <c r="P14" s="19">
        <v>4000</v>
      </c>
      <c r="R14" s="12"/>
    </row>
    <row r="15" spans="1:18" x14ac:dyDescent="0.3">
      <c r="C15" s="5">
        <f>SUM(C11:C14)</f>
        <v>97000</v>
      </c>
      <c r="D15" s="1"/>
      <c r="M15" s="17"/>
      <c r="N15" t="s">
        <v>6</v>
      </c>
      <c r="O15" s="8">
        <v>-3000</v>
      </c>
      <c r="P15" s="19">
        <v>3000</v>
      </c>
    </row>
    <row r="16" spans="1:18" x14ac:dyDescent="0.3">
      <c r="C16" s="5"/>
      <c r="D16" s="1"/>
      <c r="M16" s="17"/>
      <c r="N16" t="s">
        <v>23</v>
      </c>
      <c r="O16" s="8">
        <v>-50000</v>
      </c>
      <c r="P16" s="21">
        <v>50000</v>
      </c>
    </row>
    <row r="17" spans="2:19" x14ac:dyDescent="0.3">
      <c r="B17" t="s">
        <v>23</v>
      </c>
      <c r="C17" s="5">
        <v>350000</v>
      </c>
      <c r="D17" s="1"/>
      <c r="E17" t="s">
        <v>25</v>
      </c>
      <c r="M17" s="17"/>
      <c r="N17" s="25" t="s">
        <v>55</v>
      </c>
      <c r="O17" s="8"/>
      <c r="P17" s="19"/>
    </row>
    <row r="18" spans="2:19" ht="15" thickBot="1" x14ac:dyDescent="0.35">
      <c r="C18" s="7">
        <f>SUM(C15:C17)</f>
        <v>447000</v>
      </c>
      <c r="D18" s="1"/>
      <c r="M18" s="17" t="s">
        <v>43</v>
      </c>
      <c r="N18" s="8"/>
      <c r="O18" s="8"/>
      <c r="P18" s="19">
        <f>SUM(P10:P17)</f>
        <v>160714.28571428574</v>
      </c>
      <c r="Q18" s="30" t="s">
        <v>67</v>
      </c>
      <c r="R18" s="31">
        <f>+P18</f>
        <v>160714.28571428574</v>
      </c>
      <c r="S18" s="30"/>
    </row>
    <row r="19" spans="2:19" ht="15" thickTop="1" x14ac:dyDescent="0.3">
      <c r="B19" t="s">
        <v>8</v>
      </c>
      <c r="C19" s="5"/>
      <c r="D19" s="1"/>
      <c r="M19" s="17"/>
      <c r="N19" s="8"/>
      <c r="O19" s="8"/>
      <c r="P19" s="19"/>
      <c r="Q19" s="30"/>
      <c r="R19" s="31">
        <f>+R18*0.7</f>
        <v>112500.00000000001</v>
      </c>
      <c r="S19" s="32" t="s">
        <v>68</v>
      </c>
    </row>
    <row r="20" spans="2:19" ht="15" thickBot="1" x14ac:dyDescent="0.35">
      <c r="B20" t="s">
        <v>19</v>
      </c>
      <c r="C20" s="5"/>
      <c r="D20" s="1"/>
      <c r="M20" s="22" t="s">
        <v>69</v>
      </c>
      <c r="N20" s="23"/>
      <c r="O20" s="23"/>
      <c r="P20" s="24">
        <f>+P7*0.3</f>
        <v>85714.285714285725</v>
      </c>
      <c r="Q20" s="11" t="s">
        <v>72</v>
      </c>
    </row>
    <row r="21" spans="2:19" x14ac:dyDescent="0.3">
      <c r="B21" t="s">
        <v>9</v>
      </c>
      <c r="C21" s="8">
        <v>25000</v>
      </c>
      <c r="D21" s="1"/>
    </row>
    <row r="22" spans="2:19" x14ac:dyDescent="0.3">
      <c r="B22" t="s">
        <v>24</v>
      </c>
      <c r="C22" s="6">
        <v>60000</v>
      </c>
      <c r="D22" s="1"/>
    </row>
    <row r="23" spans="2:19" x14ac:dyDescent="0.3">
      <c r="C23" s="5">
        <f>SUM(C21:C22)</f>
        <v>85000</v>
      </c>
      <c r="D23" s="1"/>
    </row>
    <row r="24" spans="2:19" x14ac:dyDescent="0.3">
      <c r="C24" s="5"/>
      <c r="D24" s="1"/>
    </row>
    <row r="25" spans="2:19" x14ac:dyDescent="0.3">
      <c r="B25" t="s">
        <v>10</v>
      </c>
      <c r="C25" s="5">
        <v>180000</v>
      </c>
      <c r="D25" s="1"/>
    </row>
    <row r="26" spans="2:19" x14ac:dyDescent="0.3">
      <c r="C26" s="9">
        <f>SUM(C23:C25)</f>
        <v>265000</v>
      </c>
      <c r="D26" s="1"/>
    </row>
    <row r="27" spans="2:19" x14ac:dyDescent="0.3">
      <c r="B27" t="s">
        <v>11</v>
      </c>
      <c r="C27" s="5"/>
      <c r="D27" s="1"/>
    </row>
    <row r="28" spans="2:19" x14ac:dyDescent="0.3">
      <c r="B28" t="s">
        <v>12</v>
      </c>
      <c r="C28" s="5">
        <v>40000</v>
      </c>
      <c r="D28" s="1"/>
    </row>
    <row r="29" spans="2:19" x14ac:dyDescent="0.3">
      <c r="B29" t="s">
        <v>20</v>
      </c>
      <c r="C29" s="6">
        <f>+C30-C28</f>
        <v>142000</v>
      </c>
      <c r="D29" s="1"/>
    </row>
    <row r="30" spans="2:19" x14ac:dyDescent="0.3">
      <c r="C30" s="9">
        <f>+C31-C26</f>
        <v>182000</v>
      </c>
      <c r="D30" s="1"/>
    </row>
    <row r="31" spans="2:19" ht="15" thickBot="1" x14ac:dyDescent="0.35">
      <c r="C31" s="7">
        <f>+C18</f>
        <v>447000</v>
      </c>
      <c r="D31" s="1"/>
    </row>
    <row r="32" spans="2:19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Énoncé - acq</vt:lpstr>
      <vt:lpstr>libre</vt:lpstr>
      <vt:lpstr>Solution</vt:lpstr>
      <vt:lpstr>Énoncé 31 déc</vt:lpstr>
      <vt:lpstr>libre 2</vt:lpstr>
      <vt:lpstr>Solution 31 déc</vt:lpstr>
      <vt:lpstr>Si acquiert 70 %</vt:lpstr>
      <vt:lpstr>libre 3</vt:lpstr>
      <vt:lpstr>Solution 70 %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SOKRI Marzouk</cp:lastModifiedBy>
  <dcterms:created xsi:type="dcterms:W3CDTF">2021-06-29T23:18:48Z</dcterms:created>
  <dcterms:modified xsi:type="dcterms:W3CDTF">2025-04-18T02:44:42Z</dcterms:modified>
</cp:coreProperties>
</file>