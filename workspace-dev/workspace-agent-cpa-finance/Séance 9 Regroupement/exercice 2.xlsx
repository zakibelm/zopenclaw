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5310481\Documents\cours HEC\40938-16 info fin intégrité et conformité\2021 Aut\Séance 3\Impôts sur le résultat\"/>
    </mc:Choice>
  </mc:AlternateContent>
  <xr:revisionPtr revIDLastSave="0" documentId="13_ncr:1_{9B57F6C6-FCE5-4728-88D6-D54B65A65A79}" xr6:coauthVersionLast="46" xr6:coauthVersionMax="46" xr10:uidLastSave="{00000000-0000-0000-0000-000000000000}"/>
  <bookViews>
    <workbookView xWindow="-120" yWindow="-120" windowWidth="29040" windowHeight="15840" xr2:uid="{7E0C52C0-BDBB-46C1-850B-1F1C4E8C0CBF}"/>
  </bookViews>
  <sheets>
    <sheet name="Question" sheetId="1" r:id="rId1"/>
    <sheet name="Solu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4" i="2" l="1"/>
  <c r="D83" i="2"/>
  <c r="E73" i="2"/>
  <c r="E81" i="2"/>
  <c r="D80" i="2"/>
  <c r="E78" i="2"/>
  <c r="D77" i="2"/>
  <c r="E72" i="2"/>
  <c r="D72" i="2"/>
  <c r="C72" i="2"/>
  <c r="E71" i="2"/>
  <c r="D71" i="2"/>
  <c r="C71" i="2"/>
  <c r="N68" i="2"/>
  <c r="M68" i="2"/>
  <c r="M65" i="2"/>
  <c r="M61" i="2"/>
  <c r="M57" i="2"/>
  <c r="M53" i="2"/>
  <c r="G64" i="2"/>
  <c r="F64" i="2"/>
  <c r="E64" i="2"/>
  <c r="F63" i="2"/>
  <c r="E63" i="2"/>
  <c r="H64" i="2"/>
  <c r="H63" i="2"/>
  <c r="G60" i="2"/>
  <c r="F60" i="2"/>
  <c r="E60" i="2"/>
  <c r="H60" i="2"/>
  <c r="H59" i="2"/>
  <c r="G59" i="2"/>
  <c r="I59" i="2" s="1"/>
  <c r="E56" i="2"/>
  <c r="G56" i="2" s="1"/>
  <c r="H56" i="2"/>
  <c r="H55" i="2"/>
  <c r="H52" i="2"/>
  <c r="I52" i="2" s="1"/>
  <c r="H51" i="2"/>
  <c r="G55" i="2"/>
  <c r="E55" i="2"/>
  <c r="I51" i="2"/>
  <c r="G52" i="2"/>
  <c r="G51" i="2"/>
  <c r="E52" i="2"/>
  <c r="E51" i="2"/>
  <c r="F16" i="2"/>
  <c r="K16" i="2" s="1"/>
  <c r="I27" i="2" s="1"/>
  <c r="K34" i="2"/>
  <c r="F34" i="2"/>
  <c r="F30" i="2"/>
  <c r="F29" i="2"/>
  <c r="F21" i="2"/>
  <c r="F20" i="2"/>
  <c r="E25" i="2"/>
  <c r="E24" i="2"/>
  <c r="E19" i="2"/>
  <c r="E20" i="2" s="1"/>
  <c r="E18" i="2"/>
  <c r="E15" i="2"/>
  <c r="E14" i="2"/>
  <c r="E16" i="2" s="1"/>
  <c r="K15" i="2" s="1"/>
  <c r="F10" i="2"/>
  <c r="F7" i="2"/>
  <c r="F5" i="2"/>
  <c r="F3" i="2"/>
  <c r="I64" i="2" l="1"/>
  <c r="G63" i="2"/>
  <c r="I63" i="2" s="1"/>
  <c r="I65" i="2"/>
  <c r="I60" i="2"/>
  <c r="I61" i="2" s="1"/>
  <c r="I55" i="2"/>
  <c r="I56" i="2"/>
  <c r="I57" i="2" s="1"/>
  <c r="I53" i="2"/>
  <c r="E26" i="2"/>
  <c r="G26" i="2" l="1"/>
  <c r="F27" i="2"/>
  <c r="K27" i="2" l="1"/>
  <c r="F43" i="2" s="1"/>
  <c r="E43" i="2" s="1"/>
  <c r="F26" i="2"/>
  <c r="F32" i="2" s="1"/>
  <c r="F37" i="2" s="1"/>
  <c r="F41" i="2" s="1"/>
</calcChain>
</file>

<file path=xl/sharedStrings.xml><?xml version="1.0" encoding="utf-8"?>
<sst xmlns="http://schemas.openxmlformats.org/spreadsheetml/2006/main" count="104" uniqueCount="79">
  <si>
    <t>Impôts sur le résultat</t>
  </si>
  <si>
    <t>Bénéfice avant impôts</t>
  </si>
  <si>
    <t>Incluant</t>
  </si>
  <si>
    <t>Frais de représentation non déductibles</t>
  </si>
  <si>
    <t>Vous détenez les informations suivantes sur les états financiers préliminaires 2020 de ABC inc.</t>
  </si>
  <si>
    <t>Provision pour garantie</t>
  </si>
  <si>
    <t>Provision poursuite contre ABC</t>
  </si>
  <si>
    <t>(incident survenu en 2020)</t>
  </si>
  <si>
    <t>Placement dans des titres boursiers JVBRN</t>
  </si>
  <si>
    <t>Acquisition de 100 actions le 15 mai 2020</t>
  </si>
  <si>
    <t>Disposition de 25 actions le 30 sept 2020</t>
  </si>
  <si>
    <t>Juste valeur des 75 actions restantes au 31 déc 2020</t>
  </si>
  <si>
    <t>Terrain</t>
  </si>
  <si>
    <t xml:space="preserve">Acquis en 2017 au coût de </t>
  </si>
  <si>
    <t xml:space="preserve">disposé le 15 mars 2020 au prix de </t>
  </si>
  <si>
    <t>Équipement</t>
  </si>
  <si>
    <t>Valeur nette comptable</t>
  </si>
  <si>
    <t>Charge amortissement 2020</t>
  </si>
  <si>
    <t>FNACC</t>
  </si>
  <si>
    <t>Soldes au 1er janvier 2020</t>
  </si>
  <si>
    <t>Déduction pour amortissement (fiscal)</t>
  </si>
  <si>
    <t>Pertes autres qu'en capital reportées vers l'avant</t>
  </si>
  <si>
    <t>avantage constaté dans les états financiers 2019</t>
  </si>
  <si>
    <t>Taux d'impôts</t>
  </si>
  <si>
    <t>Travail à faire</t>
  </si>
  <si>
    <t>Calculer les impôts exigibles et différés pour l'exercice 2020</t>
  </si>
  <si>
    <t>Préparer les écritures</t>
  </si>
  <si>
    <t>écart permanent</t>
  </si>
  <si>
    <t>Garantie</t>
  </si>
  <si>
    <t>écart temporaire</t>
  </si>
  <si>
    <t>(charge plus élevée que déboursés car provision augmente)</t>
  </si>
  <si>
    <t>Poursuite</t>
  </si>
  <si>
    <t>(déductible lors du règlement)</t>
  </si>
  <si>
    <t>Disposition de titres boursiers JVBRN</t>
  </si>
  <si>
    <t>Produit de disposition</t>
  </si>
  <si>
    <t>Coût</t>
  </si>
  <si>
    <t>Plus-value comptable</t>
  </si>
  <si>
    <t>JV au 31 déc 2020</t>
  </si>
  <si>
    <t>Coût d'acquisition</t>
  </si>
  <si>
    <t>Disposition du terrain</t>
  </si>
  <si>
    <t>Perte sur cession</t>
  </si>
  <si>
    <t>Taux 2020 non connu en 2019</t>
  </si>
  <si>
    <t>Bénéfice imposable</t>
  </si>
  <si>
    <t>Impôts exigibles</t>
  </si>
  <si>
    <t xml:space="preserve">Avantage fiscal comptabilisé : </t>
  </si>
  <si>
    <t>OU</t>
  </si>
  <si>
    <t>- gain comptable</t>
  </si>
  <si>
    <t>+ gain imposable</t>
  </si>
  <si>
    <t>déductible uniquement contre un gain en capital - portion à reporter</t>
  </si>
  <si>
    <t>gain 2020</t>
  </si>
  <si>
    <t>Perte en capital à reporter aux années futures</t>
  </si>
  <si>
    <t>portion déductible</t>
  </si>
  <si>
    <t>Calcul des impôts exigibles</t>
  </si>
  <si>
    <t>Calcul des impôts différés</t>
  </si>
  <si>
    <t>Prov pour garantie</t>
  </si>
  <si>
    <t>Valeur comptable</t>
  </si>
  <si>
    <t>Base fiscale</t>
  </si>
  <si>
    <t>Écart</t>
  </si>
  <si>
    <t>Taux</t>
  </si>
  <si>
    <t>Impôts différés</t>
  </si>
  <si>
    <t>Actif ID</t>
  </si>
  <si>
    <t>diminution AID</t>
  </si>
  <si>
    <t>Prov poursuite</t>
  </si>
  <si>
    <t>augmentation AID</t>
  </si>
  <si>
    <t>Placement</t>
  </si>
  <si>
    <t>Passif ID</t>
  </si>
  <si>
    <t>augmentation PID</t>
  </si>
  <si>
    <t>diminution PID</t>
  </si>
  <si>
    <t>CT</t>
  </si>
  <si>
    <t>DT</t>
  </si>
  <si>
    <t>Pertes reportées</t>
  </si>
  <si>
    <t>Actif d'impôts différés en 2019 ; appliquées en 2020</t>
  </si>
  <si>
    <t>Actif d'impôts différés en 2020 ; reportées aux années futures (sauf si gain en capital dans les trois dernières années)</t>
  </si>
  <si>
    <t>Charge impôts exigibles</t>
  </si>
  <si>
    <t>@  Impôts à payer</t>
  </si>
  <si>
    <t>Actif d'impôts différés</t>
  </si>
  <si>
    <t>@  Produits impôts différés</t>
  </si>
  <si>
    <t>Charge d'impôts différés</t>
  </si>
  <si>
    <t>@  Actif d'impôts différés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</si>
</sst>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3" fontId="0" fillId="0" borderId="0" xfId="0" applyNumberFormat="1"/>
    <xf numFmtId="9" fontId="0" fillId="0" borderId="0" xfId="1" applyFont="1"/>
    <xf numFmtId="0" fontId="3" fillId="0" borderId="0" xfId="0" applyFont="1"/>
    <xf numFmtId="3" fontId="0" fillId="0" borderId="1" xfId="0" applyNumberFormat="1" applyBorder="1"/>
    <xf numFmtId="3" fontId="3" fillId="0" borderId="0" xfId="0" applyNumberFormat="1" applyFont="1"/>
    <xf numFmtId="9" fontId="0" fillId="0" borderId="1" xfId="1" applyFont="1" applyBorder="1"/>
    <xf numFmtId="0" fontId="0" fillId="2" borderId="0" xfId="0" applyFill="1"/>
    <xf numFmtId="3" fontId="0" fillId="2" borderId="0" xfId="0" applyNumberFormat="1" applyFill="1"/>
    <xf numFmtId="0" fontId="0" fillId="0" borderId="0" xfId="0" quotePrefix="1"/>
    <xf numFmtId="0" fontId="0" fillId="2" borderId="0" xfId="0" quotePrefix="1" applyFill="1"/>
    <xf numFmtId="3" fontId="0" fillId="3" borderId="0" xfId="0" applyNumberFormat="1" applyFill="1"/>
    <xf numFmtId="0" fontId="0" fillId="3" borderId="0" xfId="0" applyFill="1"/>
    <xf numFmtId="0" fontId="4" fillId="0" borderId="0" xfId="0" applyFont="1"/>
    <xf numFmtId="0" fontId="0" fillId="0" borderId="0" xfId="0" applyAlignment="1">
      <alignment wrapText="1"/>
    </xf>
    <xf numFmtId="9" fontId="0" fillId="0" borderId="0" xfId="0" applyNumberFormat="1"/>
    <xf numFmtId="0" fontId="0" fillId="0" borderId="1" xfId="0" applyBorder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0CC45-29C3-4B94-A660-51AFE35712CC}">
  <sheetPr>
    <pageSetUpPr fitToPage="1"/>
  </sheetPr>
  <dimension ref="A1:J40"/>
  <sheetViews>
    <sheetView tabSelected="1" workbookViewId="0">
      <selection activeCell="A40" sqref="A40"/>
    </sheetView>
  </sheetViews>
  <sheetFormatPr baseColWidth="10" defaultRowHeight="15" x14ac:dyDescent="0.25"/>
  <cols>
    <col min="1" max="1" width="4.140625" customWidth="1"/>
    <col min="2" max="2" width="4.5703125" customWidth="1"/>
    <col min="3" max="3" width="3.85546875" customWidth="1"/>
    <col min="4" max="4" width="5.28515625" customWidth="1"/>
    <col min="5" max="5" width="34.5703125" customWidth="1"/>
  </cols>
  <sheetData>
    <row r="1" spans="1:10" x14ac:dyDescent="0.25">
      <c r="A1" s="1" t="s">
        <v>0</v>
      </c>
    </row>
    <row r="3" spans="1:10" x14ac:dyDescent="0.25">
      <c r="A3" t="s">
        <v>4</v>
      </c>
    </row>
    <row r="5" spans="1:10" x14ac:dyDescent="0.25">
      <c r="B5" t="s">
        <v>1</v>
      </c>
      <c r="G5" s="2">
        <v>500000</v>
      </c>
      <c r="H5" s="2"/>
      <c r="I5" s="2"/>
      <c r="J5" s="2"/>
    </row>
    <row r="6" spans="1:10" x14ac:dyDescent="0.25">
      <c r="G6" s="2"/>
      <c r="H6" s="2"/>
      <c r="I6" s="2"/>
      <c r="J6" s="2"/>
    </row>
    <row r="7" spans="1:10" x14ac:dyDescent="0.25">
      <c r="B7" t="s">
        <v>2</v>
      </c>
      <c r="F7" s="2"/>
      <c r="G7" s="2"/>
      <c r="H7" s="2"/>
      <c r="I7" s="2"/>
      <c r="J7" s="2"/>
    </row>
    <row r="8" spans="1:10" x14ac:dyDescent="0.25">
      <c r="C8" t="s">
        <v>3</v>
      </c>
      <c r="F8" s="2"/>
      <c r="G8" s="2">
        <v>20000</v>
      </c>
      <c r="H8" s="2"/>
      <c r="I8" s="2"/>
      <c r="J8" s="2"/>
    </row>
    <row r="9" spans="1:10" x14ac:dyDescent="0.25">
      <c r="F9" s="2"/>
      <c r="G9" s="2"/>
      <c r="H9" s="2"/>
      <c r="I9" s="2"/>
      <c r="J9" s="2"/>
    </row>
    <row r="10" spans="1:10" x14ac:dyDescent="0.25">
      <c r="C10" t="s">
        <v>5</v>
      </c>
      <c r="F10">
        <v>2020</v>
      </c>
      <c r="G10" s="2">
        <v>100000</v>
      </c>
      <c r="H10" s="2"/>
      <c r="I10" s="2"/>
      <c r="J10" s="2"/>
    </row>
    <row r="11" spans="1:10" x14ac:dyDescent="0.25">
      <c r="F11">
        <v>2019</v>
      </c>
      <c r="G11" s="2">
        <v>87000</v>
      </c>
      <c r="H11" s="2"/>
      <c r="I11" s="2"/>
      <c r="J11" s="2"/>
    </row>
    <row r="12" spans="1:10" x14ac:dyDescent="0.25">
      <c r="G12" s="2"/>
      <c r="H12" s="2"/>
      <c r="I12" s="2"/>
      <c r="J12" s="2"/>
    </row>
    <row r="13" spans="1:10" x14ac:dyDescent="0.25">
      <c r="C13" t="s">
        <v>6</v>
      </c>
      <c r="F13">
        <v>2020</v>
      </c>
      <c r="G13" s="2">
        <v>50000</v>
      </c>
      <c r="H13" s="2"/>
      <c r="I13" s="2"/>
      <c r="J13" s="2"/>
    </row>
    <row r="14" spans="1:10" x14ac:dyDescent="0.25">
      <c r="D14" t="s">
        <v>7</v>
      </c>
      <c r="G14" s="2"/>
      <c r="H14" s="2"/>
      <c r="I14" s="2"/>
      <c r="J14" s="2"/>
    </row>
    <row r="15" spans="1:10" x14ac:dyDescent="0.25">
      <c r="F15" s="2"/>
      <c r="G15" s="2"/>
      <c r="H15" s="2"/>
      <c r="I15" s="2"/>
      <c r="J15" s="2"/>
    </row>
    <row r="16" spans="1:10" x14ac:dyDescent="0.25">
      <c r="C16" t="s">
        <v>8</v>
      </c>
      <c r="F16" s="2"/>
      <c r="G16" s="2"/>
      <c r="H16" s="2"/>
      <c r="I16" s="2"/>
      <c r="J16" s="2"/>
    </row>
    <row r="17" spans="2:10" x14ac:dyDescent="0.25">
      <c r="D17" t="s">
        <v>9</v>
      </c>
      <c r="F17" s="2"/>
      <c r="G17" s="2">
        <v>45000</v>
      </c>
      <c r="H17" s="2"/>
      <c r="I17" s="2"/>
      <c r="J17" s="2"/>
    </row>
    <row r="18" spans="2:10" x14ac:dyDescent="0.25">
      <c r="D18" t="s">
        <v>10</v>
      </c>
      <c r="F18" s="2"/>
      <c r="G18" s="2">
        <v>15000</v>
      </c>
      <c r="H18" s="2"/>
      <c r="I18" s="2"/>
      <c r="J18" s="2"/>
    </row>
    <row r="19" spans="2:10" x14ac:dyDescent="0.25">
      <c r="D19" t="s">
        <v>11</v>
      </c>
      <c r="F19" s="2"/>
      <c r="G19" s="2">
        <v>50000</v>
      </c>
      <c r="H19" s="2"/>
      <c r="I19" s="2"/>
      <c r="J19" s="2"/>
    </row>
    <row r="20" spans="2:10" x14ac:dyDescent="0.25">
      <c r="F20" s="2"/>
      <c r="G20" s="2"/>
      <c r="H20" s="2"/>
      <c r="I20" s="2"/>
      <c r="J20" s="2"/>
    </row>
    <row r="21" spans="2:10" x14ac:dyDescent="0.25">
      <c r="C21" t="s">
        <v>12</v>
      </c>
      <c r="F21" s="2"/>
      <c r="G21" s="2"/>
      <c r="H21" s="2"/>
      <c r="I21" s="2"/>
      <c r="J21" s="2"/>
    </row>
    <row r="22" spans="2:10" x14ac:dyDescent="0.25">
      <c r="D22" t="s">
        <v>13</v>
      </c>
      <c r="F22" s="2"/>
      <c r="G22" s="2">
        <v>100000</v>
      </c>
      <c r="H22" s="2"/>
      <c r="I22" s="2"/>
      <c r="J22" s="2"/>
    </row>
    <row r="23" spans="2:10" x14ac:dyDescent="0.25">
      <c r="D23" t="s">
        <v>14</v>
      </c>
      <c r="F23" s="2"/>
      <c r="G23" s="2">
        <v>40000</v>
      </c>
      <c r="H23" s="2"/>
      <c r="I23" s="2"/>
      <c r="J23" s="2"/>
    </row>
    <row r="24" spans="2:10" x14ac:dyDescent="0.25">
      <c r="F24" s="2"/>
      <c r="G24" s="2"/>
      <c r="H24" s="2"/>
      <c r="I24" s="2"/>
      <c r="J24" s="2"/>
    </row>
    <row r="25" spans="2:10" x14ac:dyDescent="0.25">
      <c r="C25" t="s">
        <v>15</v>
      </c>
      <c r="F25" s="2"/>
      <c r="G25" s="2"/>
      <c r="H25" s="2"/>
      <c r="I25" s="2"/>
      <c r="J25" s="2"/>
    </row>
    <row r="26" spans="2:10" x14ac:dyDescent="0.25">
      <c r="D26" t="s">
        <v>19</v>
      </c>
      <c r="F26" s="2"/>
      <c r="G26" s="2"/>
      <c r="H26" s="2"/>
      <c r="I26" s="2"/>
      <c r="J26" s="2"/>
    </row>
    <row r="27" spans="2:10" x14ac:dyDescent="0.25">
      <c r="E27" t="s">
        <v>16</v>
      </c>
      <c r="F27" s="2"/>
      <c r="G27" s="2">
        <v>400000</v>
      </c>
      <c r="H27" s="2"/>
      <c r="I27" s="2"/>
      <c r="J27" s="2"/>
    </row>
    <row r="28" spans="2:10" x14ac:dyDescent="0.25">
      <c r="E28" t="s">
        <v>18</v>
      </c>
      <c r="F28" s="2"/>
      <c r="G28" s="2">
        <v>300000</v>
      </c>
      <c r="H28" s="2"/>
      <c r="I28" s="2"/>
      <c r="J28" s="2"/>
    </row>
    <row r="29" spans="2:10" x14ac:dyDescent="0.25">
      <c r="D29" t="s">
        <v>17</v>
      </c>
      <c r="F29" s="2"/>
      <c r="G29" s="2">
        <v>100000</v>
      </c>
      <c r="H29" s="2"/>
      <c r="I29" s="2"/>
      <c r="J29" s="2"/>
    </row>
    <row r="30" spans="2:10" x14ac:dyDescent="0.25">
      <c r="D30" t="s">
        <v>20</v>
      </c>
      <c r="F30" s="2"/>
      <c r="G30" s="2">
        <v>60000</v>
      </c>
      <c r="H30" s="2"/>
      <c r="I30" s="2"/>
      <c r="J30" s="2"/>
    </row>
    <row r="31" spans="2:10" x14ac:dyDescent="0.25">
      <c r="F31" s="2"/>
      <c r="G31" s="2"/>
      <c r="H31" s="2"/>
      <c r="I31" s="2"/>
      <c r="J31" s="2"/>
    </row>
    <row r="32" spans="2:10" x14ac:dyDescent="0.25">
      <c r="B32" t="s">
        <v>21</v>
      </c>
      <c r="F32" s="2"/>
      <c r="G32" s="2">
        <v>70000</v>
      </c>
      <c r="H32" s="2"/>
      <c r="I32" s="2"/>
      <c r="J32" s="2"/>
    </row>
    <row r="33" spans="1:10" x14ac:dyDescent="0.25">
      <c r="C33" t="s">
        <v>22</v>
      </c>
      <c r="F33" s="2"/>
      <c r="G33" s="2"/>
      <c r="H33" s="2"/>
      <c r="I33" s="2"/>
      <c r="J33" s="2"/>
    </row>
    <row r="34" spans="1:10" x14ac:dyDescent="0.25">
      <c r="F34" s="2"/>
      <c r="G34" s="2"/>
      <c r="H34" s="2"/>
      <c r="I34" s="2"/>
      <c r="J34" s="2"/>
    </row>
    <row r="35" spans="1:10" x14ac:dyDescent="0.25">
      <c r="B35" t="s">
        <v>23</v>
      </c>
      <c r="F35">
        <v>2020</v>
      </c>
      <c r="G35" s="3">
        <v>0.3</v>
      </c>
      <c r="H35" s="2"/>
      <c r="I35" s="2"/>
      <c r="J35" s="2"/>
    </row>
    <row r="36" spans="1:10" x14ac:dyDescent="0.25">
      <c r="F36">
        <v>2019</v>
      </c>
      <c r="G36" s="3">
        <v>0.35</v>
      </c>
      <c r="H36" s="6" t="s">
        <v>41</v>
      </c>
      <c r="I36" s="2"/>
      <c r="J36" s="2"/>
    </row>
    <row r="38" spans="1:10" x14ac:dyDescent="0.25">
      <c r="A38" s="4" t="s">
        <v>24</v>
      </c>
    </row>
    <row r="39" spans="1:10" x14ac:dyDescent="0.25">
      <c r="A39" t="s">
        <v>25</v>
      </c>
    </row>
    <row r="40" spans="1:10" x14ac:dyDescent="0.25">
      <c r="A40" t="s">
        <v>26</v>
      </c>
    </row>
  </sheetData>
  <pageMargins left="0.7" right="0.7" top="0.75" bottom="0.75" header="0.3" footer="0.3"/>
  <pageSetup scale="83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1E31A-3E61-4D27-9CA7-AD9B45D8A245}">
  <dimension ref="A1:N84"/>
  <sheetViews>
    <sheetView topLeftCell="A34" workbookViewId="0">
      <selection activeCell="E84" sqref="E84"/>
    </sheetView>
  </sheetViews>
  <sheetFormatPr baseColWidth="10" defaultRowHeight="15" x14ac:dyDescent="0.25"/>
  <cols>
    <col min="1" max="1" width="7.5703125" customWidth="1"/>
    <col min="12" max="12" width="4.85546875" customWidth="1"/>
  </cols>
  <sheetData>
    <row r="1" spans="1:11" ht="18.75" x14ac:dyDescent="0.3">
      <c r="A1" s="14" t="s">
        <v>52</v>
      </c>
    </row>
    <row r="3" spans="1:11" x14ac:dyDescent="0.25">
      <c r="A3" t="s">
        <v>1</v>
      </c>
      <c r="F3" s="2">
        <f>+Question!G5</f>
        <v>500000</v>
      </c>
    </row>
    <row r="4" spans="1:11" x14ac:dyDescent="0.25">
      <c r="F4" s="2"/>
    </row>
    <row r="5" spans="1:11" x14ac:dyDescent="0.25">
      <c r="A5" t="s">
        <v>3</v>
      </c>
      <c r="E5" s="2"/>
      <c r="F5" s="2">
        <f>+Question!G8</f>
        <v>20000</v>
      </c>
      <c r="G5" t="s">
        <v>27</v>
      </c>
    </row>
    <row r="6" spans="1:11" x14ac:dyDescent="0.25">
      <c r="E6" s="2"/>
    </row>
    <row r="7" spans="1:11" x14ac:dyDescent="0.25">
      <c r="A7" t="s">
        <v>28</v>
      </c>
      <c r="E7" s="2"/>
      <c r="F7" s="2">
        <f>+Question!G10-Question!G11</f>
        <v>13000</v>
      </c>
      <c r="G7" t="s">
        <v>29</v>
      </c>
    </row>
    <row r="8" spans="1:11" x14ac:dyDescent="0.25">
      <c r="B8" t="s">
        <v>30</v>
      </c>
      <c r="F8" s="2"/>
    </row>
    <row r="9" spans="1:11" x14ac:dyDescent="0.25">
      <c r="F9" s="2"/>
    </row>
    <row r="10" spans="1:11" x14ac:dyDescent="0.25">
      <c r="A10" t="s">
        <v>31</v>
      </c>
      <c r="F10" s="2">
        <f>+Question!G13</f>
        <v>50000</v>
      </c>
      <c r="G10" t="s">
        <v>29</v>
      </c>
    </row>
    <row r="11" spans="1:11" x14ac:dyDescent="0.25">
      <c r="B11" t="s">
        <v>32</v>
      </c>
      <c r="F11" s="2"/>
    </row>
    <row r="12" spans="1:11" x14ac:dyDescent="0.25">
      <c r="F12" s="2"/>
    </row>
    <row r="13" spans="1:11" x14ac:dyDescent="0.25">
      <c r="A13" t="s">
        <v>33</v>
      </c>
      <c r="E13" s="2"/>
      <c r="F13" s="2"/>
    </row>
    <row r="14" spans="1:11" x14ac:dyDescent="0.25">
      <c r="B14" t="s">
        <v>34</v>
      </c>
      <c r="E14" s="2">
        <f>+Question!G18</f>
        <v>15000</v>
      </c>
      <c r="F14" s="2"/>
      <c r="I14" s="8" t="s">
        <v>45</v>
      </c>
      <c r="J14" s="8"/>
      <c r="K14" s="8"/>
    </row>
    <row r="15" spans="1:11" x14ac:dyDescent="0.25">
      <c r="B15" t="s">
        <v>35</v>
      </c>
      <c r="E15" s="5">
        <f>+Question!G17*(25/100)</f>
        <v>11250</v>
      </c>
      <c r="I15" s="11" t="s">
        <v>46</v>
      </c>
      <c r="J15" s="8"/>
      <c r="K15" s="9">
        <f>-E16</f>
        <v>-3750</v>
      </c>
    </row>
    <row r="16" spans="1:11" x14ac:dyDescent="0.25">
      <c r="E16" s="2">
        <f>+E14-E15</f>
        <v>3750</v>
      </c>
      <c r="F16" s="9">
        <f>-E16*0.5</f>
        <v>-1875</v>
      </c>
      <c r="G16" s="8" t="s">
        <v>27</v>
      </c>
      <c r="I16" s="11" t="s">
        <v>47</v>
      </c>
      <c r="J16" s="8"/>
      <c r="K16" s="9">
        <f>-F16</f>
        <v>1875</v>
      </c>
    </row>
    <row r="17" spans="1:11" x14ac:dyDescent="0.25">
      <c r="A17" t="s">
        <v>36</v>
      </c>
      <c r="E17" s="2"/>
      <c r="F17" s="2"/>
    </row>
    <row r="18" spans="1:11" x14ac:dyDescent="0.25">
      <c r="B18" t="s">
        <v>37</v>
      </c>
      <c r="E18" s="2">
        <f>+Question!G19</f>
        <v>50000</v>
      </c>
      <c r="F18" s="2"/>
    </row>
    <row r="19" spans="1:11" x14ac:dyDescent="0.25">
      <c r="B19" t="s">
        <v>38</v>
      </c>
      <c r="E19" s="5">
        <f>+Question!G17*(0.75)</f>
        <v>33750</v>
      </c>
      <c r="F19" s="2"/>
    </row>
    <row r="20" spans="1:11" x14ac:dyDescent="0.25">
      <c r="E20" s="2">
        <f>+E18-E19</f>
        <v>16250</v>
      </c>
      <c r="F20" s="2">
        <f>-E20*0.5</f>
        <v>-8125</v>
      </c>
      <c r="G20" t="s">
        <v>29</v>
      </c>
    </row>
    <row r="21" spans="1:11" x14ac:dyDescent="0.25">
      <c r="E21" s="2"/>
      <c r="F21" s="2">
        <f>-0.5*E20</f>
        <v>-8125</v>
      </c>
      <c r="G21" t="s">
        <v>27</v>
      </c>
    </row>
    <row r="22" spans="1:11" x14ac:dyDescent="0.25">
      <c r="E22" s="2"/>
      <c r="F22" s="2"/>
    </row>
    <row r="23" spans="1:11" x14ac:dyDescent="0.25">
      <c r="A23" t="s">
        <v>39</v>
      </c>
      <c r="E23" s="2"/>
      <c r="F23" s="2"/>
    </row>
    <row r="24" spans="1:11" x14ac:dyDescent="0.25">
      <c r="B24" t="s">
        <v>34</v>
      </c>
      <c r="E24" s="2">
        <f>+Question!G23</f>
        <v>40000</v>
      </c>
      <c r="F24" s="2"/>
    </row>
    <row r="25" spans="1:11" x14ac:dyDescent="0.25">
      <c r="B25" t="s">
        <v>35</v>
      </c>
      <c r="E25" s="5">
        <f>+Question!G22</f>
        <v>100000</v>
      </c>
    </row>
    <row r="26" spans="1:11" x14ac:dyDescent="0.25">
      <c r="C26" t="s">
        <v>40</v>
      </c>
      <c r="E26" s="2">
        <f>+E24-E25</f>
        <v>-60000</v>
      </c>
      <c r="F26" s="9">
        <f>+G26-K16</f>
        <v>28125</v>
      </c>
      <c r="G26" s="2">
        <f>-E26*0.5</f>
        <v>30000</v>
      </c>
      <c r="H26" t="s">
        <v>48</v>
      </c>
    </row>
    <row r="27" spans="1:11" x14ac:dyDescent="0.25">
      <c r="E27" s="2"/>
      <c r="F27" s="2">
        <f>-0.5*E26</f>
        <v>30000</v>
      </c>
      <c r="G27" t="s">
        <v>27</v>
      </c>
      <c r="I27" s="9">
        <f>+K16</f>
        <v>1875</v>
      </c>
      <c r="J27" s="8" t="s">
        <v>49</v>
      </c>
      <c r="K27" s="12">
        <f>+G26-I27</f>
        <v>28125</v>
      </c>
    </row>
    <row r="28" spans="1:11" x14ac:dyDescent="0.25">
      <c r="E28" s="2"/>
      <c r="F28" s="2"/>
    </row>
    <row r="29" spans="1:11" x14ac:dyDescent="0.25">
      <c r="A29" t="s">
        <v>15</v>
      </c>
      <c r="C29" t="s">
        <v>17</v>
      </c>
      <c r="E29" s="2"/>
      <c r="F29" s="2">
        <f>+Question!G29</f>
        <v>100000</v>
      </c>
    </row>
    <row r="30" spans="1:11" x14ac:dyDescent="0.25">
      <c r="C30" t="s">
        <v>20</v>
      </c>
      <c r="E30" s="2"/>
      <c r="F30" s="2">
        <f>-Question!G30</f>
        <v>-60000</v>
      </c>
    </row>
    <row r="31" spans="1:11" x14ac:dyDescent="0.25">
      <c r="E31" s="2"/>
      <c r="F31" s="5"/>
    </row>
    <row r="32" spans="1:11" x14ac:dyDescent="0.25">
      <c r="A32" t="s">
        <v>42</v>
      </c>
      <c r="E32" s="2"/>
      <c r="F32" s="2">
        <f>SUM(F3:F31)</f>
        <v>663000</v>
      </c>
    </row>
    <row r="33" spans="1:11" x14ac:dyDescent="0.25">
      <c r="E33" s="2"/>
      <c r="F33" s="2"/>
    </row>
    <row r="34" spans="1:11" x14ac:dyDescent="0.25">
      <c r="A34" s="8" t="s">
        <v>21</v>
      </c>
      <c r="B34" s="8"/>
      <c r="C34" s="8"/>
      <c r="D34" s="8"/>
      <c r="E34" s="9"/>
      <c r="F34" s="9">
        <f>-Question!G32</f>
        <v>-70000</v>
      </c>
      <c r="H34" s="8" t="s">
        <v>44</v>
      </c>
      <c r="I34" s="8"/>
      <c r="J34" s="8"/>
      <c r="K34" s="9">
        <f>+Question!G32*Question!G36</f>
        <v>24500</v>
      </c>
    </row>
    <row r="35" spans="1:11" x14ac:dyDescent="0.25">
      <c r="E35" s="2"/>
      <c r="F35" s="5"/>
    </row>
    <row r="36" spans="1:11" x14ac:dyDescent="0.25">
      <c r="E36" s="2"/>
      <c r="F36" s="2"/>
    </row>
    <row r="37" spans="1:11" x14ac:dyDescent="0.25">
      <c r="E37" s="2"/>
      <c r="F37" s="2">
        <f>SUM(F32:F34)</f>
        <v>593000</v>
      </c>
    </row>
    <row r="38" spans="1:11" x14ac:dyDescent="0.25">
      <c r="E38" s="2"/>
      <c r="F38" s="2"/>
    </row>
    <row r="39" spans="1:11" x14ac:dyDescent="0.25">
      <c r="A39" t="s">
        <v>23</v>
      </c>
      <c r="E39" s="2"/>
      <c r="F39" s="7">
        <v>0.3</v>
      </c>
    </row>
    <row r="41" spans="1:11" x14ac:dyDescent="0.25">
      <c r="A41" t="s">
        <v>43</v>
      </c>
      <c r="F41" s="2">
        <f>+F37*F39</f>
        <v>177900</v>
      </c>
    </row>
    <row r="43" spans="1:11" x14ac:dyDescent="0.25">
      <c r="A43" s="13" t="s">
        <v>50</v>
      </c>
      <c r="E43" s="2">
        <f>+F43*2</f>
        <v>56250</v>
      </c>
      <c r="F43" s="2">
        <f>+K27</f>
        <v>28125</v>
      </c>
      <c r="G43" s="4" t="s">
        <v>51</v>
      </c>
    </row>
    <row r="48" spans="1:11" ht="18.75" x14ac:dyDescent="0.3">
      <c r="A48" s="14" t="s">
        <v>53</v>
      </c>
    </row>
    <row r="49" spans="2:13" ht="30" x14ac:dyDescent="0.25">
      <c r="E49" s="15" t="s">
        <v>55</v>
      </c>
      <c r="F49" s="15" t="s">
        <v>56</v>
      </c>
      <c r="G49" s="15" t="s">
        <v>57</v>
      </c>
      <c r="H49" s="15" t="s">
        <v>58</v>
      </c>
      <c r="I49" s="15" t="s">
        <v>59</v>
      </c>
    </row>
    <row r="50" spans="2:13" x14ac:dyDescent="0.25">
      <c r="E50" s="15"/>
      <c r="F50" s="15"/>
      <c r="G50" s="15"/>
      <c r="H50" s="15"/>
      <c r="I50" s="15"/>
    </row>
    <row r="51" spans="2:13" x14ac:dyDescent="0.25">
      <c r="B51" t="s">
        <v>54</v>
      </c>
      <c r="D51">
        <v>2019</v>
      </c>
      <c r="E51" s="2">
        <f>+Question!G11</f>
        <v>87000</v>
      </c>
      <c r="F51">
        <v>0</v>
      </c>
      <c r="G51" s="2">
        <f>+E51-F51</f>
        <v>87000</v>
      </c>
      <c r="H51" s="16">
        <f>+Question!G$36</f>
        <v>0.35</v>
      </c>
      <c r="I51" s="2">
        <f>+G51*H51</f>
        <v>30449.999999999996</v>
      </c>
      <c r="J51" t="s">
        <v>60</v>
      </c>
    </row>
    <row r="52" spans="2:13" x14ac:dyDescent="0.25">
      <c r="D52">
        <v>2020</v>
      </c>
      <c r="E52" s="2">
        <f>+Question!G10</f>
        <v>100000</v>
      </c>
      <c r="F52">
        <v>0</v>
      </c>
      <c r="G52" s="2">
        <f>+E52-F52</f>
        <v>100000</v>
      </c>
      <c r="H52" s="16">
        <f>+Question!G$35</f>
        <v>0.3</v>
      </c>
      <c r="I52" s="5">
        <f>+G52*H52</f>
        <v>30000</v>
      </c>
      <c r="J52" t="s">
        <v>60</v>
      </c>
    </row>
    <row r="53" spans="2:13" x14ac:dyDescent="0.25">
      <c r="I53" s="2">
        <f>+I52-I51</f>
        <v>-449.99999999999636</v>
      </c>
      <c r="J53" t="s">
        <v>61</v>
      </c>
      <c r="L53" t="s">
        <v>68</v>
      </c>
      <c r="M53" s="2">
        <f>+I53</f>
        <v>-449.99999999999636</v>
      </c>
    </row>
    <row r="55" spans="2:13" x14ac:dyDescent="0.25">
      <c r="B55" t="s">
        <v>62</v>
      </c>
      <c r="D55">
        <v>2019</v>
      </c>
      <c r="E55" s="2">
        <f>+Question!G15</f>
        <v>0</v>
      </c>
      <c r="F55">
        <v>0</v>
      </c>
      <c r="G55" s="2">
        <f>+E55-F55</f>
        <v>0</v>
      </c>
      <c r="H55" s="16">
        <f>+Question!G$36</f>
        <v>0.35</v>
      </c>
      <c r="I55" s="2">
        <f>+G55*H55</f>
        <v>0</v>
      </c>
      <c r="J55" t="s">
        <v>60</v>
      </c>
    </row>
    <row r="56" spans="2:13" x14ac:dyDescent="0.25">
      <c r="D56">
        <v>2020</v>
      </c>
      <c r="E56" s="2">
        <f>+Question!G13</f>
        <v>50000</v>
      </c>
      <c r="F56">
        <v>0</v>
      </c>
      <c r="G56" s="2">
        <f>+E56-F56</f>
        <v>50000</v>
      </c>
      <c r="H56" s="16">
        <f>+Question!G$35</f>
        <v>0.3</v>
      </c>
      <c r="I56" s="5">
        <f>+G56*H56</f>
        <v>15000</v>
      </c>
      <c r="J56" t="s">
        <v>60</v>
      </c>
    </row>
    <row r="57" spans="2:13" x14ac:dyDescent="0.25">
      <c r="I57" s="2">
        <f>+I56-I55</f>
        <v>15000</v>
      </c>
      <c r="J57" t="s">
        <v>63</v>
      </c>
      <c r="L57" t="s">
        <v>69</v>
      </c>
      <c r="M57" s="2">
        <f>+I57</f>
        <v>15000</v>
      </c>
    </row>
    <row r="59" spans="2:13" x14ac:dyDescent="0.25">
      <c r="B59" t="s">
        <v>64</v>
      </c>
      <c r="D59">
        <v>2019</v>
      </c>
      <c r="E59" s="2">
        <v>0</v>
      </c>
      <c r="F59">
        <v>0</v>
      </c>
      <c r="G59" s="2">
        <f>+E59-F59</f>
        <v>0</v>
      </c>
      <c r="H59" s="16">
        <f>+Question!G$36</f>
        <v>0.35</v>
      </c>
      <c r="I59" s="2">
        <f>+G59*H59</f>
        <v>0</v>
      </c>
      <c r="J59" t="s">
        <v>65</v>
      </c>
    </row>
    <row r="60" spans="2:13" x14ac:dyDescent="0.25">
      <c r="D60">
        <v>2020</v>
      </c>
      <c r="E60" s="2">
        <f>+Question!G19</f>
        <v>50000</v>
      </c>
      <c r="F60" s="2">
        <f>+E19</f>
        <v>33750</v>
      </c>
      <c r="G60" s="2">
        <f>(+E60-F60)*0.5</f>
        <v>8125</v>
      </c>
      <c r="H60" s="16">
        <f>+Question!G$35</f>
        <v>0.3</v>
      </c>
      <c r="I60" s="5">
        <f>+G60*H60</f>
        <v>2437.5</v>
      </c>
      <c r="J60" t="s">
        <v>65</v>
      </c>
    </row>
    <row r="61" spans="2:13" x14ac:dyDescent="0.25">
      <c r="I61" s="2">
        <f>+I60-I59</f>
        <v>2437.5</v>
      </c>
      <c r="J61" t="s">
        <v>66</v>
      </c>
      <c r="L61" t="s">
        <v>68</v>
      </c>
      <c r="M61" s="2">
        <f>-I61</f>
        <v>-2437.5</v>
      </c>
    </row>
    <row r="63" spans="2:13" x14ac:dyDescent="0.25">
      <c r="B63" t="s">
        <v>15</v>
      </c>
      <c r="D63">
        <v>2019</v>
      </c>
      <c r="E63" s="2">
        <f>+Question!G27</f>
        <v>400000</v>
      </c>
      <c r="F63" s="2">
        <f>+Question!G28</f>
        <v>300000</v>
      </c>
      <c r="G63" s="2">
        <f>+E63-F63</f>
        <v>100000</v>
      </c>
      <c r="H63" s="16">
        <f>+Question!G$36</f>
        <v>0.35</v>
      </c>
      <c r="I63" s="2">
        <f>+G63*H63</f>
        <v>35000</v>
      </c>
      <c r="J63" t="s">
        <v>65</v>
      </c>
    </row>
    <row r="64" spans="2:13" x14ac:dyDescent="0.25">
      <c r="D64">
        <v>2020</v>
      </c>
      <c r="E64" s="2">
        <f>+E63-Question!G29</f>
        <v>300000</v>
      </c>
      <c r="F64" s="2">
        <f>+F63-Question!G30</f>
        <v>240000</v>
      </c>
      <c r="G64" s="2">
        <f>(+E64-F64)</f>
        <v>60000</v>
      </c>
      <c r="H64" s="16">
        <f>+Question!G$35</f>
        <v>0.3</v>
      </c>
      <c r="I64" s="5">
        <f>+G64*H64</f>
        <v>18000</v>
      </c>
      <c r="J64" t="s">
        <v>65</v>
      </c>
    </row>
    <row r="65" spans="1:14" x14ac:dyDescent="0.25">
      <c r="I65" s="2">
        <f>+I64-I63</f>
        <v>-17000</v>
      </c>
      <c r="J65" t="s">
        <v>67</v>
      </c>
      <c r="L65" t="s">
        <v>69</v>
      </c>
      <c r="M65" s="2">
        <f>-I65</f>
        <v>17000</v>
      </c>
    </row>
    <row r="66" spans="1:14" x14ac:dyDescent="0.25">
      <c r="M66" s="17"/>
    </row>
    <row r="68" spans="1:14" x14ac:dyDescent="0.25">
      <c r="L68" t="s">
        <v>69</v>
      </c>
      <c r="M68" s="2">
        <f>SUM(M50:M66)</f>
        <v>29112.500000000004</v>
      </c>
      <c r="N68" s="2">
        <f>+I53+I57-I61-I65</f>
        <v>29112.500000000004</v>
      </c>
    </row>
    <row r="70" spans="1:14" x14ac:dyDescent="0.25">
      <c r="A70" s="1" t="s">
        <v>70</v>
      </c>
    </row>
    <row r="71" spans="1:14" x14ac:dyDescent="0.25">
      <c r="B71">
        <v>2019</v>
      </c>
      <c r="C71" s="2">
        <f>+Question!G32</f>
        <v>70000</v>
      </c>
      <c r="D71" s="16">
        <f>+Question!G36</f>
        <v>0.35</v>
      </c>
      <c r="E71" s="2">
        <f>+C71*D71</f>
        <v>24500</v>
      </c>
      <c r="F71" t="s">
        <v>71</v>
      </c>
    </row>
    <row r="72" spans="1:14" x14ac:dyDescent="0.25">
      <c r="B72">
        <v>2020</v>
      </c>
      <c r="C72" s="2">
        <f>+E43</f>
        <v>56250</v>
      </c>
      <c r="D72" s="16">
        <f>+Question!G35</f>
        <v>0.3</v>
      </c>
      <c r="E72" s="5">
        <f>+C72*D72*0.5</f>
        <v>8437.5</v>
      </c>
      <c r="F72" t="s">
        <v>72</v>
      </c>
    </row>
    <row r="73" spans="1:14" x14ac:dyDescent="0.25">
      <c r="E73" s="2">
        <f>+E72-E71</f>
        <v>-16062.5</v>
      </c>
    </row>
    <row r="75" spans="1:14" x14ac:dyDescent="0.25">
      <c r="A75" s="1" t="s">
        <v>26</v>
      </c>
    </row>
    <row r="77" spans="1:14" x14ac:dyDescent="0.25">
      <c r="B77" t="s">
        <v>73</v>
      </c>
      <c r="D77" s="2">
        <f>+F41</f>
        <v>177900</v>
      </c>
    </row>
    <row r="78" spans="1:14" x14ac:dyDescent="0.25">
      <c r="B78" s="10" t="s">
        <v>74</v>
      </c>
      <c r="E78" s="2">
        <f>+D77</f>
        <v>177900</v>
      </c>
    </row>
    <row r="80" spans="1:14" x14ac:dyDescent="0.25">
      <c r="B80" t="s">
        <v>75</v>
      </c>
      <c r="D80" s="2">
        <f>+M68</f>
        <v>29112.500000000004</v>
      </c>
    </row>
    <row r="81" spans="2:5" x14ac:dyDescent="0.25">
      <c r="B81" s="10" t="s">
        <v>76</v>
      </c>
      <c r="E81" s="2">
        <f>+D80</f>
        <v>29112.500000000004</v>
      </c>
    </row>
    <row r="83" spans="2:5" x14ac:dyDescent="0.25">
      <c r="B83" t="s">
        <v>77</v>
      </c>
      <c r="D83" s="2">
        <f>-E73</f>
        <v>16062.5</v>
      </c>
    </row>
    <row r="84" spans="2:5" x14ac:dyDescent="0.25">
      <c r="B84" s="10" t="s">
        <v>78</v>
      </c>
      <c r="E84" s="2">
        <f>+D83</f>
        <v>16062.5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Question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overbeek</dc:creator>
  <cp:lastModifiedBy>louise overbeek</cp:lastModifiedBy>
  <cp:lastPrinted>2021-09-07T22:21:33Z</cp:lastPrinted>
  <dcterms:created xsi:type="dcterms:W3CDTF">2020-07-29T01:04:38Z</dcterms:created>
  <dcterms:modified xsi:type="dcterms:W3CDTF">2021-09-07T22:21:36Z</dcterms:modified>
</cp:coreProperties>
</file>