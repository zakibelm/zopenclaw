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85310481\Documents\cours HEC\40938-16 info fin intégrité et conformité\2020 Aut\Séance 6\"/>
    </mc:Choice>
  </mc:AlternateContent>
  <xr:revisionPtr revIDLastSave="0" documentId="8_{74A4886C-83DF-4D50-9BD1-A9562CC4516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énoncé" sheetId="1" r:id="rId1"/>
    <sheet name="même monnaie fonctionnelle" sheetId="3" r:id="rId2"/>
    <sheet name="autre monnaie fonctionnel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2" i="4" l="1"/>
  <c r="G32" i="4"/>
  <c r="E9" i="4"/>
  <c r="G9" i="4"/>
  <c r="E9" i="3"/>
  <c r="E32" i="3" s="1"/>
  <c r="G9" i="3"/>
  <c r="G32" i="3" s="1"/>
  <c r="E16" i="3"/>
  <c r="G16" i="3"/>
  <c r="E17" i="3"/>
  <c r="G17" i="3"/>
  <c r="E36" i="3"/>
  <c r="E40" i="3" s="1"/>
  <c r="G36" i="3"/>
  <c r="G40" i="3" s="1"/>
  <c r="G37" i="1"/>
  <c r="E37" i="1"/>
  <c r="G41" i="3" l="1"/>
  <c r="G42" i="3"/>
  <c r="E41" i="3"/>
  <c r="E42" i="3"/>
  <c r="M120" i="4"/>
  <c r="M119" i="4"/>
  <c r="M68" i="4"/>
  <c r="L66" i="4"/>
  <c r="N66" i="4" s="1"/>
  <c r="G62" i="4"/>
  <c r="G151" i="4"/>
  <c r="E148" i="4"/>
  <c r="G148" i="4" s="1"/>
  <c r="E146" i="4"/>
  <c r="G146" i="4" s="1"/>
  <c r="E145" i="4"/>
  <c r="G145" i="4" s="1"/>
  <c r="E139" i="4"/>
  <c r="G139" i="4" s="1"/>
  <c r="E138" i="4"/>
  <c r="G138" i="4" s="1"/>
  <c r="E133" i="4"/>
  <c r="G133" i="4" s="1"/>
  <c r="G117" i="4"/>
  <c r="G116" i="4"/>
  <c r="G115" i="4"/>
  <c r="E113" i="4"/>
  <c r="G113" i="4" s="1"/>
  <c r="E112" i="4"/>
  <c r="G112" i="4" s="1"/>
  <c r="G100" i="4"/>
  <c r="G97" i="4"/>
  <c r="G95" i="4"/>
  <c r="G94" i="4"/>
  <c r="G88" i="4"/>
  <c r="G87" i="4"/>
  <c r="E82" i="4"/>
  <c r="G82" i="4" s="1"/>
  <c r="G66" i="4"/>
  <c r="G65" i="4"/>
  <c r="G64" i="4"/>
  <c r="E63" i="4"/>
  <c r="E67" i="4" s="1"/>
  <c r="G61" i="4"/>
  <c r="E135" i="3"/>
  <c r="E133" i="3"/>
  <c r="E132" i="3"/>
  <c r="E126" i="3"/>
  <c r="E125" i="3"/>
  <c r="G125" i="3" s="1"/>
  <c r="E120" i="3"/>
  <c r="L122" i="3"/>
  <c r="M120" i="3"/>
  <c r="M119" i="3"/>
  <c r="L118" i="3"/>
  <c r="N118" i="3" s="1"/>
  <c r="M116" i="3"/>
  <c r="L106" i="3"/>
  <c r="L105" i="3"/>
  <c r="N105" i="3" s="1"/>
  <c r="E106" i="3"/>
  <c r="L109" i="3" s="1"/>
  <c r="E105" i="3"/>
  <c r="E107" i="3" s="1"/>
  <c r="E112" i="3" s="1"/>
  <c r="G138" i="3"/>
  <c r="G135" i="3"/>
  <c r="G133" i="3"/>
  <c r="G132" i="3"/>
  <c r="G126" i="3"/>
  <c r="G120" i="3"/>
  <c r="L119" i="3"/>
  <c r="M117" i="3"/>
  <c r="G110" i="3"/>
  <c r="G109" i="3"/>
  <c r="G108" i="3"/>
  <c r="N106" i="3"/>
  <c r="L77" i="3"/>
  <c r="N77" i="3" s="1"/>
  <c r="N70" i="3"/>
  <c r="L70" i="3"/>
  <c r="L75" i="3"/>
  <c r="N75" i="3" s="1"/>
  <c r="N74" i="3"/>
  <c r="M73" i="3"/>
  <c r="N72" i="3"/>
  <c r="L72" i="3"/>
  <c r="G94" i="3"/>
  <c r="G91" i="3"/>
  <c r="G89" i="3"/>
  <c r="G88" i="3"/>
  <c r="G82" i="3"/>
  <c r="G81" i="3"/>
  <c r="E76" i="3"/>
  <c r="G76" i="3" s="1"/>
  <c r="G66" i="3"/>
  <c r="G65" i="3"/>
  <c r="G64" i="3"/>
  <c r="L65" i="3"/>
  <c r="N61" i="3"/>
  <c r="L62" i="3"/>
  <c r="L63" i="3" s="1"/>
  <c r="G61" i="3"/>
  <c r="E63" i="3"/>
  <c r="E68" i="3" s="1"/>
  <c r="G52" i="4"/>
  <c r="E50" i="4"/>
  <c r="E53" i="4" s="1"/>
  <c r="G49" i="4"/>
  <c r="G47" i="4"/>
  <c r="G36" i="4"/>
  <c r="G40" i="4" s="1"/>
  <c r="E36" i="4"/>
  <c r="E40" i="4" s="1"/>
  <c r="E41" i="4" s="1"/>
  <c r="G16" i="4"/>
  <c r="E90" i="4" s="1"/>
  <c r="E91" i="4" s="1"/>
  <c r="E16" i="4"/>
  <c r="E17" i="4" s="1"/>
  <c r="G52" i="3"/>
  <c r="E50" i="3"/>
  <c r="E53" i="3" s="1"/>
  <c r="G49" i="3"/>
  <c r="G47" i="3"/>
  <c r="E22" i="1"/>
  <c r="G57" i="1"/>
  <c r="G54" i="1"/>
  <c r="G52" i="1"/>
  <c r="E55" i="1"/>
  <c r="E58" i="1" s="1"/>
  <c r="E21" i="1"/>
  <c r="G21" i="1"/>
  <c r="G22" i="1" s="1"/>
  <c r="G41" i="1"/>
  <c r="G45" i="1" s="1"/>
  <c r="G46" i="1" s="1"/>
  <c r="G47" i="1" s="1"/>
  <c r="F53" i="1" s="1"/>
  <c r="E41" i="1"/>
  <c r="E45" i="1" s="1"/>
  <c r="G17" i="4" l="1"/>
  <c r="G105" i="3"/>
  <c r="L116" i="3"/>
  <c r="N116" i="3" s="1"/>
  <c r="L120" i="4"/>
  <c r="N120" i="4" s="1"/>
  <c r="N119" i="3"/>
  <c r="E128" i="3"/>
  <c r="G128" i="3" s="1"/>
  <c r="G129" i="3" s="1"/>
  <c r="L69" i="4"/>
  <c r="N69" i="4" s="1"/>
  <c r="G63" i="4"/>
  <c r="G67" i="4" s="1"/>
  <c r="E114" i="4"/>
  <c r="E118" i="4" s="1"/>
  <c r="G114" i="4"/>
  <c r="G118" i="4" s="1"/>
  <c r="E141" i="4"/>
  <c r="G141" i="4" s="1"/>
  <c r="G142" i="4" s="1"/>
  <c r="E68" i="4"/>
  <c r="G68" i="4" s="1"/>
  <c r="G90" i="4"/>
  <c r="G91" i="4" s="1"/>
  <c r="E113" i="3"/>
  <c r="E114" i="3" s="1"/>
  <c r="L78" i="3"/>
  <c r="N78" i="3" s="1"/>
  <c r="E84" i="3"/>
  <c r="N107" i="3"/>
  <c r="L107" i="3"/>
  <c r="L108" i="3" s="1"/>
  <c r="N122" i="3"/>
  <c r="N62" i="3"/>
  <c r="N63" i="3" s="1"/>
  <c r="E69" i="3"/>
  <c r="L76" i="3" s="1"/>
  <c r="N76" i="3" s="1"/>
  <c r="G41" i="4"/>
  <c r="G42" i="4" s="1"/>
  <c r="F48" i="4" s="1"/>
  <c r="E42" i="4"/>
  <c r="F51" i="4" s="1"/>
  <c r="G51" i="4" s="1"/>
  <c r="F51" i="3"/>
  <c r="G51" i="3" s="1"/>
  <c r="F48" i="3"/>
  <c r="E46" i="1"/>
  <c r="E47" i="1" s="1"/>
  <c r="F56" i="1" s="1"/>
  <c r="G56" i="1" s="1"/>
  <c r="F55" i="1"/>
  <c r="G53" i="1"/>
  <c r="G55" i="1" s="1"/>
  <c r="E129" i="3" l="1"/>
  <c r="E119" i="4"/>
  <c r="G119" i="4" s="1"/>
  <c r="G120" i="4" s="1"/>
  <c r="G132" i="4" s="1"/>
  <c r="E142" i="4"/>
  <c r="G69" i="4"/>
  <c r="G81" i="4" s="1"/>
  <c r="G83" i="4" s="1"/>
  <c r="G131" i="4" s="1"/>
  <c r="E69" i="4"/>
  <c r="G84" i="3"/>
  <c r="G85" i="3" s="1"/>
  <c r="E85" i="3"/>
  <c r="L120" i="3"/>
  <c r="N120" i="3" s="1"/>
  <c r="G113" i="3"/>
  <c r="E119" i="3"/>
  <c r="L117" i="3"/>
  <c r="N117" i="3" s="1"/>
  <c r="N108" i="3"/>
  <c r="N109" i="3" s="1"/>
  <c r="G106" i="3" s="1"/>
  <c r="G107" i="3" s="1"/>
  <c r="E70" i="3"/>
  <c r="E75" i="3" s="1"/>
  <c r="E77" i="3" s="1"/>
  <c r="E118" i="3" s="1"/>
  <c r="G69" i="3"/>
  <c r="G48" i="4"/>
  <c r="G50" i="4" s="1"/>
  <c r="G53" i="4" s="1"/>
  <c r="F50" i="4"/>
  <c r="E101" i="4" s="1"/>
  <c r="E103" i="4" s="1"/>
  <c r="G48" i="3"/>
  <c r="G50" i="3" s="1"/>
  <c r="G53" i="3" s="1"/>
  <c r="F50" i="3"/>
  <c r="G58" i="1"/>
  <c r="G32" i="1"/>
  <c r="F58" i="1"/>
  <c r="E32" i="1" s="1"/>
  <c r="E95" i="3" l="1"/>
  <c r="E96" i="3" s="1"/>
  <c r="G27" i="3"/>
  <c r="G28" i="3" s="1"/>
  <c r="G19" i="3" s="1"/>
  <c r="G22" i="3" s="1"/>
  <c r="G29" i="3" s="1"/>
  <c r="G101" i="4"/>
  <c r="E121" i="3"/>
  <c r="E120" i="4"/>
  <c r="E81" i="4"/>
  <c r="E83" i="4" s="1"/>
  <c r="E131" i="4" s="1"/>
  <c r="E72" i="4"/>
  <c r="G134" i="4"/>
  <c r="G152" i="4" s="1"/>
  <c r="N123" i="3"/>
  <c r="F53" i="4"/>
  <c r="E27" i="4" s="1"/>
  <c r="G27" i="4"/>
  <c r="G28" i="4" s="1"/>
  <c r="L117" i="4" s="1"/>
  <c r="N117" i="4" s="1"/>
  <c r="F53" i="3"/>
  <c r="E27" i="3" s="1"/>
  <c r="E28" i="3" s="1"/>
  <c r="E19" i="3" s="1"/>
  <c r="E22" i="3" s="1"/>
  <c r="E29" i="3" s="1"/>
  <c r="E33" i="1"/>
  <c r="E24" i="1" s="1"/>
  <c r="E27" i="1" s="1"/>
  <c r="E34" i="1" s="1"/>
  <c r="G33" i="1"/>
  <c r="G24" i="1" s="1"/>
  <c r="G27" i="1" s="1"/>
  <c r="G34" i="1" s="1"/>
  <c r="L64" i="3"/>
  <c r="E132" i="4" l="1"/>
  <c r="E134" i="4" s="1"/>
  <c r="E123" i="4"/>
  <c r="E139" i="3"/>
  <c r="E140" i="3" s="1"/>
  <c r="L114" i="3"/>
  <c r="N114" i="3" s="1"/>
  <c r="N124" i="3" s="1"/>
  <c r="L81" i="3"/>
  <c r="G19" i="4"/>
  <c r="L71" i="4"/>
  <c r="N71" i="4" s="1"/>
  <c r="L68" i="4"/>
  <c r="N68" i="4" s="1"/>
  <c r="N70" i="4" s="1"/>
  <c r="G72" i="4"/>
  <c r="E75" i="4"/>
  <c r="G22" i="4"/>
  <c r="G29" i="4" s="1"/>
  <c r="E93" i="4"/>
  <c r="E28" i="4"/>
  <c r="E152" i="4"/>
  <c r="E154" i="4" s="1"/>
  <c r="E87" i="3"/>
  <c r="N64" i="3"/>
  <c r="N65" i="3" s="1"/>
  <c r="G62" i="3" s="1"/>
  <c r="G63" i="3" s="1"/>
  <c r="L73" i="3"/>
  <c r="N73" i="3" s="1"/>
  <c r="N79" i="3" s="1"/>
  <c r="N80" i="3" s="1"/>
  <c r="E131" i="3" l="1"/>
  <c r="L119" i="4"/>
  <c r="N119" i="4" s="1"/>
  <c r="N121" i="4" s="1"/>
  <c r="E126" i="4"/>
  <c r="G123" i="4"/>
  <c r="E19" i="4"/>
  <c r="E144" i="4" s="1"/>
  <c r="L122" i="4"/>
  <c r="N122" i="4" s="1"/>
  <c r="N72" i="4"/>
  <c r="G74" i="4" s="1"/>
  <c r="G102" i="4" s="1"/>
  <c r="E22" i="4"/>
  <c r="E29" i="4" s="1"/>
  <c r="G93" i="4"/>
  <c r="G96" i="4" s="1"/>
  <c r="E96" i="4"/>
  <c r="E104" i="4" s="1"/>
  <c r="G131" i="3"/>
  <c r="G134" i="3" s="1"/>
  <c r="L125" i="3"/>
  <c r="N125" i="3" s="1"/>
  <c r="N126" i="3" s="1"/>
  <c r="G111" i="3" s="1"/>
  <c r="G112" i="3" s="1"/>
  <c r="G114" i="3" s="1"/>
  <c r="G119" i="3" s="1"/>
  <c r="E134" i="3"/>
  <c r="E141" i="3" s="1"/>
  <c r="G87" i="3"/>
  <c r="G90" i="3" s="1"/>
  <c r="N81" i="3"/>
  <c r="N82" i="3" s="1"/>
  <c r="G67" i="3" s="1"/>
  <c r="G68" i="3" s="1"/>
  <c r="G70" i="3" s="1"/>
  <c r="G75" i="3" s="1"/>
  <c r="G77" i="3" s="1"/>
  <c r="E90" i="3"/>
  <c r="E97" i="3" s="1"/>
  <c r="N123" i="4" l="1"/>
  <c r="G125" i="4" s="1"/>
  <c r="G126" i="4"/>
  <c r="G103" i="4"/>
  <c r="G153" i="4"/>
  <c r="G154" i="4" s="1"/>
  <c r="G95" i="3"/>
  <c r="G96" i="3" s="1"/>
  <c r="G97" i="3" s="1"/>
  <c r="G118" i="3"/>
  <c r="G121" i="3" s="1"/>
  <c r="G139" i="3" s="1"/>
  <c r="G140" i="3" s="1"/>
  <c r="G141" i="3" s="1"/>
  <c r="G104" i="4"/>
  <c r="G75" i="4"/>
  <c r="G144" i="4"/>
  <c r="G147" i="4" s="1"/>
  <c r="E147" i="4"/>
  <c r="E155" i="4" s="1"/>
  <c r="G155" i="4" l="1"/>
</calcChain>
</file>

<file path=xl/sharedStrings.xml><?xml version="1.0" encoding="utf-8"?>
<sst xmlns="http://schemas.openxmlformats.org/spreadsheetml/2006/main" count="372" uniqueCount="94">
  <si>
    <t>Clients</t>
  </si>
  <si>
    <t>Stocks</t>
  </si>
  <si>
    <t>Immobilisations</t>
  </si>
  <si>
    <t>Coût</t>
  </si>
  <si>
    <t>Amortissement cumulé</t>
  </si>
  <si>
    <t>Découvert</t>
  </si>
  <si>
    <t>Comptes fournisseurs</t>
  </si>
  <si>
    <t>Portion courante dette non courante</t>
  </si>
  <si>
    <t>Dette bancaire</t>
  </si>
  <si>
    <t>Capitaux propres</t>
  </si>
  <si>
    <t>Actions ordinaires</t>
  </si>
  <si>
    <t>Résultats non distribués</t>
  </si>
  <si>
    <t>État de la situation financière</t>
  </si>
  <si>
    <t>Résultats</t>
  </si>
  <si>
    <t>Ventes</t>
  </si>
  <si>
    <t>Coût des ventes</t>
  </si>
  <si>
    <t>Bénéfice brut</t>
  </si>
  <si>
    <t>Frais de vente et d'administration</t>
  </si>
  <si>
    <t>Frais financiers</t>
  </si>
  <si>
    <t>Amortissement</t>
  </si>
  <si>
    <t>Bénéfice avant impôt</t>
  </si>
  <si>
    <t>Impôts</t>
  </si>
  <si>
    <t>Bénéfice net</t>
  </si>
  <si>
    <t>Tableau des capitaux propres</t>
  </si>
  <si>
    <t>Capital-actions</t>
  </si>
  <si>
    <t>RND</t>
  </si>
  <si>
    <t>Total</t>
  </si>
  <si>
    <t>Dividendes</t>
  </si>
  <si>
    <t>Méthode stocks : PEPS, stocks de fin d'exercice acquis le 15 décembre</t>
  </si>
  <si>
    <t>Déclaration du dividende : 30 septembre de chaque année</t>
  </si>
  <si>
    <t>COURS</t>
  </si>
  <si>
    <t>1 DE = 1,20 CAN</t>
  </si>
  <si>
    <t>1 DE = 1,21 CAN</t>
  </si>
  <si>
    <t>1 DE = 1,22 CAN</t>
  </si>
  <si>
    <t>1 DE = 1,23 CAN</t>
  </si>
  <si>
    <t>1 DE = 1,24 CAN</t>
  </si>
  <si>
    <t>1 DE = 1,25 CAN</t>
  </si>
  <si>
    <t>1 DE = 1,26 CAN</t>
  </si>
  <si>
    <t>1 DE = 1,27 CAN</t>
  </si>
  <si>
    <t>1 DE = 1,29 CAN</t>
  </si>
  <si>
    <t>1 DE = 1,28 CAN</t>
  </si>
  <si>
    <t>calculé</t>
  </si>
  <si>
    <t>Stock début</t>
  </si>
  <si>
    <t>Stock fin</t>
  </si>
  <si>
    <t>Variation stocks</t>
  </si>
  <si>
    <t>Achats</t>
  </si>
  <si>
    <t>Solde début</t>
  </si>
  <si>
    <t>Résultat net</t>
  </si>
  <si>
    <t>Solde fin</t>
  </si>
  <si>
    <t>calcul ci-dessus</t>
  </si>
  <si>
    <t>État situation financière</t>
  </si>
  <si>
    <t>Gain / perte de change</t>
  </si>
  <si>
    <t>Immobilisations - net</t>
  </si>
  <si>
    <t>ci-haut</t>
  </si>
  <si>
    <t>Gain / perte change</t>
  </si>
  <si>
    <t>Position monétaire début</t>
  </si>
  <si>
    <t>Position monétaire nette calculée</t>
  </si>
  <si>
    <t>Profit / perte de change</t>
  </si>
  <si>
    <t>$ du capital-actions émis</t>
  </si>
  <si>
    <t>Achat immobilisations</t>
  </si>
  <si>
    <t>Résultat global</t>
  </si>
  <si>
    <t>AERG</t>
  </si>
  <si>
    <t>Écart de change</t>
  </si>
  <si>
    <t>Actif net calculé</t>
  </si>
  <si>
    <t>Actif net réel</t>
  </si>
  <si>
    <t>Cumul écart de change</t>
  </si>
  <si>
    <t>Création de la société le 1er janvier 2020</t>
  </si>
  <si>
    <t>Achat des immobilisations : 31 mars 2020</t>
  </si>
  <si>
    <t>Émission dette bancaire : 31 mars 2020</t>
  </si>
  <si>
    <t>1er janvier 2020</t>
  </si>
  <si>
    <t>31 mars 2020</t>
  </si>
  <si>
    <t>30 septembre 2020</t>
  </si>
  <si>
    <t>15 décembre 2020</t>
  </si>
  <si>
    <t>31 décembre 2020</t>
  </si>
  <si>
    <t>cours moyen 2020</t>
  </si>
  <si>
    <t>30 septembre 2021</t>
  </si>
  <si>
    <t>15 décembre 2021</t>
  </si>
  <si>
    <t>31 décembre 2021</t>
  </si>
  <si>
    <t>cours moyen 2021</t>
  </si>
  <si>
    <t>CONVERSION 2020</t>
  </si>
  <si>
    <t>Variation 2020</t>
  </si>
  <si>
    <t xml:space="preserve">Travail à faire : </t>
  </si>
  <si>
    <t>Convertir les EF</t>
  </si>
  <si>
    <t>a) même monnaie fonctionnelle</t>
  </si>
  <si>
    <t>b) autre monnaie fonctinnelle</t>
  </si>
  <si>
    <t>CONVERSION 2021</t>
  </si>
  <si>
    <t>Variation 2021</t>
  </si>
  <si>
    <t>Émission d'actions ordinaires : uniquement le 1er janvier 2020</t>
  </si>
  <si>
    <t>Position monétaire réelle 31 déc 2020</t>
  </si>
  <si>
    <t>Actif net au 1er janvier 2020</t>
  </si>
  <si>
    <t>Variation de l'actif net pour 2020</t>
  </si>
  <si>
    <t>Actif net au 1er janvier 2021</t>
  </si>
  <si>
    <t>Variation de l'actif net pour 2021</t>
  </si>
  <si>
    <t>Position monétaire réelle 31 déc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</si>
</sst>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5" fontId="0" fillId="0" borderId="0" xfId="0" quotePrefix="1" applyNumberFormat="1"/>
    <xf numFmtId="3" fontId="0" fillId="0" borderId="0" xfId="0" applyNumberFormat="1"/>
    <xf numFmtId="3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/>
    <xf numFmtId="3" fontId="2" fillId="0" borderId="0" xfId="0" applyNumberFormat="1" applyFont="1"/>
    <xf numFmtId="3" fontId="3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15" fontId="0" fillId="0" borderId="5" xfId="0" quotePrefix="1" applyNumberFormat="1" applyBorder="1"/>
    <xf numFmtId="0" fontId="0" fillId="0" borderId="5" xfId="0" quotePrefix="1" applyBorder="1"/>
    <xf numFmtId="16" fontId="0" fillId="0" borderId="5" xfId="0" quotePrefix="1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3" fontId="0" fillId="0" borderId="0" xfId="0" applyNumberFormat="1" applyBorder="1"/>
    <xf numFmtId="3" fontId="0" fillId="0" borderId="1" xfId="0" applyNumberFormat="1" applyFont="1" applyBorder="1"/>
    <xf numFmtId="2" fontId="0" fillId="0" borderId="0" xfId="0" applyNumberFormat="1"/>
    <xf numFmtId="4" fontId="0" fillId="0" borderId="0" xfId="0" applyNumberFormat="1"/>
    <xf numFmtId="3" fontId="0" fillId="0" borderId="0" xfId="0" applyNumberFormat="1" applyFill="1" applyBorder="1"/>
    <xf numFmtId="0" fontId="1" fillId="0" borderId="1" xfId="0" applyFont="1" applyBorder="1"/>
    <xf numFmtId="0" fontId="1" fillId="0" borderId="10" xfId="0" applyFont="1" applyBorder="1"/>
    <xf numFmtId="3" fontId="0" fillId="2" borderId="1" xfId="0" applyNumberFormat="1" applyFill="1" applyBorder="1"/>
    <xf numFmtId="3" fontId="0" fillId="2" borderId="0" xfId="0" applyNumberFormat="1" applyFill="1"/>
    <xf numFmtId="0" fontId="4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I63" sqref="I63"/>
    </sheetView>
  </sheetViews>
  <sheetFormatPr baseColWidth="10" defaultRowHeight="14.5" x14ac:dyDescent="0.35"/>
  <cols>
    <col min="1" max="1" width="6.81640625" customWidth="1"/>
  </cols>
  <sheetData>
    <row r="1" spans="1:11" x14ac:dyDescent="0.35">
      <c r="A1" t="s">
        <v>66</v>
      </c>
      <c r="H1" s="9" t="s">
        <v>30</v>
      </c>
      <c r="I1" s="10"/>
      <c r="J1" s="10"/>
      <c r="K1" s="11"/>
    </row>
    <row r="2" spans="1:11" x14ac:dyDescent="0.35">
      <c r="A2" t="s">
        <v>87</v>
      </c>
      <c r="H2" s="12" t="s">
        <v>69</v>
      </c>
      <c r="I2" s="13"/>
      <c r="J2" s="13" t="s">
        <v>31</v>
      </c>
      <c r="K2" s="14"/>
    </row>
    <row r="3" spans="1:11" x14ac:dyDescent="0.35">
      <c r="A3" t="s">
        <v>67</v>
      </c>
      <c r="H3" s="15" t="s">
        <v>70</v>
      </c>
      <c r="I3" s="13"/>
      <c r="J3" s="13" t="s">
        <v>32</v>
      </c>
      <c r="K3" s="14"/>
    </row>
    <row r="4" spans="1:11" x14ac:dyDescent="0.35">
      <c r="A4" t="s">
        <v>68</v>
      </c>
      <c r="H4" s="16" t="s">
        <v>71</v>
      </c>
      <c r="I4" s="13"/>
      <c r="J4" s="13" t="s">
        <v>33</v>
      </c>
      <c r="K4" s="14"/>
    </row>
    <row r="5" spans="1:11" x14ac:dyDescent="0.35">
      <c r="A5" t="s">
        <v>28</v>
      </c>
      <c r="H5" s="17" t="s">
        <v>72</v>
      </c>
      <c r="I5" s="13"/>
      <c r="J5" s="13" t="s">
        <v>35</v>
      </c>
      <c r="K5" s="14"/>
    </row>
    <row r="6" spans="1:11" x14ac:dyDescent="0.35">
      <c r="A6" t="s">
        <v>29</v>
      </c>
      <c r="H6" s="16" t="s">
        <v>73</v>
      </c>
      <c r="I6" s="13"/>
      <c r="J6" s="13" t="s">
        <v>36</v>
      </c>
      <c r="K6" s="14"/>
    </row>
    <row r="7" spans="1:11" x14ac:dyDescent="0.35">
      <c r="H7" s="12" t="s">
        <v>74</v>
      </c>
      <c r="I7" s="13"/>
      <c r="J7" s="13" t="s">
        <v>34</v>
      </c>
      <c r="K7" s="14"/>
    </row>
    <row r="8" spans="1:11" x14ac:dyDescent="0.35">
      <c r="A8" s="31" t="s">
        <v>81</v>
      </c>
      <c r="B8" s="32"/>
      <c r="C8" s="32"/>
      <c r="D8" s="32"/>
      <c r="E8" s="32"/>
      <c r="H8" s="16" t="s">
        <v>75</v>
      </c>
      <c r="I8" s="13"/>
      <c r="J8" s="13" t="s">
        <v>37</v>
      </c>
      <c r="K8" s="14"/>
    </row>
    <row r="9" spans="1:11" x14ac:dyDescent="0.35">
      <c r="A9" s="32" t="s">
        <v>82</v>
      </c>
      <c r="B9" s="32"/>
      <c r="C9" s="32" t="s">
        <v>83</v>
      </c>
      <c r="D9" s="32"/>
      <c r="E9" s="32"/>
      <c r="H9" s="16" t="s">
        <v>76</v>
      </c>
      <c r="I9" s="13"/>
      <c r="J9" s="13" t="s">
        <v>40</v>
      </c>
      <c r="K9" s="14"/>
    </row>
    <row r="10" spans="1:11" x14ac:dyDescent="0.35">
      <c r="A10" s="32"/>
      <c r="B10" s="32"/>
      <c r="C10" s="32" t="s">
        <v>84</v>
      </c>
      <c r="D10" s="32"/>
      <c r="E10" s="32"/>
      <c r="H10" s="16" t="s">
        <v>77</v>
      </c>
      <c r="I10" s="13"/>
      <c r="J10" s="13" t="s">
        <v>39</v>
      </c>
      <c r="K10" s="14"/>
    </row>
    <row r="11" spans="1:11" ht="15" thickBot="1" x14ac:dyDescent="0.4">
      <c r="H11" s="18" t="s">
        <v>78</v>
      </c>
      <c r="I11" s="19"/>
      <c r="J11" s="19" t="s">
        <v>38</v>
      </c>
      <c r="K11" s="20"/>
    </row>
    <row r="12" spans="1:11" x14ac:dyDescent="0.35">
      <c r="H12" s="13"/>
      <c r="I12" s="13"/>
      <c r="J12" s="13"/>
      <c r="K12" s="13"/>
    </row>
    <row r="13" spans="1:11" x14ac:dyDescent="0.35">
      <c r="A13" s="1" t="s">
        <v>12</v>
      </c>
    </row>
    <row r="14" spans="1:11" x14ac:dyDescent="0.35">
      <c r="E14" s="27">
        <v>2021</v>
      </c>
      <c r="G14" s="27">
        <v>2020</v>
      </c>
    </row>
    <row r="16" spans="1:11" x14ac:dyDescent="0.35">
      <c r="A16" t="s">
        <v>0</v>
      </c>
      <c r="E16" s="3">
        <v>10000</v>
      </c>
      <c r="F16" s="3"/>
      <c r="G16" s="3">
        <v>9000</v>
      </c>
    </row>
    <row r="17" spans="1:7" x14ac:dyDescent="0.35">
      <c r="A17" t="s">
        <v>1</v>
      </c>
      <c r="E17" s="3">
        <v>8500</v>
      </c>
      <c r="F17" s="3"/>
      <c r="G17" s="3">
        <v>8000</v>
      </c>
    </row>
    <row r="18" spans="1:7" x14ac:dyDescent="0.35">
      <c r="E18" s="3"/>
      <c r="F18" s="3"/>
      <c r="G18" s="3"/>
    </row>
    <row r="19" spans="1:7" x14ac:dyDescent="0.35">
      <c r="A19" t="s">
        <v>2</v>
      </c>
      <c r="E19" s="3"/>
      <c r="F19" s="3"/>
      <c r="G19" s="3"/>
    </row>
    <row r="20" spans="1:7" x14ac:dyDescent="0.35">
      <c r="B20" t="s">
        <v>3</v>
      </c>
      <c r="D20" s="3">
        <v>15000</v>
      </c>
      <c r="E20" s="3"/>
      <c r="F20" s="3">
        <v>15000</v>
      </c>
      <c r="G20" s="3"/>
    </row>
    <row r="21" spans="1:7" x14ac:dyDescent="0.35">
      <c r="B21" t="s">
        <v>4</v>
      </c>
      <c r="D21" s="4">
        <v>6000</v>
      </c>
      <c r="E21" s="4">
        <f>D20-D21</f>
        <v>9000</v>
      </c>
      <c r="F21" s="4">
        <v>3000</v>
      </c>
      <c r="G21" s="4">
        <f>F20-F21</f>
        <v>12000</v>
      </c>
    </row>
    <row r="22" spans="1:7" x14ac:dyDescent="0.35">
      <c r="E22" s="7">
        <f>SUM(E16:E21)</f>
        <v>27500</v>
      </c>
      <c r="F22" s="3"/>
      <c r="G22" s="7">
        <f>SUM(G16:G21)</f>
        <v>29000</v>
      </c>
    </row>
    <row r="23" spans="1:7" x14ac:dyDescent="0.35">
      <c r="E23" s="3"/>
      <c r="F23" s="3"/>
      <c r="G23" s="3"/>
    </row>
    <row r="24" spans="1:7" x14ac:dyDescent="0.35">
      <c r="A24" t="s">
        <v>5</v>
      </c>
      <c r="E24" s="3">
        <f>+E22-E33-E25-E26-E28</f>
        <v>1480</v>
      </c>
      <c r="F24" s="3"/>
      <c r="G24" s="3">
        <f>+G22-G33-G25-G26-G28</f>
        <v>9080</v>
      </c>
    </row>
    <row r="25" spans="1:7" x14ac:dyDescent="0.35">
      <c r="A25" t="s">
        <v>6</v>
      </c>
      <c r="E25" s="3">
        <v>6000</v>
      </c>
      <c r="F25" s="3"/>
      <c r="G25" s="3">
        <v>5500</v>
      </c>
    </row>
    <row r="26" spans="1:7" x14ac:dyDescent="0.35">
      <c r="A26" t="s">
        <v>7</v>
      </c>
      <c r="E26" s="4">
        <v>1000</v>
      </c>
      <c r="F26" s="3"/>
      <c r="G26" s="4">
        <v>1000</v>
      </c>
    </row>
    <row r="27" spans="1:7" x14ac:dyDescent="0.35">
      <c r="E27" s="3">
        <f>SUM(E24:E26)</f>
        <v>8480</v>
      </c>
      <c r="F27" s="3"/>
      <c r="G27" s="3">
        <f>SUM(G24:G26)</f>
        <v>15580</v>
      </c>
    </row>
    <row r="28" spans="1:7" x14ac:dyDescent="0.35">
      <c r="A28" t="s">
        <v>8</v>
      </c>
      <c r="E28" s="3">
        <v>7000</v>
      </c>
      <c r="F28" s="3"/>
      <c r="G28" s="3">
        <v>8000</v>
      </c>
    </row>
    <row r="29" spans="1:7" x14ac:dyDescent="0.35">
      <c r="E29" s="3"/>
      <c r="F29" s="3"/>
      <c r="G29" s="3"/>
    </row>
    <row r="30" spans="1:7" x14ac:dyDescent="0.35">
      <c r="A30" t="s">
        <v>9</v>
      </c>
      <c r="E30" s="3"/>
      <c r="F30" s="3"/>
      <c r="G30" s="3"/>
    </row>
    <row r="31" spans="1:7" x14ac:dyDescent="0.35">
      <c r="B31" t="s">
        <v>10</v>
      </c>
      <c r="E31" s="3">
        <v>2500</v>
      </c>
      <c r="F31" s="3"/>
      <c r="G31" s="3">
        <v>2500</v>
      </c>
    </row>
    <row r="32" spans="1:7" x14ac:dyDescent="0.35">
      <c r="B32" t="s">
        <v>11</v>
      </c>
      <c r="E32" s="4">
        <f>+F58</f>
        <v>9520</v>
      </c>
      <c r="F32" s="3"/>
      <c r="G32" s="4">
        <f>+F55</f>
        <v>2920</v>
      </c>
    </row>
    <row r="33" spans="1:7" x14ac:dyDescent="0.35">
      <c r="E33" s="8">
        <f>SUM(E31:E32)</f>
        <v>12020</v>
      </c>
      <c r="G33" s="8">
        <f>SUM(G31:G32)</f>
        <v>5420</v>
      </c>
    </row>
    <row r="34" spans="1:7" x14ac:dyDescent="0.35">
      <c r="E34" s="7">
        <f>+E27+E28+E33</f>
        <v>27500</v>
      </c>
      <c r="F34" s="3"/>
      <c r="G34" s="7">
        <f>+G27+G28+G33</f>
        <v>29000</v>
      </c>
    </row>
    <row r="36" spans="1:7" x14ac:dyDescent="0.35">
      <c r="A36" s="1" t="s">
        <v>13</v>
      </c>
    </row>
    <row r="37" spans="1:7" x14ac:dyDescent="0.35">
      <c r="E37" s="27">
        <f>+E14</f>
        <v>2021</v>
      </c>
      <c r="G37" s="27">
        <f>+G14</f>
        <v>2020</v>
      </c>
    </row>
    <row r="39" spans="1:7" x14ac:dyDescent="0.35">
      <c r="A39" t="s">
        <v>14</v>
      </c>
      <c r="E39" s="3">
        <v>120000</v>
      </c>
      <c r="F39" s="3"/>
      <c r="G39" s="3">
        <v>100000</v>
      </c>
    </row>
    <row r="40" spans="1:7" x14ac:dyDescent="0.35">
      <c r="A40" t="s">
        <v>15</v>
      </c>
      <c r="E40" s="4">
        <v>70000</v>
      </c>
      <c r="F40" s="3"/>
      <c r="G40" s="4">
        <v>60000</v>
      </c>
    </row>
    <row r="41" spans="1:7" x14ac:dyDescent="0.35">
      <c r="A41" t="s">
        <v>16</v>
      </c>
      <c r="E41" s="3">
        <f>E39-E40</f>
        <v>50000</v>
      </c>
      <c r="F41" s="3"/>
      <c r="G41" s="3">
        <f>G39-G40</f>
        <v>40000</v>
      </c>
    </row>
    <row r="42" spans="1:7" x14ac:dyDescent="0.35">
      <c r="A42" t="s">
        <v>17</v>
      </c>
      <c r="E42" s="3">
        <v>23000</v>
      </c>
      <c r="F42" s="3"/>
      <c r="G42" s="3">
        <v>20000</v>
      </c>
    </row>
    <row r="43" spans="1:7" x14ac:dyDescent="0.35">
      <c r="A43" t="s">
        <v>18</v>
      </c>
      <c r="E43" s="3">
        <v>750</v>
      </c>
      <c r="F43" s="3"/>
      <c r="G43" s="3">
        <v>850</v>
      </c>
    </row>
    <row r="44" spans="1:7" x14ac:dyDescent="0.35">
      <c r="A44" t="s">
        <v>19</v>
      </c>
      <c r="E44" s="4">
        <v>3000</v>
      </c>
      <c r="F44" s="3"/>
      <c r="G44" s="4">
        <v>3000</v>
      </c>
    </row>
    <row r="45" spans="1:7" x14ac:dyDescent="0.35">
      <c r="A45" t="s">
        <v>20</v>
      </c>
      <c r="E45" s="3">
        <f>+E41-SUM(E42:E44)</f>
        <v>23250</v>
      </c>
      <c r="F45" s="3"/>
      <c r="G45" s="3">
        <f>+G41-SUM(G42:G44)</f>
        <v>16150</v>
      </c>
    </row>
    <row r="46" spans="1:7" x14ac:dyDescent="0.35">
      <c r="A46" t="s">
        <v>21</v>
      </c>
      <c r="E46" s="4">
        <f>+E45*0.2</f>
        <v>4650</v>
      </c>
      <c r="F46" s="3"/>
      <c r="G46" s="4">
        <f>+G45*0.2</f>
        <v>3230</v>
      </c>
    </row>
    <row r="47" spans="1:7" x14ac:dyDescent="0.35">
      <c r="A47" t="s">
        <v>22</v>
      </c>
      <c r="E47" s="3">
        <f>+E45-E46</f>
        <v>18600</v>
      </c>
      <c r="F47" s="3"/>
      <c r="G47" s="3">
        <f>+G45-G46</f>
        <v>12920</v>
      </c>
    </row>
    <row r="48" spans="1:7" x14ac:dyDescent="0.35">
      <c r="E48" s="3"/>
      <c r="F48" s="3"/>
      <c r="G48" s="3"/>
    </row>
    <row r="49" spans="1:7" x14ac:dyDescent="0.35">
      <c r="E49" s="3"/>
      <c r="F49" s="3"/>
      <c r="G49" s="3"/>
    </row>
    <row r="50" spans="1:7" x14ac:dyDescent="0.35">
      <c r="A50" t="s">
        <v>23</v>
      </c>
    </row>
    <row r="51" spans="1:7" x14ac:dyDescent="0.35">
      <c r="E51" s="5" t="s">
        <v>24</v>
      </c>
      <c r="F51" s="5" t="s">
        <v>25</v>
      </c>
      <c r="G51" s="5" t="s">
        <v>26</v>
      </c>
    </row>
    <row r="52" spans="1:7" x14ac:dyDescent="0.35">
      <c r="A52" t="s">
        <v>69</v>
      </c>
      <c r="E52" s="3">
        <v>2500</v>
      </c>
      <c r="F52" s="3"/>
      <c r="G52" s="3">
        <f>SUM(E52:F52)</f>
        <v>2500</v>
      </c>
    </row>
    <row r="53" spans="1:7" x14ac:dyDescent="0.35">
      <c r="A53" t="s">
        <v>22</v>
      </c>
      <c r="E53" s="3"/>
      <c r="F53" s="3">
        <f>+G47</f>
        <v>12920</v>
      </c>
      <c r="G53" s="3">
        <f>SUM(E53:F53)</f>
        <v>12920</v>
      </c>
    </row>
    <row r="54" spans="1:7" x14ac:dyDescent="0.35">
      <c r="A54" t="s">
        <v>27</v>
      </c>
      <c r="E54" s="4"/>
      <c r="F54" s="4">
        <v>-10000</v>
      </c>
      <c r="G54" s="4">
        <f>SUM(E54:F54)</f>
        <v>-10000</v>
      </c>
    </row>
    <row r="55" spans="1:7" x14ac:dyDescent="0.35">
      <c r="A55" s="2" t="s">
        <v>73</v>
      </c>
      <c r="E55" s="3">
        <f>SUM(E52:E54)</f>
        <v>2500</v>
      </c>
      <c r="F55" s="3">
        <f t="shared" ref="F55:G55" si="0">SUM(F52:F54)</f>
        <v>2920</v>
      </c>
      <c r="G55" s="3">
        <f t="shared" si="0"/>
        <v>5420</v>
      </c>
    </row>
    <row r="56" spans="1:7" x14ac:dyDescent="0.35">
      <c r="A56" t="s">
        <v>22</v>
      </c>
      <c r="E56" s="3"/>
      <c r="F56" s="3">
        <f>+E47</f>
        <v>18600</v>
      </c>
      <c r="G56" s="3">
        <f>SUM(E56:F56)</f>
        <v>18600</v>
      </c>
    </row>
    <row r="57" spans="1:7" x14ac:dyDescent="0.35">
      <c r="A57" t="s">
        <v>27</v>
      </c>
      <c r="E57" s="4"/>
      <c r="F57" s="4">
        <v>-12000</v>
      </c>
      <c r="G57" s="4">
        <f>SUM(E57:F57)</f>
        <v>-12000</v>
      </c>
    </row>
    <row r="58" spans="1:7" x14ac:dyDescent="0.35">
      <c r="A58" s="2" t="s">
        <v>77</v>
      </c>
      <c r="E58" s="3">
        <f>SUM(E55:E57)</f>
        <v>2500</v>
      </c>
      <c r="F58" s="3">
        <f>SUM(F55:F57)</f>
        <v>9520</v>
      </c>
      <c r="G58" s="3">
        <f t="shared" ref="G58" si="1">SUM(G55:G57)</f>
        <v>12020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"/>
  <sheetViews>
    <sheetView workbookViewId="0">
      <selection activeCell="L81" sqref="L81"/>
    </sheetView>
  </sheetViews>
  <sheetFormatPr baseColWidth="10" defaultRowHeight="14.5" x14ac:dyDescent="0.35"/>
  <cols>
    <col min="1" max="1" width="6.81640625" customWidth="1"/>
    <col min="11" max="11" width="24.54296875" customWidth="1"/>
  </cols>
  <sheetData>
    <row r="1" spans="1:11" x14ac:dyDescent="0.35">
      <c r="A1" t="s">
        <v>66</v>
      </c>
      <c r="H1" s="9" t="s">
        <v>30</v>
      </c>
      <c r="I1" s="10"/>
      <c r="J1" s="10"/>
      <c r="K1" s="11"/>
    </row>
    <row r="2" spans="1:11" x14ac:dyDescent="0.35">
      <c r="A2" t="s">
        <v>87</v>
      </c>
      <c r="H2" s="12" t="s">
        <v>69</v>
      </c>
      <c r="I2" s="13"/>
      <c r="J2" s="13" t="s">
        <v>31</v>
      </c>
      <c r="K2" s="14"/>
    </row>
    <row r="3" spans="1:11" x14ac:dyDescent="0.35">
      <c r="A3" t="s">
        <v>67</v>
      </c>
      <c r="H3" s="15" t="s">
        <v>70</v>
      </c>
      <c r="I3" s="13"/>
      <c r="J3" s="13" t="s">
        <v>32</v>
      </c>
      <c r="K3" s="14"/>
    </row>
    <row r="4" spans="1:11" x14ac:dyDescent="0.35">
      <c r="A4" t="s">
        <v>68</v>
      </c>
      <c r="H4" s="16" t="s">
        <v>71</v>
      </c>
      <c r="I4" s="13"/>
      <c r="J4" s="13" t="s">
        <v>33</v>
      </c>
      <c r="K4" s="14"/>
    </row>
    <row r="5" spans="1:11" x14ac:dyDescent="0.35">
      <c r="A5" t="s">
        <v>28</v>
      </c>
      <c r="H5" s="17" t="s">
        <v>72</v>
      </c>
      <c r="I5" s="13"/>
      <c r="J5" s="13" t="s">
        <v>35</v>
      </c>
      <c r="K5" s="14"/>
    </row>
    <row r="6" spans="1:11" x14ac:dyDescent="0.35">
      <c r="A6" t="s">
        <v>29</v>
      </c>
      <c r="H6" s="16" t="s">
        <v>73</v>
      </c>
      <c r="I6" s="13"/>
      <c r="J6" s="13" t="s">
        <v>36</v>
      </c>
      <c r="K6" s="14"/>
    </row>
    <row r="7" spans="1:11" x14ac:dyDescent="0.35">
      <c r="H7" s="12" t="s">
        <v>74</v>
      </c>
      <c r="I7" s="13"/>
      <c r="J7" s="13" t="s">
        <v>34</v>
      </c>
      <c r="K7" s="14"/>
    </row>
    <row r="8" spans="1:11" x14ac:dyDescent="0.35">
      <c r="A8" s="1" t="s">
        <v>12</v>
      </c>
      <c r="H8" s="16" t="s">
        <v>75</v>
      </c>
      <c r="I8" s="13"/>
      <c r="J8" s="13" t="s">
        <v>37</v>
      </c>
      <c r="K8" s="14"/>
    </row>
    <row r="9" spans="1:11" x14ac:dyDescent="0.35">
      <c r="E9" s="28">
        <f>+énoncé!E14</f>
        <v>2021</v>
      </c>
      <c r="G9" s="28">
        <f>+énoncé!G14</f>
        <v>2020</v>
      </c>
      <c r="H9" s="16" t="s">
        <v>76</v>
      </c>
      <c r="I9" s="13"/>
      <c r="J9" s="13" t="s">
        <v>40</v>
      </c>
      <c r="K9" s="14"/>
    </row>
    <row r="10" spans="1:11" x14ac:dyDescent="0.35">
      <c r="H10" s="16" t="s">
        <v>77</v>
      </c>
      <c r="I10" s="13"/>
      <c r="J10" s="13" t="s">
        <v>39</v>
      </c>
      <c r="K10" s="14"/>
    </row>
    <row r="11" spans="1:11" ht="15" thickBot="1" x14ac:dyDescent="0.4">
      <c r="A11" t="s">
        <v>0</v>
      </c>
      <c r="E11" s="3">
        <v>10000</v>
      </c>
      <c r="F11" s="3"/>
      <c r="G11" s="3">
        <v>9000</v>
      </c>
      <c r="H11" s="18" t="s">
        <v>78</v>
      </c>
      <c r="I11" s="19"/>
      <c r="J11" s="19" t="s">
        <v>38</v>
      </c>
      <c r="K11" s="20"/>
    </row>
    <row r="12" spans="1:11" x14ac:dyDescent="0.35">
      <c r="A12" t="s">
        <v>1</v>
      </c>
      <c r="E12" s="3">
        <v>8500</v>
      </c>
      <c r="F12" s="3"/>
      <c r="G12" s="3">
        <v>8000</v>
      </c>
    </row>
    <row r="13" spans="1:11" x14ac:dyDescent="0.35">
      <c r="E13" s="3"/>
      <c r="F13" s="3"/>
      <c r="G13" s="3"/>
    </row>
    <row r="14" spans="1:11" x14ac:dyDescent="0.35">
      <c r="A14" t="s">
        <v>2</v>
      </c>
      <c r="E14" s="3"/>
      <c r="F14" s="3"/>
      <c r="G14" s="3"/>
    </row>
    <row r="15" spans="1:11" x14ac:dyDescent="0.35">
      <c r="B15" t="s">
        <v>3</v>
      </c>
      <c r="D15" s="3">
        <v>15000</v>
      </c>
      <c r="E15" s="3"/>
      <c r="F15" s="3">
        <v>15000</v>
      </c>
      <c r="G15" s="3"/>
    </row>
    <row r="16" spans="1:11" x14ac:dyDescent="0.35">
      <c r="B16" t="s">
        <v>4</v>
      </c>
      <c r="D16" s="4">
        <v>6000</v>
      </c>
      <c r="E16" s="4">
        <f>D15-D16</f>
        <v>9000</v>
      </c>
      <c r="F16" s="4">
        <v>3000</v>
      </c>
      <c r="G16" s="4">
        <f>F15-F16</f>
        <v>12000</v>
      </c>
    </row>
    <row r="17" spans="1:7" x14ac:dyDescent="0.35">
      <c r="E17" s="7">
        <f>SUM(E11:E16)</f>
        <v>27500</v>
      </c>
      <c r="F17" s="3"/>
      <c r="G17" s="7">
        <f>SUM(G11:G16)</f>
        <v>29000</v>
      </c>
    </row>
    <row r="18" spans="1:7" x14ac:dyDescent="0.35">
      <c r="E18" s="3"/>
      <c r="F18" s="3"/>
      <c r="G18" s="3"/>
    </row>
    <row r="19" spans="1:7" x14ac:dyDescent="0.35">
      <c r="A19" t="s">
        <v>5</v>
      </c>
      <c r="E19" s="3">
        <f>+E17-E28-E20-E21-E23</f>
        <v>1480</v>
      </c>
      <c r="F19" s="3"/>
      <c r="G19" s="3">
        <f>+G17-G28-G20-G21-G23</f>
        <v>9080</v>
      </c>
    </row>
    <row r="20" spans="1:7" x14ac:dyDescent="0.35">
      <c r="A20" t="s">
        <v>6</v>
      </c>
      <c r="E20" s="3">
        <v>6000</v>
      </c>
      <c r="F20" s="3"/>
      <c r="G20" s="3">
        <v>5500</v>
      </c>
    </row>
    <row r="21" spans="1:7" x14ac:dyDescent="0.35">
      <c r="A21" t="s">
        <v>7</v>
      </c>
      <c r="E21" s="4">
        <v>1000</v>
      </c>
      <c r="F21" s="3"/>
      <c r="G21" s="4">
        <v>1000</v>
      </c>
    </row>
    <row r="22" spans="1:7" x14ac:dyDescent="0.35">
      <c r="E22" s="3">
        <f>SUM(E19:E21)</f>
        <v>8480</v>
      </c>
      <c r="F22" s="3"/>
      <c r="G22" s="3">
        <f>SUM(G19:G21)</f>
        <v>15580</v>
      </c>
    </row>
    <row r="23" spans="1:7" x14ac:dyDescent="0.35">
      <c r="A23" t="s">
        <v>8</v>
      </c>
      <c r="E23" s="3">
        <v>7000</v>
      </c>
      <c r="F23" s="3"/>
      <c r="G23" s="3">
        <v>8000</v>
      </c>
    </row>
    <row r="24" spans="1:7" x14ac:dyDescent="0.35">
      <c r="E24" s="3"/>
      <c r="F24" s="3"/>
      <c r="G24" s="3"/>
    </row>
    <row r="25" spans="1:7" x14ac:dyDescent="0.35">
      <c r="A25" t="s">
        <v>9</v>
      </c>
      <c r="E25" s="3"/>
      <c r="F25" s="3"/>
      <c r="G25" s="3"/>
    </row>
    <row r="26" spans="1:7" x14ac:dyDescent="0.35">
      <c r="B26" t="s">
        <v>10</v>
      </c>
      <c r="E26" s="3">
        <v>2500</v>
      </c>
      <c r="F26" s="3"/>
      <c r="G26" s="3">
        <v>2500</v>
      </c>
    </row>
    <row r="27" spans="1:7" x14ac:dyDescent="0.35">
      <c r="B27" t="s">
        <v>11</v>
      </c>
      <c r="E27" s="4">
        <f>+F53</f>
        <v>9520</v>
      </c>
      <c r="F27" s="3"/>
      <c r="G27" s="4">
        <f>+F50</f>
        <v>2920</v>
      </c>
    </row>
    <row r="28" spans="1:7" x14ac:dyDescent="0.35">
      <c r="E28" s="8">
        <f>SUM(E26:E27)</f>
        <v>12020</v>
      </c>
      <c r="G28" s="8">
        <f>SUM(G26:G27)</f>
        <v>5420</v>
      </c>
    </row>
    <row r="29" spans="1:7" x14ac:dyDescent="0.35">
      <c r="E29" s="7">
        <f>+E22+E23+E28</f>
        <v>27500</v>
      </c>
      <c r="F29" s="3"/>
      <c r="G29" s="7">
        <f>+G22+G23+G28</f>
        <v>29000</v>
      </c>
    </row>
    <row r="31" spans="1:7" x14ac:dyDescent="0.35">
      <c r="A31" s="1" t="s">
        <v>13</v>
      </c>
    </row>
    <row r="32" spans="1:7" x14ac:dyDescent="0.35">
      <c r="E32" s="27">
        <f>+E9</f>
        <v>2021</v>
      </c>
      <c r="G32" s="27">
        <f>+G9</f>
        <v>2020</v>
      </c>
    </row>
    <row r="34" spans="1:7" x14ac:dyDescent="0.35">
      <c r="A34" t="s">
        <v>14</v>
      </c>
      <c r="E34" s="3">
        <v>120000</v>
      </c>
      <c r="F34" s="3"/>
      <c r="G34" s="3">
        <v>100000</v>
      </c>
    </row>
    <row r="35" spans="1:7" x14ac:dyDescent="0.35">
      <c r="A35" t="s">
        <v>15</v>
      </c>
      <c r="E35" s="4">
        <v>70000</v>
      </c>
      <c r="F35" s="3"/>
      <c r="G35" s="4">
        <v>60000</v>
      </c>
    </row>
    <row r="36" spans="1:7" x14ac:dyDescent="0.35">
      <c r="A36" t="s">
        <v>16</v>
      </c>
      <c r="E36" s="3">
        <f>E34-E35</f>
        <v>50000</v>
      </c>
      <c r="F36" s="3"/>
      <c r="G36" s="3">
        <f>G34-G35</f>
        <v>40000</v>
      </c>
    </row>
    <row r="37" spans="1:7" x14ac:dyDescent="0.35">
      <c r="A37" t="s">
        <v>17</v>
      </c>
      <c r="E37" s="3">
        <v>23000</v>
      </c>
      <c r="F37" s="3"/>
      <c r="G37" s="3">
        <v>20000</v>
      </c>
    </row>
    <row r="38" spans="1:7" x14ac:dyDescent="0.35">
      <c r="A38" t="s">
        <v>18</v>
      </c>
      <c r="E38" s="3">
        <v>750</v>
      </c>
      <c r="F38" s="3"/>
      <c r="G38" s="3">
        <v>850</v>
      </c>
    </row>
    <row r="39" spans="1:7" x14ac:dyDescent="0.35">
      <c r="A39" t="s">
        <v>19</v>
      </c>
      <c r="E39" s="4">
        <v>3000</v>
      </c>
      <c r="F39" s="3"/>
      <c r="G39" s="4">
        <v>3000</v>
      </c>
    </row>
    <row r="40" spans="1:7" x14ac:dyDescent="0.35">
      <c r="A40" t="s">
        <v>20</v>
      </c>
      <c r="E40" s="3">
        <f>+E36-SUM(E37:E39)</f>
        <v>23250</v>
      </c>
      <c r="F40" s="3"/>
      <c r="G40" s="3">
        <f>+G36-SUM(G37:G39)</f>
        <v>16150</v>
      </c>
    </row>
    <row r="41" spans="1:7" x14ac:dyDescent="0.35">
      <c r="A41" t="s">
        <v>21</v>
      </c>
      <c r="E41" s="4">
        <f>+E40*0.2</f>
        <v>4650</v>
      </c>
      <c r="F41" s="3"/>
      <c r="G41" s="4">
        <f>+G40*0.2</f>
        <v>3230</v>
      </c>
    </row>
    <row r="42" spans="1:7" x14ac:dyDescent="0.35">
      <c r="A42" t="s">
        <v>22</v>
      </c>
      <c r="E42" s="3">
        <f>+E40-E41</f>
        <v>18600</v>
      </c>
      <c r="F42" s="3"/>
      <c r="G42" s="3">
        <f>+G40-G41</f>
        <v>12920</v>
      </c>
    </row>
    <row r="43" spans="1:7" x14ac:dyDescent="0.35">
      <c r="E43" s="3"/>
      <c r="F43" s="3"/>
      <c r="G43" s="3"/>
    </row>
    <row r="44" spans="1:7" x14ac:dyDescent="0.35">
      <c r="E44" s="3"/>
      <c r="F44" s="3"/>
      <c r="G44" s="3"/>
    </row>
    <row r="45" spans="1:7" x14ac:dyDescent="0.35">
      <c r="A45" t="s">
        <v>23</v>
      </c>
    </row>
    <row r="46" spans="1:7" x14ac:dyDescent="0.35">
      <c r="E46" s="5" t="s">
        <v>24</v>
      </c>
      <c r="F46" s="5" t="s">
        <v>25</v>
      </c>
      <c r="G46" s="5" t="s">
        <v>26</v>
      </c>
    </row>
    <row r="47" spans="1:7" x14ac:dyDescent="0.35">
      <c r="A47" t="s">
        <v>69</v>
      </c>
      <c r="E47" s="3">
        <v>2500</v>
      </c>
      <c r="F47" s="3"/>
      <c r="G47" s="3">
        <f>SUM(E47:F47)</f>
        <v>2500</v>
      </c>
    </row>
    <row r="48" spans="1:7" x14ac:dyDescent="0.35">
      <c r="A48" t="s">
        <v>22</v>
      </c>
      <c r="E48" s="3"/>
      <c r="F48" s="3">
        <f>+G42</f>
        <v>12920</v>
      </c>
      <c r="G48" s="3">
        <f>SUM(E48:F48)</f>
        <v>12920</v>
      </c>
    </row>
    <row r="49" spans="1:14" x14ac:dyDescent="0.35">
      <c r="A49" t="s">
        <v>27</v>
      </c>
      <c r="E49" s="4"/>
      <c r="F49" s="4">
        <v>-10000</v>
      </c>
      <c r="G49" s="4">
        <f>SUM(E49:F49)</f>
        <v>-10000</v>
      </c>
    </row>
    <row r="50" spans="1:14" x14ac:dyDescent="0.35">
      <c r="A50" s="2" t="s">
        <v>73</v>
      </c>
      <c r="E50" s="3">
        <f>SUM(E47:E49)</f>
        <v>2500</v>
      </c>
      <c r="F50" s="3">
        <f t="shared" ref="F50:G50" si="0">SUM(F47:F49)</f>
        <v>2920</v>
      </c>
      <c r="G50" s="3">
        <f t="shared" si="0"/>
        <v>5420</v>
      </c>
    </row>
    <row r="51" spans="1:14" x14ac:dyDescent="0.35">
      <c r="A51" t="s">
        <v>22</v>
      </c>
      <c r="E51" s="3"/>
      <c r="F51" s="3">
        <f>+E42</f>
        <v>18600</v>
      </c>
      <c r="G51" s="3">
        <f>SUM(E51:F51)</f>
        <v>18600</v>
      </c>
    </row>
    <row r="52" spans="1:14" x14ac:dyDescent="0.35">
      <c r="A52" t="s">
        <v>27</v>
      </c>
      <c r="E52" s="4"/>
      <c r="F52" s="4">
        <v>-12000</v>
      </c>
      <c r="G52" s="4">
        <f>SUM(E52:F52)</f>
        <v>-12000</v>
      </c>
    </row>
    <row r="53" spans="1:14" x14ac:dyDescent="0.35">
      <c r="A53" s="2" t="s">
        <v>77</v>
      </c>
      <c r="E53" s="3">
        <f>SUM(E50:E52)</f>
        <v>2500</v>
      </c>
      <c r="F53" s="3">
        <f>SUM(F50:F52)</f>
        <v>9520</v>
      </c>
      <c r="G53" s="3">
        <f t="shared" ref="G53" si="1">SUM(G50:G52)</f>
        <v>12020</v>
      </c>
    </row>
    <row r="57" spans="1:14" x14ac:dyDescent="0.35">
      <c r="A57" s="1" t="s">
        <v>79</v>
      </c>
    </row>
    <row r="59" spans="1:14" x14ac:dyDescent="0.35">
      <c r="A59" s="1" t="s">
        <v>13</v>
      </c>
    </row>
    <row r="61" spans="1:14" x14ac:dyDescent="0.35">
      <c r="A61" t="s">
        <v>14</v>
      </c>
      <c r="E61" s="3">
        <v>100000</v>
      </c>
      <c r="F61">
        <v>1.23</v>
      </c>
      <c r="G61" s="3">
        <f>+E61*F61</f>
        <v>123000</v>
      </c>
      <c r="J61" t="s">
        <v>42</v>
      </c>
      <c r="L61">
        <v>0</v>
      </c>
      <c r="N61">
        <f>+L61*M61</f>
        <v>0</v>
      </c>
    </row>
    <row r="62" spans="1:14" x14ac:dyDescent="0.35">
      <c r="A62" t="s">
        <v>15</v>
      </c>
      <c r="E62" s="4">
        <v>60000</v>
      </c>
      <c r="F62" t="s">
        <v>41</v>
      </c>
      <c r="G62" s="4">
        <f>+N65</f>
        <v>73720</v>
      </c>
      <c r="J62" t="s">
        <v>43</v>
      </c>
      <c r="L62" s="4">
        <f>+G12</f>
        <v>8000</v>
      </c>
      <c r="M62">
        <v>1.24</v>
      </c>
      <c r="N62" s="4">
        <f>+L62*M62</f>
        <v>9920</v>
      </c>
    </row>
    <row r="63" spans="1:14" x14ac:dyDescent="0.35">
      <c r="A63" t="s">
        <v>16</v>
      </c>
      <c r="E63" s="3">
        <f>E61-E62</f>
        <v>40000</v>
      </c>
      <c r="G63" s="3">
        <f>G61-G62</f>
        <v>49280</v>
      </c>
      <c r="J63" t="s">
        <v>44</v>
      </c>
      <c r="L63" s="3">
        <f>+L61-L62</f>
        <v>-8000</v>
      </c>
      <c r="N63" s="3">
        <f>+N61-N62</f>
        <v>-9920</v>
      </c>
    </row>
    <row r="64" spans="1:14" x14ac:dyDescent="0.35">
      <c r="A64" t="s">
        <v>17</v>
      </c>
      <c r="E64" s="3">
        <v>20000</v>
      </c>
      <c r="F64">
        <v>1.23</v>
      </c>
      <c r="G64" s="3">
        <f>+E64*F64</f>
        <v>24600</v>
      </c>
      <c r="J64" t="s">
        <v>45</v>
      </c>
      <c r="L64" s="3">
        <f>+L65-L63</f>
        <v>68000</v>
      </c>
      <c r="M64">
        <v>1.23</v>
      </c>
      <c r="N64" s="3">
        <f>+L64*M64</f>
        <v>83640</v>
      </c>
    </row>
    <row r="65" spans="1:15" x14ac:dyDescent="0.35">
      <c r="A65" t="s">
        <v>18</v>
      </c>
      <c r="E65" s="3">
        <v>850</v>
      </c>
      <c r="F65">
        <v>1.23</v>
      </c>
      <c r="G65" s="3">
        <f>+E65*F65</f>
        <v>1045.5</v>
      </c>
      <c r="J65" s="1" t="s">
        <v>15</v>
      </c>
      <c r="L65" s="3">
        <f>+E62</f>
        <v>60000</v>
      </c>
      <c r="N65" s="3">
        <f>+N64+N63</f>
        <v>73720</v>
      </c>
    </row>
    <row r="66" spans="1:15" x14ac:dyDescent="0.35">
      <c r="A66" t="s">
        <v>19</v>
      </c>
      <c r="E66" s="22">
        <v>3000</v>
      </c>
      <c r="F66">
        <v>1.21</v>
      </c>
      <c r="G66" s="22">
        <f>+E66*F66</f>
        <v>3630</v>
      </c>
    </row>
    <row r="67" spans="1:15" x14ac:dyDescent="0.35">
      <c r="A67" t="s">
        <v>51</v>
      </c>
      <c r="E67" s="4"/>
      <c r="G67" s="29">
        <f>-N82</f>
        <v>616.59999999999854</v>
      </c>
    </row>
    <row r="68" spans="1:15" x14ac:dyDescent="0.35">
      <c r="A68" t="s">
        <v>20</v>
      </c>
      <c r="E68" s="3">
        <f>+E63-SUM(E64:E66)</f>
        <v>16150</v>
      </c>
      <c r="G68" s="3">
        <f>+G63-SUM(G64:G67)</f>
        <v>19387.900000000001</v>
      </c>
      <c r="J68" s="1" t="s">
        <v>54</v>
      </c>
    </row>
    <row r="69" spans="1:15" x14ac:dyDescent="0.35">
      <c r="A69" t="s">
        <v>21</v>
      </c>
      <c r="E69" s="4">
        <f>+E68*0.2</f>
        <v>3230</v>
      </c>
      <c r="F69">
        <v>1.23</v>
      </c>
      <c r="G69" s="4">
        <f>+E69*F69</f>
        <v>3972.9</v>
      </c>
    </row>
    <row r="70" spans="1:15" x14ac:dyDescent="0.35">
      <c r="A70" t="s">
        <v>22</v>
      </c>
      <c r="E70" s="3">
        <f>+E68-E69</f>
        <v>12920</v>
      </c>
      <c r="G70" s="3">
        <f>+G68-G69</f>
        <v>15415.000000000002</v>
      </c>
      <c r="J70" t="s">
        <v>55</v>
      </c>
      <c r="L70" s="3">
        <f>+E47</f>
        <v>2500</v>
      </c>
      <c r="M70" s="24">
        <v>1.2</v>
      </c>
      <c r="N70" s="3">
        <f>+L70*M70</f>
        <v>3000</v>
      </c>
      <c r="O70" s="21" t="s">
        <v>58</v>
      </c>
    </row>
    <row r="71" spans="1:15" x14ac:dyDescent="0.35">
      <c r="J71" t="s">
        <v>80</v>
      </c>
    </row>
    <row r="72" spans="1:15" x14ac:dyDescent="0.35">
      <c r="A72" s="1" t="s">
        <v>25</v>
      </c>
      <c r="K72" t="s">
        <v>14</v>
      </c>
      <c r="L72" s="3">
        <f>+E61</f>
        <v>100000</v>
      </c>
      <c r="M72">
        <v>1.23</v>
      </c>
      <c r="N72" s="3">
        <f t="shared" ref="N72:N78" si="2">+L72*M72</f>
        <v>123000</v>
      </c>
    </row>
    <row r="73" spans="1:15" x14ac:dyDescent="0.35">
      <c r="K73" t="s">
        <v>45</v>
      </c>
      <c r="L73" s="3">
        <f>-L64</f>
        <v>-68000</v>
      </c>
      <c r="M73" s="25">
        <f>+M64</f>
        <v>1.23</v>
      </c>
      <c r="N73" s="3">
        <f t="shared" si="2"/>
        <v>-83640</v>
      </c>
    </row>
    <row r="74" spans="1:15" x14ac:dyDescent="0.35">
      <c r="A74" t="s">
        <v>46</v>
      </c>
      <c r="E74">
        <v>0</v>
      </c>
      <c r="G74">
        <v>0</v>
      </c>
      <c r="K74" t="s">
        <v>17</v>
      </c>
      <c r="L74" s="3">
        <v>-20000</v>
      </c>
      <c r="M74">
        <v>1.23</v>
      </c>
      <c r="N74" s="3">
        <f t="shared" si="2"/>
        <v>-24600</v>
      </c>
    </row>
    <row r="75" spans="1:15" x14ac:dyDescent="0.35">
      <c r="A75" t="s">
        <v>47</v>
      </c>
      <c r="E75" s="3">
        <f>+E70</f>
        <v>12920</v>
      </c>
      <c r="G75" s="3">
        <f>+G70</f>
        <v>15415.000000000002</v>
      </c>
      <c r="H75" s="21" t="s">
        <v>49</v>
      </c>
      <c r="K75" t="s">
        <v>18</v>
      </c>
      <c r="L75" s="3">
        <f>-E65</f>
        <v>-850</v>
      </c>
      <c r="M75">
        <v>1.23</v>
      </c>
      <c r="N75" s="3">
        <f t="shared" si="2"/>
        <v>-1045.5</v>
      </c>
    </row>
    <row r="76" spans="1:15" x14ac:dyDescent="0.35">
      <c r="A76" t="s">
        <v>27</v>
      </c>
      <c r="E76" s="23">
        <f>+F49</f>
        <v>-10000</v>
      </c>
      <c r="F76">
        <v>1.22</v>
      </c>
      <c r="G76" s="23">
        <f>+E76*F76</f>
        <v>-12200</v>
      </c>
      <c r="K76" t="s">
        <v>21</v>
      </c>
      <c r="L76" s="3">
        <f>-E69</f>
        <v>-3230</v>
      </c>
      <c r="M76">
        <v>1.23</v>
      </c>
      <c r="N76" s="22">
        <f t="shared" si="2"/>
        <v>-3972.9</v>
      </c>
    </row>
    <row r="77" spans="1:15" x14ac:dyDescent="0.35">
      <c r="A77" t="s">
        <v>48</v>
      </c>
      <c r="E77" s="3">
        <f>SUM(E74:E76)</f>
        <v>2920</v>
      </c>
      <c r="F77" s="3"/>
      <c r="G77" s="3">
        <f>SUM(G74:G76)</f>
        <v>3215.0000000000018</v>
      </c>
      <c r="K77" t="s">
        <v>59</v>
      </c>
      <c r="L77" s="3">
        <f>-F15</f>
        <v>-15000</v>
      </c>
      <c r="M77">
        <v>1.21</v>
      </c>
      <c r="N77" s="26">
        <f t="shared" si="2"/>
        <v>-18150</v>
      </c>
    </row>
    <row r="78" spans="1:15" x14ac:dyDescent="0.35">
      <c r="E78" s="3"/>
      <c r="F78" s="3"/>
      <c r="G78" s="3"/>
      <c r="K78" t="s">
        <v>27</v>
      </c>
      <c r="L78" s="3">
        <f>+E76</f>
        <v>-10000</v>
      </c>
      <c r="M78">
        <v>1.22</v>
      </c>
      <c r="N78" s="23">
        <f t="shared" si="2"/>
        <v>-12200</v>
      </c>
    </row>
    <row r="79" spans="1:15" x14ac:dyDescent="0.35">
      <c r="A79" s="1" t="s">
        <v>50</v>
      </c>
      <c r="E79" s="3"/>
      <c r="F79" s="3"/>
      <c r="G79" s="3"/>
      <c r="N79" s="3">
        <f>SUM(N72:N78)</f>
        <v>-20608.400000000001</v>
      </c>
    </row>
    <row r="80" spans="1:15" x14ac:dyDescent="0.35">
      <c r="G80" s="3"/>
      <c r="J80" t="s">
        <v>56</v>
      </c>
      <c r="N80" s="3">
        <f>+N70+N79</f>
        <v>-17608.400000000001</v>
      </c>
    </row>
    <row r="81" spans="1:14" x14ac:dyDescent="0.35">
      <c r="A81" t="s">
        <v>0</v>
      </c>
      <c r="E81" s="3">
        <v>9000</v>
      </c>
      <c r="F81">
        <v>1.25</v>
      </c>
      <c r="G81" s="3">
        <f>+E81*F81</f>
        <v>11250</v>
      </c>
      <c r="J81" t="s">
        <v>88</v>
      </c>
      <c r="L81" s="3">
        <f>+G11-G19-G20-G21-G23</f>
        <v>-14580</v>
      </c>
      <c r="M81">
        <v>1.25</v>
      </c>
      <c r="N81" s="4">
        <f>+L81*M81</f>
        <v>-18225</v>
      </c>
    </row>
    <row r="82" spans="1:14" x14ac:dyDescent="0.35">
      <c r="A82" t="s">
        <v>1</v>
      </c>
      <c r="E82" s="3">
        <v>8000</v>
      </c>
      <c r="F82">
        <v>1.24</v>
      </c>
      <c r="G82" s="3">
        <f>+E82*F82</f>
        <v>9920</v>
      </c>
      <c r="J82" t="s">
        <v>57</v>
      </c>
      <c r="N82" s="30">
        <f>+N81-N80</f>
        <v>-616.59999999999854</v>
      </c>
    </row>
    <row r="83" spans="1:14" x14ac:dyDescent="0.35">
      <c r="E83" s="3"/>
    </row>
    <row r="84" spans="1:14" x14ac:dyDescent="0.35">
      <c r="A84" t="s">
        <v>52</v>
      </c>
      <c r="E84" s="4">
        <f>+G16</f>
        <v>12000</v>
      </c>
      <c r="F84">
        <v>1.21</v>
      </c>
      <c r="G84" s="4">
        <f>+E84*F84</f>
        <v>14520</v>
      </c>
    </row>
    <row r="85" spans="1:14" x14ac:dyDescent="0.35">
      <c r="E85" s="7">
        <f>SUM(E81:E84)</f>
        <v>29000</v>
      </c>
      <c r="G85" s="7">
        <f>SUM(G81:G84)</f>
        <v>35690</v>
      </c>
    </row>
    <row r="86" spans="1:14" x14ac:dyDescent="0.35">
      <c r="E86" s="3"/>
    </row>
    <row r="87" spans="1:14" x14ac:dyDescent="0.35">
      <c r="A87" t="s">
        <v>5</v>
      </c>
      <c r="E87" s="3">
        <f>+G19</f>
        <v>9080</v>
      </c>
      <c r="F87">
        <v>1.25</v>
      </c>
      <c r="G87" s="3">
        <f>+E87*F87</f>
        <v>11350</v>
      </c>
    </row>
    <row r="88" spans="1:14" x14ac:dyDescent="0.35">
      <c r="A88" t="s">
        <v>6</v>
      </c>
      <c r="E88" s="3">
        <v>5500</v>
      </c>
      <c r="F88">
        <v>1.25</v>
      </c>
      <c r="G88" s="3">
        <f>+E88*F88</f>
        <v>6875</v>
      </c>
    </row>
    <row r="89" spans="1:14" x14ac:dyDescent="0.35">
      <c r="A89" t="s">
        <v>7</v>
      </c>
      <c r="E89" s="4">
        <v>1000</v>
      </c>
      <c r="F89">
        <v>1.25</v>
      </c>
      <c r="G89" s="4">
        <f>+E89*F89</f>
        <v>1250</v>
      </c>
    </row>
    <row r="90" spans="1:14" x14ac:dyDescent="0.35">
      <c r="E90" s="3">
        <f>SUM(E87:E89)</f>
        <v>15580</v>
      </c>
      <c r="G90" s="3">
        <f>SUM(G87:G89)</f>
        <v>19475</v>
      </c>
    </row>
    <row r="91" spans="1:14" x14ac:dyDescent="0.35">
      <c r="A91" t="s">
        <v>8</v>
      </c>
      <c r="E91" s="3">
        <v>8000</v>
      </c>
      <c r="F91">
        <v>1.25</v>
      </c>
      <c r="G91" s="3">
        <f>+E91*F91</f>
        <v>10000</v>
      </c>
    </row>
    <row r="92" spans="1:14" x14ac:dyDescent="0.35">
      <c r="E92" s="3"/>
    </row>
    <row r="93" spans="1:14" x14ac:dyDescent="0.35">
      <c r="A93" t="s">
        <v>9</v>
      </c>
      <c r="E93" s="3"/>
    </row>
    <row r="94" spans="1:14" x14ac:dyDescent="0.35">
      <c r="B94" t="s">
        <v>10</v>
      </c>
      <c r="E94" s="3">
        <v>2500</v>
      </c>
      <c r="F94" s="24">
        <v>1.2</v>
      </c>
      <c r="G94" s="3">
        <f>+E94*F94</f>
        <v>3000</v>
      </c>
    </row>
    <row r="95" spans="1:14" x14ac:dyDescent="0.35">
      <c r="B95" t="s">
        <v>11</v>
      </c>
      <c r="E95" s="4">
        <f>+F50</f>
        <v>2920</v>
      </c>
      <c r="F95" t="s">
        <v>53</v>
      </c>
      <c r="G95" s="4">
        <f>+G77</f>
        <v>3215.0000000000018</v>
      </c>
    </row>
    <row r="96" spans="1:14" x14ac:dyDescent="0.35">
      <c r="E96" s="8">
        <f>SUM(E94:E95)</f>
        <v>5420</v>
      </c>
      <c r="G96" s="8">
        <f>SUM(G94:G95)</f>
        <v>6215.0000000000018</v>
      </c>
    </row>
    <row r="97" spans="1:14" x14ac:dyDescent="0.35">
      <c r="E97" s="7">
        <f>+E90+E91+E96</f>
        <v>29000</v>
      </c>
      <c r="G97" s="7">
        <f>+G90+G91+G96</f>
        <v>35690</v>
      </c>
      <c r="I97" s="3"/>
    </row>
    <row r="98" spans="1:14" x14ac:dyDescent="0.35">
      <c r="G98" s="3"/>
    </row>
    <row r="101" spans="1:14" x14ac:dyDescent="0.35">
      <c r="A101" s="1" t="s">
        <v>85</v>
      </c>
    </row>
    <row r="103" spans="1:14" x14ac:dyDescent="0.35">
      <c r="A103" s="1" t="s">
        <v>13</v>
      </c>
    </row>
    <row r="105" spans="1:14" x14ac:dyDescent="0.35">
      <c r="A105" t="s">
        <v>14</v>
      </c>
      <c r="E105" s="3">
        <f>+E34</f>
        <v>120000</v>
      </c>
      <c r="F105">
        <v>1.27</v>
      </c>
      <c r="G105" s="3">
        <f>+E105*F105</f>
        <v>152400</v>
      </c>
      <c r="J105" t="s">
        <v>42</v>
      </c>
      <c r="L105" s="3">
        <f>+G12</f>
        <v>8000</v>
      </c>
      <c r="M105">
        <v>1.24</v>
      </c>
      <c r="N105">
        <f>+L105*M105</f>
        <v>9920</v>
      </c>
    </row>
    <row r="106" spans="1:14" x14ac:dyDescent="0.35">
      <c r="A106" t="s">
        <v>15</v>
      </c>
      <c r="E106" s="4">
        <f>+E35</f>
        <v>70000</v>
      </c>
      <c r="F106" t="s">
        <v>41</v>
      </c>
      <c r="G106" s="4">
        <f>+N109</f>
        <v>88575</v>
      </c>
      <c r="J106" t="s">
        <v>43</v>
      </c>
      <c r="L106" s="4">
        <f>+E12</f>
        <v>8500</v>
      </c>
      <c r="M106">
        <v>1.28</v>
      </c>
      <c r="N106" s="4">
        <f>+L106*M106</f>
        <v>10880</v>
      </c>
    </row>
    <row r="107" spans="1:14" x14ac:dyDescent="0.35">
      <c r="A107" t="s">
        <v>16</v>
      </c>
      <c r="E107" s="3">
        <f>E105-E106</f>
        <v>50000</v>
      </c>
      <c r="G107" s="3">
        <f>G105-G106</f>
        <v>63825</v>
      </c>
      <c r="J107" t="s">
        <v>44</v>
      </c>
      <c r="L107" s="3">
        <f>+L105-L106</f>
        <v>-500</v>
      </c>
      <c r="N107" s="3">
        <f>+N105-N106</f>
        <v>-960</v>
      </c>
    </row>
    <row r="108" spans="1:14" x14ac:dyDescent="0.35">
      <c r="A108" t="s">
        <v>17</v>
      </c>
      <c r="E108" s="3">
        <v>23000</v>
      </c>
      <c r="F108">
        <v>1.27</v>
      </c>
      <c r="G108" s="3">
        <f>+E108*F108</f>
        <v>29210</v>
      </c>
      <c r="J108" t="s">
        <v>45</v>
      </c>
      <c r="L108" s="3">
        <f>+L109-L107</f>
        <v>70500</v>
      </c>
      <c r="M108">
        <v>1.27</v>
      </c>
      <c r="N108" s="3">
        <f>+L108*M108</f>
        <v>89535</v>
      </c>
    </row>
    <row r="109" spans="1:14" x14ac:dyDescent="0.35">
      <c r="A109" t="s">
        <v>18</v>
      </c>
      <c r="E109" s="3">
        <v>750</v>
      </c>
      <c r="F109">
        <v>1.27</v>
      </c>
      <c r="G109" s="3">
        <f>+E109*F109</f>
        <v>952.5</v>
      </c>
      <c r="J109" s="1" t="s">
        <v>15</v>
      </c>
      <c r="L109" s="3">
        <f>+E106</f>
        <v>70000</v>
      </c>
      <c r="N109" s="3">
        <f>+N108+N107</f>
        <v>88575</v>
      </c>
    </row>
    <row r="110" spans="1:14" x14ac:dyDescent="0.35">
      <c r="A110" t="s">
        <v>19</v>
      </c>
      <c r="E110" s="22">
        <v>3000</v>
      </c>
      <c r="F110">
        <v>1.21</v>
      </c>
      <c r="G110" s="22">
        <f>+E110*F110</f>
        <v>3630</v>
      </c>
    </row>
    <row r="111" spans="1:14" x14ac:dyDescent="0.35">
      <c r="A111" t="s">
        <v>51</v>
      </c>
      <c r="E111" s="4"/>
      <c r="G111" s="4">
        <f>-N126</f>
        <v>521.19999999999982</v>
      </c>
    </row>
    <row r="112" spans="1:14" x14ac:dyDescent="0.35">
      <c r="A112" t="s">
        <v>20</v>
      </c>
      <c r="E112" s="3">
        <f>+E107-SUM(E108:E110)</f>
        <v>23250</v>
      </c>
      <c r="G112" s="3">
        <f>+G107-SUM(G108:G111)</f>
        <v>29511.300000000003</v>
      </c>
      <c r="J112" s="1" t="s">
        <v>54</v>
      </c>
    </row>
    <row r="113" spans="1:15" x14ac:dyDescent="0.35">
      <c r="A113" t="s">
        <v>21</v>
      </c>
      <c r="E113" s="4">
        <f>+E112*0.2</f>
        <v>4650</v>
      </c>
      <c r="F113">
        <v>1.27</v>
      </c>
      <c r="G113" s="4">
        <f>+E113*F113</f>
        <v>5905.5</v>
      </c>
    </row>
    <row r="114" spans="1:15" x14ac:dyDescent="0.35">
      <c r="A114" t="s">
        <v>22</v>
      </c>
      <c r="E114" s="3">
        <f>+E112-E113</f>
        <v>18600</v>
      </c>
      <c r="G114" s="3">
        <f>+G112-G113</f>
        <v>23605.800000000003</v>
      </c>
      <c r="J114" t="s">
        <v>55</v>
      </c>
      <c r="L114" s="3">
        <f>+G11-G19-G20-G21-G23</f>
        <v>-14580</v>
      </c>
      <c r="M114">
        <v>1.25</v>
      </c>
      <c r="N114" s="22">
        <f>+L114*M114</f>
        <v>-18225</v>
      </c>
      <c r="O114" s="21"/>
    </row>
    <row r="115" spans="1:15" x14ac:dyDescent="0.35">
      <c r="J115" t="s">
        <v>86</v>
      </c>
    </row>
    <row r="116" spans="1:15" x14ac:dyDescent="0.35">
      <c r="A116" s="1" t="s">
        <v>25</v>
      </c>
      <c r="K116" t="s">
        <v>14</v>
      </c>
      <c r="L116" s="3">
        <f>+E105</f>
        <v>120000</v>
      </c>
      <c r="M116">
        <f>+F105</f>
        <v>1.27</v>
      </c>
      <c r="N116" s="3">
        <f>+L116*M116</f>
        <v>152400</v>
      </c>
    </row>
    <row r="117" spans="1:15" x14ac:dyDescent="0.35">
      <c r="K117" t="s">
        <v>45</v>
      </c>
      <c r="L117" s="3">
        <f>-L108</f>
        <v>-70500</v>
      </c>
      <c r="M117" s="25">
        <f>+M108</f>
        <v>1.27</v>
      </c>
      <c r="N117" s="3">
        <f>+L117*M117</f>
        <v>-89535</v>
      </c>
    </row>
    <row r="118" spans="1:15" x14ac:dyDescent="0.35">
      <c r="A118" t="s">
        <v>46</v>
      </c>
      <c r="E118" s="3">
        <f>+E77</f>
        <v>2920</v>
      </c>
      <c r="G118" s="3">
        <f>+G77</f>
        <v>3215.0000000000018</v>
      </c>
      <c r="K118" t="s">
        <v>17</v>
      </c>
      <c r="L118" s="3">
        <f>-E108</f>
        <v>-23000</v>
      </c>
      <c r="M118">
        <v>1.27</v>
      </c>
      <c r="N118" s="3">
        <f>+L118*M118</f>
        <v>-29210</v>
      </c>
    </row>
    <row r="119" spans="1:15" x14ac:dyDescent="0.35">
      <c r="A119" t="s">
        <v>47</v>
      </c>
      <c r="E119" s="3">
        <f>+E114</f>
        <v>18600</v>
      </c>
      <c r="G119" s="3">
        <f>+G114</f>
        <v>23605.800000000003</v>
      </c>
      <c r="H119" s="21" t="s">
        <v>49</v>
      </c>
      <c r="K119" t="s">
        <v>18</v>
      </c>
      <c r="L119" s="3">
        <f>-E109</f>
        <v>-750</v>
      </c>
      <c r="M119">
        <f>+F108</f>
        <v>1.27</v>
      </c>
      <c r="N119" s="3">
        <f>+L119*M119</f>
        <v>-952.5</v>
      </c>
    </row>
    <row r="120" spans="1:15" x14ac:dyDescent="0.35">
      <c r="A120" t="s">
        <v>27</v>
      </c>
      <c r="E120" s="23">
        <f>F52</f>
        <v>-12000</v>
      </c>
      <c r="F120">
        <v>1.26</v>
      </c>
      <c r="G120" s="23">
        <f>+E120*F120</f>
        <v>-15120</v>
      </c>
      <c r="K120" t="s">
        <v>21</v>
      </c>
      <c r="L120" s="3">
        <f>-E113</f>
        <v>-4650</v>
      </c>
      <c r="M120">
        <f>+F109</f>
        <v>1.27</v>
      </c>
      <c r="N120" s="22">
        <f>+L120*M120</f>
        <v>-5905.5</v>
      </c>
    </row>
    <row r="121" spans="1:15" x14ac:dyDescent="0.35">
      <c r="A121" t="s">
        <v>48</v>
      </c>
      <c r="E121" s="3">
        <f>SUM(E118:E120)</f>
        <v>9520</v>
      </c>
      <c r="F121" s="3"/>
      <c r="G121" s="3">
        <f>SUM(G118:G120)</f>
        <v>11700.800000000003</v>
      </c>
      <c r="L121" s="3"/>
      <c r="N121" s="26"/>
    </row>
    <row r="122" spans="1:15" x14ac:dyDescent="0.35">
      <c r="E122" s="3"/>
      <c r="F122" s="3"/>
      <c r="G122" s="3"/>
      <c r="K122" t="s">
        <v>27</v>
      </c>
      <c r="L122" s="3">
        <f>F52</f>
        <v>-12000</v>
      </c>
      <c r="M122">
        <v>1.26</v>
      </c>
      <c r="N122" s="23">
        <f>+L122*M122</f>
        <v>-15120</v>
      </c>
    </row>
    <row r="123" spans="1:15" x14ac:dyDescent="0.35">
      <c r="A123" s="1" t="s">
        <v>50</v>
      </c>
      <c r="E123" s="3"/>
      <c r="F123" s="3"/>
      <c r="G123" s="3"/>
      <c r="N123" s="3">
        <f>SUM(N116:N122)</f>
        <v>11677</v>
      </c>
    </row>
    <row r="124" spans="1:15" x14ac:dyDescent="0.35">
      <c r="G124" s="3"/>
      <c r="J124" t="s">
        <v>56</v>
      </c>
      <c r="N124" s="3">
        <f>+N114+N123</f>
        <v>-6548</v>
      </c>
    </row>
    <row r="125" spans="1:15" x14ac:dyDescent="0.35">
      <c r="A125" t="s">
        <v>0</v>
      </c>
      <c r="E125" s="3">
        <f>+E11</f>
        <v>10000</v>
      </c>
      <c r="F125">
        <v>1.29</v>
      </c>
      <c r="G125" s="3">
        <f>+E125*F125</f>
        <v>12900</v>
      </c>
      <c r="J125" t="s">
        <v>93</v>
      </c>
      <c r="L125" s="3">
        <f>+E125-E131-E132-E133-E135</f>
        <v>-5480</v>
      </c>
      <c r="M125">
        <v>1.29</v>
      </c>
      <c r="N125" s="4">
        <f>+L125*M125</f>
        <v>-7069.2</v>
      </c>
    </row>
    <row r="126" spans="1:15" x14ac:dyDescent="0.35">
      <c r="A126" t="s">
        <v>1</v>
      </c>
      <c r="E126" s="3">
        <f>+E12</f>
        <v>8500</v>
      </c>
      <c r="F126">
        <v>1.28</v>
      </c>
      <c r="G126" s="3">
        <f>+E126*F126</f>
        <v>10880</v>
      </c>
      <c r="J126" t="s">
        <v>57</v>
      </c>
      <c r="N126" s="3">
        <f>+N125-N124</f>
        <v>-521.19999999999982</v>
      </c>
    </row>
    <row r="127" spans="1:15" x14ac:dyDescent="0.35">
      <c r="E127" s="3"/>
    </row>
    <row r="128" spans="1:15" x14ac:dyDescent="0.35">
      <c r="A128" t="s">
        <v>52</v>
      </c>
      <c r="E128" s="4">
        <f>+E16</f>
        <v>9000</v>
      </c>
      <c r="F128">
        <v>1.21</v>
      </c>
      <c r="G128" s="4">
        <f>+E128*F128</f>
        <v>10890</v>
      </c>
    </row>
    <row r="129" spans="1:9" x14ac:dyDescent="0.35">
      <c r="E129" s="7">
        <f>SUM(E125:E128)</f>
        <v>27500</v>
      </c>
      <c r="G129" s="7">
        <f>SUM(G125:G128)</f>
        <v>34670</v>
      </c>
    </row>
    <row r="130" spans="1:9" x14ac:dyDescent="0.35">
      <c r="E130" s="3"/>
    </row>
    <row r="131" spans="1:9" x14ac:dyDescent="0.35">
      <c r="A131" t="s">
        <v>5</v>
      </c>
      <c r="E131" s="3">
        <f>+E19</f>
        <v>1480</v>
      </c>
      <c r="F131">
        <v>1.29</v>
      </c>
      <c r="G131" s="3">
        <f>+E131*F131</f>
        <v>1909.2</v>
      </c>
    </row>
    <row r="132" spans="1:9" x14ac:dyDescent="0.35">
      <c r="A132" t="s">
        <v>6</v>
      </c>
      <c r="E132" s="3">
        <f>+E20</f>
        <v>6000</v>
      </c>
      <c r="F132">
        <v>1.29</v>
      </c>
      <c r="G132" s="3">
        <f>+E132*F132</f>
        <v>7740</v>
      </c>
    </row>
    <row r="133" spans="1:9" x14ac:dyDescent="0.35">
      <c r="A133" t="s">
        <v>7</v>
      </c>
      <c r="E133" s="4">
        <f>+E21</f>
        <v>1000</v>
      </c>
      <c r="F133">
        <v>1.29</v>
      </c>
      <c r="G133" s="4">
        <f>+E133*F133</f>
        <v>1290</v>
      </c>
    </row>
    <row r="134" spans="1:9" x14ac:dyDescent="0.35">
      <c r="E134" s="3">
        <f>SUM(E131:E133)</f>
        <v>8480</v>
      </c>
      <c r="G134" s="3">
        <f>SUM(G131:G133)</f>
        <v>10939.2</v>
      </c>
    </row>
    <row r="135" spans="1:9" x14ac:dyDescent="0.35">
      <c r="A135" t="s">
        <v>8</v>
      </c>
      <c r="E135" s="3">
        <f>+E23</f>
        <v>7000</v>
      </c>
      <c r="F135">
        <v>1.29</v>
      </c>
      <c r="G135" s="3">
        <f>+E135*F135</f>
        <v>9030</v>
      </c>
    </row>
    <row r="136" spans="1:9" x14ac:dyDescent="0.35">
      <c r="E136" s="3"/>
    </row>
    <row r="137" spans="1:9" x14ac:dyDescent="0.35">
      <c r="A137" t="s">
        <v>9</v>
      </c>
      <c r="E137" s="3"/>
    </row>
    <row r="138" spans="1:9" x14ac:dyDescent="0.35">
      <c r="B138" t="s">
        <v>10</v>
      </c>
      <c r="E138" s="3">
        <v>2500</v>
      </c>
      <c r="F138" s="24">
        <v>1.2</v>
      </c>
      <c r="G138" s="3">
        <f>+E138*F138</f>
        <v>3000</v>
      </c>
    </row>
    <row r="139" spans="1:9" x14ac:dyDescent="0.35">
      <c r="B139" t="s">
        <v>11</v>
      </c>
      <c r="E139" s="4">
        <f>+E27</f>
        <v>9520</v>
      </c>
      <c r="F139" t="s">
        <v>53</v>
      </c>
      <c r="G139" s="4">
        <f>+G121</f>
        <v>11700.800000000003</v>
      </c>
    </row>
    <row r="140" spans="1:9" x14ac:dyDescent="0.35">
      <c r="E140" s="8">
        <f>SUM(E138:E139)</f>
        <v>12020</v>
      </c>
      <c r="G140" s="8">
        <f>SUM(G138:G139)</f>
        <v>14700.800000000003</v>
      </c>
    </row>
    <row r="141" spans="1:9" x14ac:dyDescent="0.35">
      <c r="E141" s="7">
        <f>+E134+E135+E140</f>
        <v>27500</v>
      </c>
      <c r="G141" s="7">
        <f>+G134+G135+G140</f>
        <v>34670</v>
      </c>
      <c r="I141" s="3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5"/>
  <sheetViews>
    <sheetView topLeftCell="A46" workbookViewId="0">
      <selection activeCell="F82" sqref="F82"/>
    </sheetView>
  </sheetViews>
  <sheetFormatPr baseColWidth="10" defaultRowHeight="14.5" x14ac:dyDescent="0.35"/>
  <cols>
    <col min="1" max="1" width="6.81640625" customWidth="1"/>
  </cols>
  <sheetData>
    <row r="1" spans="1:11" x14ac:dyDescent="0.35">
      <c r="A1" t="s">
        <v>66</v>
      </c>
      <c r="H1" s="9" t="s">
        <v>30</v>
      </c>
      <c r="I1" s="10"/>
      <c r="J1" s="10"/>
      <c r="K1" s="11"/>
    </row>
    <row r="2" spans="1:11" x14ac:dyDescent="0.35">
      <c r="A2" t="s">
        <v>87</v>
      </c>
      <c r="H2" s="12" t="s">
        <v>69</v>
      </c>
      <c r="I2" s="13"/>
      <c r="J2" s="13" t="s">
        <v>31</v>
      </c>
      <c r="K2" s="14"/>
    </row>
    <row r="3" spans="1:11" x14ac:dyDescent="0.35">
      <c r="A3" t="s">
        <v>67</v>
      </c>
      <c r="H3" s="15" t="s">
        <v>70</v>
      </c>
      <c r="I3" s="13"/>
      <c r="J3" s="13" t="s">
        <v>32</v>
      </c>
      <c r="K3" s="14"/>
    </row>
    <row r="4" spans="1:11" x14ac:dyDescent="0.35">
      <c r="A4" t="s">
        <v>68</v>
      </c>
      <c r="H4" s="16" t="s">
        <v>71</v>
      </c>
      <c r="I4" s="13"/>
      <c r="J4" s="13" t="s">
        <v>33</v>
      </c>
      <c r="K4" s="14"/>
    </row>
    <row r="5" spans="1:11" x14ac:dyDescent="0.35">
      <c r="A5" t="s">
        <v>28</v>
      </c>
      <c r="H5" s="17" t="s">
        <v>72</v>
      </c>
      <c r="I5" s="13"/>
      <c r="J5" s="13" t="s">
        <v>35</v>
      </c>
      <c r="K5" s="14"/>
    </row>
    <row r="6" spans="1:11" x14ac:dyDescent="0.35">
      <c r="A6" t="s">
        <v>29</v>
      </c>
      <c r="H6" s="16" t="s">
        <v>73</v>
      </c>
      <c r="I6" s="13"/>
      <c r="J6" s="13" t="s">
        <v>36</v>
      </c>
      <c r="K6" s="14"/>
    </row>
    <row r="7" spans="1:11" x14ac:dyDescent="0.35">
      <c r="H7" s="12" t="s">
        <v>74</v>
      </c>
      <c r="I7" s="13"/>
      <c r="J7" s="13" t="s">
        <v>34</v>
      </c>
      <c r="K7" s="14"/>
    </row>
    <row r="8" spans="1:11" x14ac:dyDescent="0.35">
      <c r="A8" s="1" t="s">
        <v>12</v>
      </c>
      <c r="H8" s="16" t="s">
        <v>75</v>
      </c>
      <c r="I8" s="13"/>
      <c r="J8" s="13" t="s">
        <v>37</v>
      </c>
      <c r="K8" s="14"/>
    </row>
    <row r="9" spans="1:11" x14ac:dyDescent="0.35">
      <c r="E9" s="27">
        <f>+énoncé!E14</f>
        <v>2021</v>
      </c>
      <c r="G9" s="27">
        <f>+énoncé!G14</f>
        <v>2020</v>
      </c>
      <c r="H9" s="16" t="s">
        <v>76</v>
      </c>
      <c r="I9" s="13"/>
      <c r="J9" s="13" t="s">
        <v>40</v>
      </c>
      <c r="K9" s="14"/>
    </row>
    <row r="10" spans="1:11" x14ac:dyDescent="0.35">
      <c r="H10" s="16" t="s">
        <v>77</v>
      </c>
      <c r="I10" s="13"/>
      <c r="J10" s="13" t="s">
        <v>39</v>
      </c>
      <c r="K10" s="14"/>
    </row>
    <row r="11" spans="1:11" ht="15" thickBot="1" x14ac:dyDescent="0.4">
      <c r="A11" t="s">
        <v>0</v>
      </c>
      <c r="E11" s="3">
        <v>10000</v>
      </c>
      <c r="F11" s="3"/>
      <c r="G11" s="3">
        <v>9000</v>
      </c>
      <c r="H11" s="18" t="s">
        <v>78</v>
      </c>
      <c r="I11" s="19"/>
      <c r="J11" s="19" t="s">
        <v>38</v>
      </c>
      <c r="K11" s="20"/>
    </row>
    <row r="12" spans="1:11" x14ac:dyDescent="0.35">
      <c r="A12" t="s">
        <v>1</v>
      </c>
      <c r="E12" s="3">
        <v>8500</v>
      </c>
      <c r="F12" s="3"/>
      <c r="G12" s="3">
        <v>8000</v>
      </c>
    </row>
    <row r="13" spans="1:11" x14ac:dyDescent="0.35">
      <c r="E13" s="3"/>
      <c r="F13" s="3"/>
      <c r="G13" s="3"/>
    </row>
    <row r="14" spans="1:11" x14ac:dyDescent="0.35">
      <c r="A14" t="s">
        <v>2</v>
      </c>
      <c r="E14" s="3"/>
      <c r="F14" s="3"/>
      <c r="G14" s="3"/>
    </row>
    <row r="15" spans="1:11" x14ac:dyDescent="0.35">
      <c r="B15" t="s">
        <v>3</v>
      </c>
      <c r="D15" s="3">
        <v>15000</v>
      </c>
      <c r="E15" s="3"/>
      <c r="F15" s="3">
        <v>15000</v>
      </c>
      <c r="G15" s="3"/>
    </row>
    <row r="16" spans="1:11" x14ac:dyDescent="0.35">
      <c r="B16" t="s">
        <v>4</v>
      </c>
      <c r="D16" s="4">
        <v>6000</v>
      </c>
      <c r="E16" s="4">
        <f>D15-D16</f>
        <v>9000</v>
      </c>
      <c r="F16" s="4">
        <v>3000</v>
      </c>
      <c r="G16" s="4">
        <f>F15-F16</f>
        <v>12000</v>
      </c>
    </row>
    <row r="17" spans="1:7" x14ac:dyDescent="0.35">
      <c r="E17" s="7">
        <f>SUM(E11:E16)</f>
        <v>27500</v>
      </c>
      <c r="F17" s="3"/>
      <c r="G17" s="7">
        <f>SUM(G11:G16)</f>
        <v>29000</v>
      </c>
    </row>
    <row r="18" spans="1:7" x14ac:dyDescent="0.35">
      <c r="E18" s="3"/>
      <c r="F18" s="3"/>
      <c r="G18" s="3"/>
    </row>
    <row r="19" spans="1:7" x14ac:dyDescent="0.35">
      <c r="A19" t="s">
        <v>5</v>
      </c>
      <c r="E19" s="3">
        <f>+E17-E28-E20-E21-E23</f>
        <v>1480</v>
      </c>
      <c r="F19" s="3"/>
      <c r="G19" s="3">
        <f>+G17-G28-G20-G21-G23</f>
        <v>9080</v>
      </c>
    </row>
    <row r="20" spans="1:7" x14ac:dyDescent="0.35">
      <c r="A20" t="s">
        <v>6</v>
      </c>
      <c r="E20" s="3">
        <v>6000</v>
      </c>
      <c r="F20" s="3"/>
      <c r="G20" s="3">
        <v>5500</v>
      </c>
    </row>
    <row r="21" spans="1:7" x14ac:dyDescent="0.35">
      <c r="A21" t="s">
        <v>7</v>
      </c>
      <c r="E21" s="4">
        <v>1000</v>
      </c>
      <c r="F21" s="3"/>
      <c r="G21" s="4">
        <v>1000</v>
      </c>
    </row>
    <row r="22" spans="1:7" x14ac:dyDescent="0.35">
      <c r="E22" s="3">
        <f>SUM(E19:E21)</f>
        <v>8480</v>
      </c>
      <c r="F22" s="3"/>
      <c r="G22" s="3">
        <f>SUM(G19:G21)</f>
        <v>15580</v>
      </c>
    </row>
    <row r="23" spans="1:7" x14ac:dyDescent="0.35">
      <c r="A23" t="s">
        <v>8</v>
      </c>
      <c r="E23" s="3">
        <v>7000</v>
      </c>
      <c r="F23" s="3"/>
      <c r="G23" s="3">
        <v>8000</v>
      </c>
    </row>
    <row r="24" spans="1:7" x14ac:dyDescent="0.35">
      <c r="E24" s="3"/>
      <c r="F24" s="3"/>
      <c r="G24" s="3"/>
    </row>
    <row r="25" spans="1:7" x14ac:dyDescent="0.35">
      <c r="A25" t="s">
        <v>9</v>
      </c>
      <c r="E25" s="3"/>
      <c r="F25" s="3"/>
      <c r="G25" s="3"/>
    </row>
    <row r="26" spans="1:7" x14ac:dyDescent="0.35">
      <c r="B26" t="s">
        <v>10</v>
      </c>
      <c r="E26" s="3">
        <v>2500</v>
      </c>
      <c r="F26" s="3"/>
      <c r="G26" s="3">
        <v>2500</v>
      </c>
    </row>
    <row r="27" spans="1:7" x14ac:dyDescent="0.35">
      <c r="B27" t="s">
        <v>11</v>
      </c>
      <c r="E27" s="4">
        <f>+F53</f>
        <v>9520</v>
      </c>
      <c r="F27" s="3"/>
      <c r="G27" s="4">
        <f>+F50</f>
        <v>2920</v>
      </c>
    </row>
    <row r="28" spans="1:7" x14ac:dyDescent="0.35">
      <c r="E28" s="8">
        <f>SUM(E26:E27)</f>
        <v>12020</v>
      </c>
      <c r="G28" s="8">
        <f>SUM(G26:G27)</f>
        <v>5420</v>
      </c>
    </row>
    <row r="29" spans="1:7" x14ac:dyDescent="0.35">
      <c r="E29" s="7">
        <f>+E22+E23+E28</f>
        <v>27500</v>
      </c>
      <c r="F29" s="3"/>
      <c r="G29" s="7">
        <f>+G22+G23+G28</f>
        <v>29000</v>
      </c>
    </row>
    <row r="31" spans="1:7" x14ac:dyDescent="0.35">
      <c r="A31" s="1" t="s">
        <v>13</v>
      </c>
    </row>
    <row r="32" spans="1:7" x14ac:dyDescent="0.35">
      <c r="E32" s="27">
        <f>+E9</f>
        <v>2021</v>
      </c>
      <c r="G32" s="27">
        <f>+G9</f>
        <v>2020</v>
      </c>
    </row>
    <row r="34" spans="1:7" x14ac:dyDescent="0.35">
      <c r="A34" t="s">
        <v>14</v>
      </c>
      <c r="E34" s="3">
        <v>120000</v>
      </c>
      <c r="F34" s="3"/>
      <c r="G34" s="3">
        <v>100000</v>
      </c>
    </row>
    <row r="35" spans="1:7" x14ac:dyDescent="0.35">
      <c r="A35" t="s">
        <v>15</v>
      </c>
      <c r="E35" s="4">
        <v>70000</v>
      </c>
      <c r="F35" s="3"/>
      <c r="G35" s="4">
        <v>60000</v>
      </c>
    </row>
    <row r="36" spans="1:7" x14ac:dyDescent="0.35">
      <c r="A36" t="s">
        <v>16</v>
      </c>
      <c r="E36" s="3">
        <f>E34-E35</f>
        <v>50000</v>
      </c>
      <c r="F36" s="3"/>
      <c r="G36" s="3">
        <f>G34-G35</f>
        <v>40000</v>
      </c>
    </row>
    <row r="37" spans="1:7" x14ac:dyDescent="0.35">
      <c r="A37" t="s">
        <v>17</v>
      </c>
      <c r="E37" s="3">
        <v>23000</v>
      </c>
      <c r="F37" s="3"/>
      <c r="G37" s="3">
        <v>20000</v>
      </c>
    </row>
    <row r="38" spans="1:7" x14ac:dyDescent="0.35">
      <c r="A38" t="s">
        <v>18</v>
      </c>
      <c r="E38" s="3">
        <v>750</v>
      </c>
      <c r="F38" s="3"/>
      <c r="G38" s="3">
        <v>850</v>
      </c>
    </row>
    <row r="39" spans="1:7" x14ac:dyDescent="0.35">
      <c r="A39" t="s">
        <v>19</v>
      </c>
      <c r="E39" s="4">
        <v>3000</v>
      </c>
      <c r="F39" s="3"/>
      <c r="G39" s="4">
        <v>3000</v>
      </c>
    </row>
    <row r="40" spans="1:7" x14ac:dyDescent="0.35">
      <c r="A40" t="s">
        <v>20</v>
      </c>
      <c r="E40" s="3">
        <f>+E36-SUM(E37:E39)</f>
        <v>23250</v>
      </c>
      <c r="F40" s="3"/>
      <c r="G40" s="3">
        <f>+G36-SUM(G37:G39)</f>
        <v>16150</v>
      </c>
    </row>
    <row r="41" spans="1:7" x14ac:dyDescent="0.35">
      <c r="A41" t="s">
        <v>21</v>
      </c>
      <c r="E41" s="4">
        <f>+E40*0.2</f>
        <v>4650</v>
      </c>
      <c r="F41" s="3"/>
      <c r="G41" s="4">
        <f>+G40*0.2</f>
        <v>3230</v>
      </c>
    </row>
    <row r="42" spans="1:7" x14ac:dyDescent="0.35">
      <c r="A42" t="s">
        <v>22</v>
      </c>
      <c r="E42" s="3">
        <f>+E40-E41</f>
        <v>18600</v>
      </c>
      <c r="F42" s="3"/>
      <c r="G42" s="3">
        <f>+G40-G41</f>
        <v>12920</v>
      </c>
    </row>
    <row r="43" spans="1:7" x14ac:dyDescent="0.35">
      <c r="E43" s="3"/>
      <c r="F43" s="3"/>
      <c r="G43" s="3"/>
    </row>
    <row r="44" spans="1:7" x14ac:dyDescent="0.35">
      <c r="E44" s="3"/>
      <c r="F44" s="3"/>
      <c r="G44" s="3"/>
    </row>
    <row r="45" spans="1:7" x14ac:dyDescent="0.35">
      <c r="A45" t="s">
        <v>23</v>
      </c>
    </row>
    <row r="46" spans="1:7" x14ac:dyDescent="0.35">
      <c r="E46" s="5" t="s">
        <v>24</v>
      </c>
      <c r="F46" s="5" t="s">
        <v>25</v>
      </c>
      <c r="G46" s="5" t="s">
        <v>26</v>
      </c>
    </row>
    <row r="47" spans="1:7" x14ac:dyDescent="0.35">
      <c r="A47" t="s">
        <v>69</v>
      </c>
      <c r="E47" s="3">
        <v>2500</v>
      </c>
      <c r="F47" s="3"/>
      <c r="G47" s="3">
        <f>SUM(E47:F47)</f>
        <v>2500</v>
      </c>
    </row>
    <row r="48" spans="1:7" x14ac:dyDescent="0.35">
      <c r="A48" t="s">
        <v>22</v>
      </c>
      <c r="E48" s="3"/>
      <c r="F48" s="3">
        <f>+G42</f>
        <v>12920</v>
      </c>
      <c r="G48" s="3">
        <f>SUM(E48:F48)</f>
        <v>12920</v>
      </c>
    </row>
    <row r="49" spans="1:7" x14ac:dyDescent="0.35">
      <c r="A49" t="s">
        <v>27</v>
      </c>
      <c r="E49" s="4"/>
      <c r="F49" s="4">
        <v>-10000</v>
      </c>
      <c r="G49" s="4">
        <f>SUM(E49:F49)</f>
        <v>-10000</v>
      </c>
    </row>
    <row r="50" spans="1:7" x14ac:dyDescent="0.35">
      <c r="A50" s="2" t="s">
        <v>73</v>
      </c>
      <c r="E50" s="3">
        <f>SUM(E47:E49)</f>
        <v>2500</v>
      </c>
      <c r="F50" s="3">
        <f t="shared" ref="F50:G50" si="0">SUM(F47:F49)</f>
        <v>2920</v>
      </c>
      <c r="G50" s="3">
        <f t="shared" si="0"/>
        <v>5420</v>
      </c>
    </row>
    <row r="51" spans="1:7" x14ac:dyDescent="0.35">
      <c r="A51" t="s">
        <v>22</v>
      </c>
      <c r="E51" s="3"/>
      <c r="F51" s="3">
        <f>+E42</f>
        <v>18600</v>
      </c>
      <c r="G51" s="3">
        <f>SUM(E51:F51)</f>
        <v>18600</v>
      </c>
    </row>
    <row r="52" spans="1:7" x14ac:dyDescent="0.35">
      <c r="A52" t="s">
        <v>27</v>
      </c>
      <c r="E52" s="4"/>
      <c r="F52" s="4">
        <v>-12000</v>
      </c>
      <c r="G52" s="4">
        <f>SUM(E52:F52)</f>
        <v>-12000</v>
      </c>
    </row>
    <row r="53" spans="1:7" x14ac:dyDescent="0.35">
      <c r="A53" s="2" t="s">
        <v>77</v>
      </c>
      <c r="E53" s="3">
        <f>SUM(E50:E52)</f>
        <v>2500</v>
      </c>
      <c r="F53" s="3">
        <f>SUM(F50:F52)</f>
        <v>9520</v>
      </c>
      <c r="G53" s="3">
        <f t="shared" ref="G53" si="1">SUM(G50:G52)</f>
        <v>12020</v>
      </c>
    </row>
    <row r="57" spans="1:7" x14ac:dyDescent="0.35">
      <c r="A57" s="1" t="s">
        <v>79</v>
      </c>
    </row>
    <row r="59" spans="1:7" x14ac:dyDescent="0.35">
      <c r="A59" s="1" t="s">
        <v>13</v>
      </c>
    </row>
    <row r="61" spans="1:7" x14ac:dyDescent="0.35">
      <c r="A61" t="s">
        <v>14</v>
      </c>
      <c r="E61" s="3">
        <v>100000</v>
      </c>
      <c r="F61">
        <v>1.23</v>
      </c>
      <c r="G61" s="3">
        <f>+E61*F61</f>
        <v>123000</v>
      </c>
    </row>
    <row r="62" spans="1:7" x14ac:dyDescent="0.35">
      <c r="A62" t="s">
        <v>15</v>
      </c>
      <c r="E62" s="4">
        <v>60000</v>
      </c>
      <c r="F62">
        <v>1.23</v>
      </c>
      <c r="G62" s="4">
        <f>+E62*F62</f>
        <v>73800</v>
      </c>
    </row>
    <row r="63" spans="1:7" x14ac:dyDescent="0.35">
      <c r="A63" t="s">
        <v>16</v>
      </c>
      <c r="E63" s="3">
        <f>E61-E62</f>
        <v>40000</v>
      </c>
      <c r="G63" s="3">
        <f>G61-G62</f>
        <v>49200</v>
      </c>
    </row>
    <row r="64" spans="1:7" x14ac:dyDescent="0.35">
      <c r="A64" t="s">
        <v>17</v>
      </c>
      <c r="E64" s="3">
        <v>20000</v>
      </c>
      <c r="F64">
        <v>1.23</v>
      </c>
      <c r="G64" s="3">
        <f>+E64*F64</f>
        <v>24600</v>
      </c>
    </row>
    <row r="65" spans="1:15" x14ac:dyDescent="0.35">
      <c r="A65" t="s">
        <v>18</v>
      </c>
      <c r="E65" s="3">
        <v>850</v>
      </c>
      <c r="F65">
        <v>1.23</v>
      </c>
      <c r="G65" s="3">
        <f>+E65*F65</f>
        <v>1045.5</v>
      </c>
      <c r="I65" s="1" t="s">
        <v>51</v>
      </c>
    </row>
    <row r="66" spans="1:15" x14ac:dyDescent="0.35">
      <c r="A66" t="s">
        <v>19</v>
      </c>
      <c r="E66" s="4">
        <v>3000</v>
      </c>
      <c r="F66">
        <v>1.23</v>
      </c>
      <c r="G66" s="4">
        <f>+E66*F66</f>
        <v>3690</v>
      </c>
      <c r="I66" t="s">
        <v>89</v>
      </c>
      <c r="L66" s="3">
        <f>+E26</f>
        <v>2500</v>
      </c>
      <c r="M66" s="24">
        <v>1.2</v>
      </c>
      <c r="N66" s="3">
        <f>+L66*M66</f>
        <v>3000</v>
      </c>
      <c r="O66" s="21" t="s">
        <v>24</v>
      </c>
    </row>
    <row r="67" spans="1:15" x14ac:dyDescent="0.35">
      <c r="A67" t="s">
        <v>20</v>
      </c>
      <c r="E67" s="3">
        <f>+E63-SUM(E64:E66)</f>
        <v>16150</v>
      </c>
      <c r="G67" s="3">
        <f>+G63-SUM(G64:G66)</f>
        <v>19864.5</v>
      </c>
      <c r="I67" t="s">
        <v>90</v>
      </c>
      <c r="N67" s="3"/>
    </row>
    <row r="68" spans="1:15" x14ac:dyDescent="0.35">
      <c r="A68" t="s">
        <v>21</v>
      </c>
      <c r="E68" s="4">
        <f>+E67*0.2</f>
        <v>3230</v>
      </c>
      <c r="F68">
        <v>1.23</v>
      </c>
      <c r="G68" s="4">
        <f>+E68*F68</f>
        <v>3972.9</v>
      </c>
      <c r="I68" t="s">
        <v>47</v>
      </c>
      <c r="L68" s="3">
        <f>+E72</f>
        <v>12920</v>
      </c>
      <c r="M68">
        <f>+F72</f>
        <v>1.23</v>
      </c>
      <c r="N68" s="3">
        <f>+L68*M68</f>
        <v>15891.6</v>
      </c>
    </row>
    <row r="69" spans="1:15" x14ac:dyDescent="0.35">
      <c r="A69" t="s">
        <v>22</v>
      </c>
      <c r="E69" s="3">
        <f>+E67-E68</f>
        <v>12920</v>
      </c>
      <c r="G69" s="3">
        <f>+G67-G68</f>
        <v>15891.6</v>
      </c>
      <c r="I69" t="s">
        <v>27</v>
      </c>
      <c r="L69" s="3">
        <f>E82</f>
        <v>-10000</v>
      </c>
      <c r="M69" s="25">
        <v>1.22</v>
      </c>
      <c r="N69" s="4">
        <f>+L69*M69</f>
        <v>-12200</v>
      </c>
    </row>
    <row r="70" spans="1:15" x14ac:dyDescent="0.35">
      <c r="I70" t="s">
        <v>63</v>
      </c>
      <c r="N70" s="3">
        <f>SUM(N66:N69)</f>
        <v>6691.5999999999985</v>
      </c>
    </row>
    <row r="71" spans="1:15" x14ac:dyDescent="0.35">
      <c r="A71" s="1" t="s">
        <v>60</v>
      </c>
      <c r="I71" t="s">
        <v>64</v>
      </c>
      <c r="L71" s="3">
        <f>+G28</f>
        <v>5420</v>
      </c>
      <c r="M71">
        <v>1.25</v>
      </c>
      <c r="N71" s="4">
        <f>+L71*M71</f>
        <v>6775</v>
      </c>
    </row>
    <row r="72" spans="1:15" x14ac:dyDescent="0.35">
      <c r="A72" t="s">
        <v>47</v>
      </c>
      <c r="E72" s="3">
        <f>+E69</f>
        <v>12920</v>
      </c>
      <c r="F72">
        <v>1.23</v>
      </c>
      <c r="G72" s="3">
        <f>+E72*F72</f>
        <v>15891.6</v>
      </c>
      <c r="I72" t="s">
        <v>51</v>
      </c>
      <c r="N72" s="3">
        <f>+N71-N70</f>
        <v>83.400000000001455</v>
      </c>
    </row>
    <row r="73" spans="1:15" x14ac:dyDescent="0.35">
      <c r="A73" t="s">
        <v>61</v>
      </c>
      <c r="N73" s="3"/>
    </row>
    <row r="74" spans="1:15" x14ac:dyDescent="0.35">
      <c r="B74" t="s">
        <v>62</v>
      </c>
      <c r="E74" s="6"/>
      <c r="G74" s="4">
        <f>+N72</f>
        <v>83.400000000001455</v>
      </c>
      <c r="N74" s="3"/>
    </row>
    <row r="75" spans="1:15" x14ac:dyDescent="0.35">
      <c r="A75" t="s">
        <v>60</v>
      </c>
      <c r="E75" s="3">
        <f>SUM(E72:E74)</f>
        <v>12920</v>
      </c>
      <c r="G75" s="3">
        <f>SUM(G72:G74)</f>
        <v>15975.000000000002</v>
      </c>
      <c r="N75" s="3"/>
    </row>
    <row r="76" spans="1:15" x14ac:dyDescent="0.35">
      <c r="N76" s="3"/>
    </row>
    <row r="77" spans="1:15" x14ac:dyDescent="0.35">
      <c r="N77" s="3"/>
    </row>
    <row r="78" spans="1:15" x14ac:dyDescent="0.35">
      <c r="A78" s="1" t="s">
        <v>25</v>
      </c>
      <c r="N78" s="3"/>
    </row>
    <row r="80" spans="1:15" x14ac:dyDescent="0.35">
      <c r="A80" t="s">
        <v>46</v>
      </c>
      <c r="E80">
        <v>0</v>
      </c>
      <c r="G80">
        <v>0</v>
      </c>
    </row>
    <row r="81" spans="1:8" x14ac:dyDescent="0.35">
      <c r="A81" t="s">
        <v>47</v>
      </c>
      <c r="E81" s="3">
        <f>+E69</f>
        <v>12920</v>
      </c>
      <c r="F81">
        <v>1.23</v>
      </c>
      <c r="G81" s="3">
        <f>+G69</f>
        <v>15891.6</v>
      </c>
      <c r="H81" s="21" t="s">
        <v>49</v>
      </c>
    </row>
    <row r="82" spans="1:8" x14ac:dyDescent="0.35">
      <c r="A82" t="s">
        <v>27</v>
      </c>
      <c r="E82" s="23">
        <f>+F49</f>
        <v>-10000</v>
      </c>
      <c r="F82">
        <v>1.22</v>
      </c>
      <c r="G82" s="23">
        <f>+E82*F82</f>
        <v>-12200</v>
      </c>
    </row>
    <row r="83" spans="1:8" x14ac:dyDescent="0.35">
      <c r="A83" t="s">
        <v>48</v>
      </c>
      <c r="E83" s="3">
        <f>SUM(E80:E82)</f>
        <v>2920</v>
      </c>
      <c r="F83" s="3"/>
      <c r="G83" s="3">
        <f>SUM(G80:G82)</f>
        <v>3691.6000000000004</v>
      </c>
    </row>
    <row r="84" spans="1:8" x14ac:dyDescent="0.35">
      <c r="E84" s="3"/>
      <c r="F84" s="3"/>
      <c r="G84" s="3"/>
    </row>
    <row r="85" spans="1:8" x14ac:dyDescent="0.35">
      <c r="A85" s="1" t="s">
        <v>50</v>
      </c>
      <c r="E85" s="3"/>
      <c r="F85" s="3"/>
      <c r="G85" s="3"/>
    </row>
    <row r="86" spans="1:8" x14ac:dyDescent="0.35">
      <c r="G86" s="3"/>
    </row>
    <row r="87" spans="1:8" x14ac:dyDescent="0.35">
      <c r="A87" t="s">
        <v>0</v>
      </c>
      <c r="E87" s="3">
        <v>9000</v>
      </c>
      <c r="F87">
        <v>1.25</v>
      </c>
      <c r="G87" s="3">
        <f>+E87*F87</f>
        <v>11250</v>
      </c>
    </row>
    <row r="88" spans="1:8" x14ac:dyDescent="0.35">
      <c r="A88" t="s">
        <v>1</v>
      </c>
      <c r="E88" s="3">
        <v>8000</v>
      </c>
      <c r="F88">
        <v>1.25</v>
      </c>
      <c r="G88" s="3">
        <f>+E88*F88</f>
        <v>10000</v>
      </c>
    </row>
    <row r="89" spans="1:8" x14ac:dyDescent="0.35">
      <c r="E89" s="3"/>
    </row>
    <row r="90" spans="1:8" x14ac:dyDescent="0.35">
      <c r="A90" t="s">
        <v>52</v>
      </c>
      <c r="E90" s="4">
        <f>+G16</f>
        <v>12000</v>
      </c>
      <c r="F90">
        <v>1.25</v>
      </c>
      <c r="G90" s="4">
        <f>+E90*F90</f>
        <v>15000</v>
      </c>
    </row>
    <row r="91" spans="1:8" x14ac:dyDescent="0.35">
      <c r="E91" s="7">
        <f>SUM(E87:E90)</f>
        <v>29000</v>
      </c>
      <c r="G91" s="7">
        <f>SUM(G87:G90)</f>
        <v>36250</v>
      </c>
    </row>
    <row r="92" spans="1:8" x14ac:dyDescent="0.35">
      <c r="E92" s="3"/>
    </row>
    <row r="93" spans="1:8" x14ac:dyDescent="0.35">
      <c r="A93" t="s">
        <v>5</v>
      </c>
      <c r="E93" s="3">
        <f>+G19</f>
        <v>9080</v>
      </c>
      <c r="F93">
        <v>1.25</v>
      </c>
      <c r="G93" s="3">
        <f>+E93*F93</f>
        <v>11350</v>
      </c>
    </row>
    <row r="94" spans="1:8" x14ac:dyDescent="0.35">
      <c r="A94" t="s">
        <v>6</v>
      </c>
      <c r="E94" s="3">
        <v>5500</v>
      </c>
      <c r="F94">
        <v>1.25</v>
      </c>
      <c r="G94" s="3">
        <f>+E94*F94</f>
        <v>6875</v>
      </c>
    </row>
    <row r="95" spans="1:8" x14ac:dyDescent="0.35">
      <c r="A95" t="s">
        <v>7</v>
      </c>
      <c r="E95" s="4">
        <v>1000</v>
      </c>
      <c r="F95">
        <v>1.25</v>
      </c>
      <c r="G95" s="4">
        <f>+E95*F95</f>
        <v>1250</v>
      </c>
    </row>
    <row r="96" spans="1:8" x14ac:dyDescent="0.35">
      <c r="E96" s="3">
        <f>SUM(E93:E95)</f>
        <v>15580</v>
      </c>
      <c r="G96" s="3">
        <f>SUM(G93:G95)</f>
        <v>19475</v>
      </c>
    </row>
    <row r="97" spans="1:7" x14ac:dyDescent="0.35">
      <c r="A97" t="s">
        <v>8</v>
      </c>
      <c r="E97" s="3">
        <v>8000</v>
      </c>
      <c r="F97">
        <v>1.25</v>
      </c>
      <c r="G97" s="3">
        <f>+E97*F97</f>
        <v>10000</v>
      </c>
    </row>
    <row r="98" spans="1:7" x14ac:dyDescent="0.35">
      <c r="E98" s="3"/>
    </row>
    <row r="99" spans="1:7" x14ac:dyDescent="0.35">
      <c r="A99" t="s">
        <v>9</v>
      </c>
      <c r="E99" s="3"/>
    </row>
    <row r="100" spans="1:7" x14ac:dyDescent="0.35">
      <c r="B100" t="s">
        <v>10</v>
      </c>
      <c r="E100" s="3">
        <v>2500</v>
      </c>
      <c r="F100" s="24">
        <v>1.2</v>
      </c>
      <c r="G100" s="3">
        <f>+E100*F100</f>
        <v>3000</v>
      </c>
    </row>
    <row r="101" spans="1:7" x14ac:dyDescent="0.35">
      <c r="B101" t="s">
        <v>11</v>
      </c>
      <c r="E101" s="22">
        <f>+F50</f>
        <v>2920</v>
      </c>
      <c r="F101" t="s">
        <v>53</v>
      </c>
      <c r="G101" s="22">
        <f>+G83</f>
        <v>3691.6000000000004</v>
      </c>
    </row>
    <row r="102" spans="1:7" x14ac:dyDescent="0.35">
      <c r="B102" t="s">
        <v>65</v>
      </c>
      <c r="E102" s="4"/>
      <c r="G102" s="4">
        <f>+G74</f>
        <v>83.400000000001455</v>
      </c>
    </row>
    <row r="103" spans="1:7" x14ac:dyDescent="0.35">
      <c r="E103" s="8">
        <f>SUM(E100:E101)</f>
        <v>5420</v>
      </c>
      <c r="G103" s="8">
        <f>SUM(G100:G102)</f>
        <v>6775.0000000000018</v>
      </c>
    </row>
    <row r="104" spans="1:7" x14ac:dyDescent="0.35">
      <c r="E104" s="7">
        <f>+E96+E97+E103</f>
        <v>29000</v>
      </c>
      <c r="G104" s="7">
        <f>+G96+G97+G103</f>
        <v>36250</v>
      </c>
    </row>
    <row r="105" spans="1:7" x14ac:dyDescent="0.35">
      <c r="G105" s="3"/>
    </row>
    <row r="108" spans="1:7" x14ac:dyDescent="0.35">
      <c r="A108" s="1" t="s">
        <v>85</v>
      </c>
    </row>
    <row r="110" spans="1:7" x14ac:dyDescent="0.35">
      <c r="A110" s="1" t="s">
        <v>13</v>
      </c>
    </row>
    <row r="112" spans="1:7" x14ac:dyDescent="0.35">
      <c r="A112" t="s">
        <v>14</v>
      </c>
      <c r="E112" s="3">
        <f>+E34</f>
        <v>120000</v>
      </c>
      <c r="F112">
        <v>1.27</v>
      </c>
      <c r="G112" s="3">
        <f>+E112*F112</f>
        <v>152400</v>
      </c>
    </row>
    <row r="113" spans="1:14" x14ac:dyDescent="0.35">
      <c r="A113" t="s">
        <v>15</v>
      </c>
      <c r="E113" s="4">
        <f>+E35</f>
        <v>70000</v>
      </c>
      <c r="F113">
        <v>1.27</v>
      </c>
      <c r="G113" s="4">
        <f>+E113*F113</f>
        <v>88900</v>
      </c>
    </row>
    <row r="114" spans="1:14" x14ac:dyDescent="0.35">
      <c r="A114" t="s">
        <v>16</v>
      </c>
      <c r="E114" s="3">
        <f>E112-E113</f>
        <v>50000</v>
      </c>
      <c r="G114" s="3">
        <f>G112-G113</f>
        <v>63500</v>
      </c>
    </row>
    <row r="115" spans="1:14" x14ac:dyDescent="0.35">
      <c r="A115" t="s">
        <v>17</v>
      </c>
      <c r="E115" s="3">
        <v>23000</v>
      </c>
      <c r="F115">
        <v>1.27</v>
      </c>
      <c r="G115" s="3">
        <f>+E115*F115</f>
        <v>29210</v>
      </c>
    </row>
    <row r="116" spans="1:14" x14ac:dyDescent="0.35">
      <c r="A116" t="s">
        <v>18</v>
      </c>
      <c r="E116" s="3">
        <v>750</v>
      </c>
      <c r="F116">
        <v>1.27</v>
      </c>
      <c r="G116" s="3">
        <f>+E116*F116</f>
        <v>952.5</v>
      </c>
      <c r="I116" s="1" t="s">
        <v>51</v>
      </c>
    </row>
    <row r="117" spans="1:14" x14ac:dyDescent="0.35">
      <c r="A117" t="s">
        <v>19</v>
      </c>
      <c r="E117" s="4">
        <v>3000</v>
      </c>
      <c r="F117">
        <v>1.27</v>
      </c>
      <c r="G117" s="4">
        <f>+E117*F117</f>
        <v>3810</v>
      </c>
      <c r="I117" t="s">
        <v>91</v>
      </c>
      <c r="L117" s="3">
        <f>+G28</f>
        <v>5420</v>
      </c>
      <c r="M117">
        <v>1.25</v>
      </c>
      <c r="N117" s="4">
        <f>+L117*M117</f>
        <v>6775</v>
      </c>
    </row>
    <row r="118" spans="1:14" x14ac:dyDescent="0.35">
      <c r="A118" t="s">
        <v>20</v>
      </c>
      <c r="E118" s="3">
        <f>+E114-SUM(E115:E117)</f>
        <v>23250</v>
      </c>
      <c r="G118" s="3">
        <f>+G114-SUM(G115:G117)</f>
        <v>29527.5</v>
      </c>
      <c r="I118" t="s">
        <v>92</v>
      </c>
      <c r="N118" s="3"/>
    </row>
    <row r="119" spans="1:14" x14ac:dyDescent="0.35">
      <c r="A119" t="s">
        <v>21</v>
      </c>
      <c r="E119" s="4">
        <f>+E118*0.2</f>
        <v>4650</v>
      </c>
      <c r="F119">
        <v>1.27</v>
      </c>
      <c r="G119" s="4">
        <f>+E119*F119</f>
        <v>5905.5</v>
      </c>
      <c r="I119" t="s">
        <v>47</v>
      </c>
      <c r="L119" s="3">
        <f>+E123</f>
        <v>18600</v>
      </c>
      <c r="M119">
        <f>+F123</f>
        <v>1.27</v>
      </c>
      <c r="N119" s="3">
        <f>+L119*M119</f>
        <v>23622</v>
      </c>
    </row>
    <row r="120" spans="1:14" x14ac:dyDescent="0.35">
      <c r="A120" t="s">
        <v>22</v>
      </c>
      <c r="E120" s="3">
        <f>+E118-E119</f>
        <v>18600</v>
      </c>
      <c r="G120" s="3">
        <f>+G118-G119</f>
        <v>23622</v>
      </c>
      <c r="I120" t="s">
        <v>27</v>
      </c>
      <c r="L120" s="3">
        <f>E133</f>
        <v>-12000</v>
      </c>
      <c r="M120" s="25">
        <f>F133</f>
        <v>1.26</v>
      </c>
      <c r="N120" s="4">
        <f>+L120*M120</f>
        <v>-15120</v>
      </c>
    </row>
    <row r="121" spans="1:14" x14ac:dyDescent="0.35">
      <c r="I121" t="s">
        <v>63</v>
      </c>
      <c r="N121" s="3">
        <f>SUM(N117:N120)</f>
        <v>15277</v>
      </c>
    </row>
    <row r="122" spans="1:14" x14ac:dyDescent="0.35">
      <c r="A122" s="1" t="s">
        <v>60</v>
      </c>
      <c r="I122" t="s">
        <v>64</v>
      </c>
      <c r="L122" s="3">
        <f>+E28</f>
        <v>12020</v>
      </c>
      <c r="M122">
        <v>1.29</v>
      </c>
      <c r="N122" s="4">
        <f>+L122*M122</f>
        <v>15505.800000000001</v>
      </c>
    </row>
    <row r="123" spans="1:14" x14ac:dyDescent="0.35">
      <c r="A123" t="s">
        <v>47</v>
      </c>
      <c r="E123" s="3">
        <f>+E120</f>
        <v>18600</v>
      </c>
      <c r="F123">
        <v>1.27</v>
      </c>
      <c r="G123" s="3">
        <f>+E123*F123</f>
        <v>23622</v>
      </c>
      <c r="I123" t="s">
        <v>51</v>
      </c>
      <c r="N123" s="3">
        <f>+N122-N121</f>
        <v>228.80000000000109</v>
      </c>
    </row>
    <row r="124" spans="1:14" x14ac:dyDescent="0.35">
      <c r="A124" t="s">
        <v>61</v>
      </c>
    </row>
    <row r="125" spans="1:14" x14ac:dyDescent="0.35">
      <c r="B125" t="s">
        <v>62</v>
      </c>
      <c r="E125" s="6"/>
      <c r="G125" s="4">
        <f>+N123</f>
        <v>228.80000000000109</v>
      </c>
    </row>
    <row r="126" spans="1:14" x14ac:dyDescent="0.35">
      <c r="A126" t="s">
        <v>60</v>
      </c>
      <c r="E126" s="3">
        <f>SUM(E123:E125)</f>
        <v>18600</v>
      </c>
      <c r="G126" s="3">
        <f>SUM(G123:G125)</f>
        <v>23850.800000000003</v>
      </c>
    </row>
    <row r="129" spans="1:8" x14ac:dyDescent="0.35">
      <c r="A129" s="1" t="s">
        <v>25</v>
      </c>
    </row>
    <row r="131" spans="1:8" x14ac:dyDescent="0.35">
      <c r="A131" t="s">
        <v>46</v>
      </c>
      <c r="E131" s="3">
        <f>+E83</f>
        <v>2920</v>
      </c>
      <c r="G131" s="3">
        <f>+G83</f>
        <v>3691.6000000000004</v>
      </c>
    </row>
    <row r="132" spans="1:8" x14ac:dyDescent="0.35">
      <c r="A132" t="s">
        <v>47</v>
      </c>
      <c r="E132" s="3">
        <f>+E120</f>
        <v>18600</v>
      </c>
      <c r="G132" s="3">
        <f>+G120</f>
        <v>23622</v>
      </c>
      <c r="H132" s="21" t="s">
        <v>49</v>
      </c>
    </row>
    <row r="133" spans="1:8" x14ac:dyDescent="0.35">
      <c r="A133" t="s">
        <v>27</v>
      </c>
      <c r="E133" s="23">
        <f>F52</f>
        <v>-12000</v>
      </c>
      <c r="F133">
        <v>1.26</v>
      </c>
      <c r="G133" s="23">
        <f>+E133*F133</f>
        <v>-15120</v>
      </c>
    </row>
    <row r="134" spans="1:8" x14ac:dyDescent="0.35">
      <c r="A134" t="s">
        <v>48</v>
      </c>
      <c r="E134" s="3">
        <f>SUM(E131:E133)</f>
        <v>9520</v>
      </c>
      <c r="F134" s="3"/>
      <c r="G134" s="3">
        <f>SUM(G131:G133)</f>
        <v>12193.599999999999</v>
      </c>
    </row>
    <row r="135" spans="1:8" x14ac:dyDescent="0.35">
      <c r="E135" s="3"/>
      <c r="F135" s="3"/>
      <c r="G135" s="3"/>
    </row>
    <row r="136" spans="1:8" x14ac:dyDescent="0.35">
      <c r="A136" s="1" t="s">
        <v>50</v>
      </c>
      <c r="E136" s="3"/>
      <c r="F136" s="3"/>
      <c r="G136" s="3"/>
    </row>
    <row r="137" spans="1:8" x14ac:dyDescent="0.35">
      <c r="G137" s="3"/>
    </row>
    <row r="138" spans="1:8" x14ac:dyDescent="0.35">
      <c r="A138" t="s">
        <v>0</v>
      </c>
      <c r="E138" s="3">
        <f>+E11</f>
        <v>10000</v>
      </c>
      <c r="F138">
        <v>1.29</v>
      </c>
      <c r="G138" s="3">
        <f>+E138*F138</f>
        <v>12900</v>
      </c>
    </row>
    <row r="139" spans="1:8" x14ac:dyDescent="0.35">
      <c r="A139" t="s">
        <v>1</v>
      </c>
      <c r="E139" s="3">
        <f>+E12</f>
        <v>8500</v>
      </c>
      <c r="F139">
        <v>1.29</v>
      </c>
      <c r="G139" s="3">
        <f>+E139*F139</f>
        <v>10965</v>
      </c>
    </row>
    <row r="140" spans="1:8" x14ac:dyDescent="0.35">
      <c r="E140" s="3"/>
    </row>
    <row r="141" spans="1:8" x14ac:dyDescent="0.35">
      <c r="A141" t="s">
        <v>52</v>
      </c>
      <c r="E141" s="4">
        <f>+E16</f>
        <v>9000</v>
      </c>
      <c r="F141">
        <v>1.29</v>
      </c>
      <c r="G141" s="4">
        <f>+E141*F141</f>
        <v>11610</v>
      </c>
    </row>
    <row r="142" spans="1:8" x14ac:dyDescent="0.35">
      <c r="E142" s="7">
        <f>SUM(E138:E141)</f>
        <v>27500</v>
      </c>
      <c r="G142" s="7">
        <f>SUM(G138:G141)</f>
        <v>35475</v>
      </c>
    </row>
    <row r="143" spans="1:8" x14ac:dyDescent="0.35">
      <c r="E143" s="3"/>
    </row>
    <row r="144" spans="1:8" x14ac:dyDescent="0.35">
      <c r="A144" t="s">
        <v>5</v>
      </c>
      <c r="E144" s="3">
        <f>+E19</f>
        <v>1480</v>
      </c>
      <c r="F144">
        <v>1.29</v>
      </c>
      <c r="G144" s="3">
        <f>+E144*F144</f>
        <v>1909.2</v>
      </c>
    </row>
    <row r="145" spans="1:8" x14ac:dyDescent="0.35">
      <c r="A145" t="s">
        <v>6</v>
      </c>
      <c r="E145" s="3">
        <f>+E20</f>
        <v>6000</v>
      </c>
      <c r="F145">
        <v>1.29</v>
      </c>
      <c r="G145" s="3">
        <f>+E145*F145</f>
        <v>7740</v>
      </c>
    </row>
    <row r="146" spans="1:8" x14ac:dyDescent="0.35">
      <c r="A146" t="s">
        <v>7</v>
      </c>
      <c r="E146" s="4">
        <f>+E21</f>
        <v>1000</v>
      </c>
      <c r="F146">
        <v>1.29</v>
      </c>
      <c r="G146" s="4">
        <f>+E146*F146</f>
        <v>1290</v>
      </c>
    </row>
    <row r="147" spans="1:8" x14ac:dyDescent="0.35">
      <c r="E147" s="3">
        <f>SUM(E144:E146)</f>
        <v>8480</v>
      </c>
      <c r="G147" s="3">
        <f>SUM(G144:G146)</f>
        <v>10939.2</v>
      </c>
    </row>
    <row r="148" spans="1:8" x14ac:dyDescent="0.35">
      <c r="A148" t="s">
        <v>8</v>
      </c>
      <c r="E148" s="3">
        <f>+E23</f>
        <v>7000</v>
      </c>
      <c r="F148">
        <v>1.29</v>
      </c>
      <c r="G148" s="3">
        <f>+E148*F148</f>
        <v>9030</v>
      </c>
    </row>
    <row r="149" spans="1:8" x14ac:dyDescent="0.35">
      <c r="E149" s="3"/>
    </row>
    <row r="150" spans="1:8" x14ac:dyDescent="0.35">
      <c r="A150" t="s">
        <v>9</v>
      </c>
      <c r="E150" s="3"/>
    </row>
    <row r="151" spans="1:8" x14ac:dyDescent="0.35">
      <c r="B151" t="s">
        <v>10</v>
      </c>
      <c r="E151" s="3">
        <v>2500</v>
      </c>
      <c r="F151" s="24">
        <v>1.2</v>
      </c>
      <c r="G151" s="3">
        <f>+E151*F151</f>
        <v>3000</v>
      </c>
    </row>
    <row r="152" spans="1:8" x14ac:dyDescent="0.35">
      <c r="B152" t="s">
        <v>11</v>
      </c>
      <c r="E152" s="22">
        <f>+E27</f>
        <v>9520</v>
      </c>
      <c r="F152" t="s">
        <v>53</v>
      </c>
      <c r="G152" s="22">
        <f>+G134</f>
        <v>12193.599999999999</v>
      </c>
    </row>
    <row r="153" spans="1:8" x14ac:dyDescent="0.35">
      <c r="B153" t="s">
        <v>65</v>
      </c>
      <c r="E153" s="4"/>
      <c r="G153" s="4">
        <f>+G102+G125</f>
        <v>312.20000000000255</v>
      </c>
    </row>
    <row r="154" spans="1:8" x14ac:dyDescent="0.35">
      <c r="E154" s="8">
        <f>SUM(E151:E152)</f>
        <v>12020</v>
      </c>
      <c r="G154" s="8">
        <f>SUM(G151:G153)</f>
        <v>15505.800000000001</v>
      </c>
    </row>
    <row r="155" spans="1:8" x14ac:dyDescent="0.35">
      <c r="E155" s="7">
        <f>+E147+E148+E154</f>
        <v>27500</v>
      </c>
      <c r="G155" s="7">
        <f>+G147+G148+G154</f>
        <v>35475</v>
      </c>
      <c r="H155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énoncé</vt:lpstr>
      <vt:lpstr>même monnaie fonctionnelle</vt:lpstr>
      <vt:lpstr>autre monnaie fonctionnelle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overbeek</dc:creator>
  <cp:lastModifiedBy>louise overbeek</cp:lastModifiedBy>
  <dcterms:created xsi:type="dcterms:W3CDTF">2019-06-11T17:30:41Z</dcterms:created>
  <dcterms:modified xsi:type="dcterms:W3CDTF">2020-10-01T21:06:29Z</dcterms:modified>
</cp:coreProperties>
</file>