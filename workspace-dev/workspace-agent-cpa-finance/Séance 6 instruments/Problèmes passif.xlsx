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85310481\Documents\cours HEC\40938-16 info fin intégrité et conformité\2020 Aut\Séance 6\"/>
    </mc:Choice>
  </mc:AlternateContent>
  <xr:revisionPtr revIDLastSave="0" documentId="13_ncr:1_{236E27E3-5150-4926-9147-61A4E4CA183F}" xr6:coauthVersionLast="45" xr6:coauthVersionMax="45" xr10:uidLastSave="{00000000-0000-0000-0000-000000000000}"/>
  <bookViews>
    <workbookView xWindow="28680" yWindow="-120" windowWidth="29040" windowHeight="15840" firstSheet="1" activeTab="7" xr2:uid="{00000000-000D-0000-FFFF-FFFF00000000}"/>
  </bookViews>
  <sheets>
    <sheet name="prime escompte" sheetId="1" r:id="rId1"/>
    <sheet name="coût transaction" sheetId="2" r:id="rId2"/>
    <sheet name="coût transaction semest)" sheetId="3" r:id="rId3"/>
    <sheet name="oblig conv" sheetId="4" r:id="rId4"/>
    <sheet name="emp hypothécaire" sheetId="5" r:id="rId5"/>
    <sheet name="restructuration" sheetId="6" r:id="rId6"/>
    <sheet name="restructuration-2" sheetId="7" r:id="rId7"/>
    <sheet name="restructuration-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8" i="7" l="1"/>
  <c r="L51" i="8"/>
  <c r="C12" i="8"/>
  <c r="J5" i="8"/>
  <c r="R6" i="8" s="1"/>
  <c r="D53" i="8"/>
  <c r="H16" i="8"/>
  <c r="H41" i="8" s="1"/>
  <c r="G16" i="8"/>
  <c r="G41" i="8" s="1"/>
  <c r="F16" i="8"/>
  <c r="F41" i="8" s="1"/>
  <c r="E16" i="8"/>
  <c r="E41" i="8" s="1"/>
  <c r="C42" i="8" s="1"/>
  <c r="D47" i="8" s="1"/>
  <c r="D16" i="8"/>
  <c r="D41" i="8" s="1"/>
  <c r="C16" i="8"/>
  <c r="C29" i="8" s="1"/>
  <c r="D30" i="8" s="1"/>
  <c r="F11" i="8"/>
  <c r="E11" i="8"/>
  <c r="D11" i="8"/>
  <c r="H13" i="7"/>
  <c r="L22" i="7" s="1"/>
  <c r="F8" i="7"/>
  <c r="D50" i="7"/>
  <c r="G13" i="7"/>
  <c r="G38" i="7" s="1"/>
  <c r="F13" i="7"/>
  <c r="F38" i="7" s="1"/>
  <c r="E13" i="7"/>
  <c r="L19" i="7" s="1"/>
  <c r="D13" i="7"/>
  <c r="L18" i="7" s="1"/>
  <c r="D31" i="7" s="1"/>
  <c r="C13" i="7"/>
  <c r="C26" i="7" s="1"/>
  <c r="D27" i="7" s="1"/>
  <c r="E8" i="7"/>
  <c r="D8" i="7"/>
  <c r="K5" i="8" l="1"/>
  <c r="R7" i="8" s="1"/>
  <c r="D52" i="8"/>
  <c r="L17" i="7"/>
  <c r="C17" i="8"/>
  <c r="D22" i="8" s="1"/>
  <c r="L5" i="8"/>
  <c r="L23" i="8"/>
  <c r="L24" i="8"/>
  <c r="L54" i="8"/>
  <c r="M45" i="8"/>
  <c r="L55" i="8"/>
  <c r="N45" i="8"/>
  <c r="L45" i="8"/>
  <c r="L53" i="8"/>
  <c r="L52" i="8"/>
  <c r="D59" i="8" s="1"/>
  <c r="K45" i="8"/>
  <c r="L56" i="8"/>
  <c r="O45" i="8"/>
  <c r="M19" i="8"/>
  <c r="M20" i="8" s="1"/>
  <c r="K21" i="8" s="1"/>
  <c r="L21" i="8"/>
  <c r="D34" i="8" s="1"/>
  <c r="L22" i="8"/>
  <c r="L20" i="8"/>
  <c r="L25" i="8"/>
  <c r="C9" i="7"/>
  <c r="M42" i="7"/>
  <c r="L51" i="7"/>
  <c r="H38" i="7"/>
  <c r="O42" i="7" s="1"/>
  <c r="D38" i="7"/>
  <c r="K42" i="7" s="1"/>
  <c r="L20" i="7"/>
  <c r="E38" i="7"/>
  <c r="L50" i="7" s="1"/>
  <c r="L52" i="7"/>
  <c r="N42" i="7"/>
  <c r="L21" i="7"/>
  <c r="C14" i="7"/>
  <c r="E13" i="6"/>
  <c r="E38" i="6" s="1"/>
  <c r="F13" i="6"/>
  <c r="F38" i="6"/>
  <c r="M42" i="6" s="1"/>
  <c r="G13" i="6"/>
  <c r="G38" i="6" s="1"/>
  <c r="H13" i="6"/>
  <c r="H38" i="6" s="1"/>
  <c r="D50" i="6"/>
  <c r="D13" i="6"/>
  <c r="D38" i="6" s="1"/>
  <c r="I13" i="6"/>
  <c r="L23" i="6" s="1"/>
  <c r="C13" i="6"/>
  <c r="C14" i="6" s="1"/>
  <c r="L20" i="6"/>
  <c r="E8" i="6"/>
  <c r="F8" i="6"/>
  <c r="D8" i="6"/>
  <c r="G8" i="6"/>
  <c r="C9" i="6"/>
  <c r="C6" i="5"/>
  <c r="G8" i="5" s="1"/>
  <c r="L11" i="5" s="1"/>
  <c r="C14" i="5"/>
  <c r="D20" i="4"/>
  <c r="C14" i="4"/>
  <c r="L9" i="4"/>
  <c r="L10" i="4"/>
  <c r="L11" i="4"/>
  <c r="L8" i="4"/>
  <c r="G8" i="4"/>
  <c r="E8" i="4"/>
  <c r="F8" i="4"/>
  <c r="D8" i="4"/>
  <c r="C9" i="4" s="1"/>
  <c r="P19" i="3"/>
  <c r="P20" i="3"/>
  <c r="P21" i="3"/>
  <c r="P22" i="3"/>
  <c r="F15" i="3"/>
  <c r="G15" i="3"/>
  <c r="H15" i="3"/>
  <c r="D15" i="3"/>
  <c r="K10" i="3"/>
  <c r="K15" i="3" s="1"/>
  <c r="J10" i="3"/>
  <c r="J15" i="3" s="1"/>
  <c r="I10" i="3"/>
  <c r="I15" i="3" s="1"/>
  <c r="H10" i="3"/>
  <c r="G10" i="3"/>
  <c r="C15" i="3"/>
  <c r="P15" i="3"/>
  <c r="P16" i="3"/>
  <c r="P17" i="3"/>
  <c r="P18" i="3"/>
  <c r="C10" i="3"/>
  <c r="B11" i="3" s="1"/>
  <c r="B12" i="3" s="1"/>
  <c r="D10" i="3"/>
  <c r="E10" i="3"/>
  <c r="E15" i="3" s="1"/>
  <c r="F10" i="3"/>
  <c r="M14" i="2"/>
  <c r="L15" i="2"/>
  <c r="L16" i="2"/>
  <c r="L17" i="2"/>
  <c r="L18" i="2"/>
  <c r="C15" i="2"/>
  <c r="C10" i="2"/>
  <c r="B11" i="2" s="1"/>
  <c r="D15" i="2"/>
  <c r="E15" i="2"/>
  <c r="B16" i="2" s="1"/>
  <c r="F15" i="2"/>
  <c r="G15" i="2"/>
  <c r="D10" i="2"/>
  <c r="E10" i="2"/>
  <c r="F10" i="2"/>
  <c r="G10" i="2"/>
  <c r="R10" i="2"/>
  <c r="R11" i="2"/>
  <c r="R12" i="2"/>
  <c r="R13" i="2"/>
  <c r="D26" i="1"/>
  <c r="E26" i="1"/>
  <c r="F26" i="1"/>
  <c r="C27" i="1" s="1"/>
  <c r="M25" i="1" s="1"/>
  <c r="G26" i="1"/>
  <c r="L26" i="1"/>
  <c r="L27" i="1"/>
  <c r="L28" i="1"/>
  <c r="L29" i="1"/>
  <c r="G18" i="1"/>
  <c r="G10" i="1"/>
  <c r="D18" i="1"/>
  <c r="E18" i="1"/>
  <c r="C19" i="1" s="1"/>
  <c r="M17" i="1" s="1"/>
  <c r="F18" i="1"/>
  <c r="L18" i="1"/>
  <c r="L19" i="1"/>
  <c r="L20" i="1"/>
  <c r="L21" i="1"/>
  <c r="L11" i="1"/>
  <c r="L12" i="1"/>
  <c r="L13" i="1"/>
  <c r="L10" i="1"/>
  <c r="D10" i="1"/>
  <c r="E10" i="1"/>
  <c r="F10" i="1"/>
  <c r="C11" i="1" s="1"/>
  <c r="M9" i="1" s="1"/>
  <c r="M26" i="1" l="1"/>
  <c r="K26" i="1"/>
  <c r="K42" i="6"/>
  <c r="L49" i="6"/>
  <c r="D56" i="6" s="1"/>
  <c r="O42" i="6"/>
  <c r="L53" i="6"/>
  <c r="K18" i="1"/>
  <c r="M18" i="1" s="1"/>
  <c r="K10" i="1"/>
  <c r="M10" i="1"/>
  <c r="N42" i="6"/>
  <c r="L52" i="6"/>
  <c r="D15" i="4"/>
  <c r="D16" i="4" s="1"/>
  <c r="M7" i="4"/>
  <c r="K15" i="2"/>
  <c r="B16" i="3"/>
  <c r="B17" i="3" s="1"/>
  <c r="M16" i="6"/>
  <c r="M17" i="6" s="1"/>
  <c r="C23" i="6"/>
  <c r="D24" i="6" s="1"/>
  <c r="D19" i="6"/>
  <c r="L50" i="6"/>
  <c r="L42" i="6"/>
  <c r="F8" i="5"/>
  <c r="L10" i="5" s="1"/>
  <c r="M15" i="2"/>
  <c r="E8" i="5"/>
  <c r="L9" i="5" s="1"/>
  <c r="L22" i="6"/>
  <c r="L18" i="6"/>
  <c r="D31" i="6" s="1"/>
  <c r="L42" i="7"/>
  <c r="Q14" i="3"/>
  <c r="D8" i="5"/>
  <c r="L19" i="6"/>
  <c r="L21" i="6"/>
  <c r="L51" i="6"/>
  <c r="I38" i="6"/>
  <c r="C39" i="6" s="1"/>
  <c r="S9" i="2"/>
  <c r="H8" i="5"/>
  <c r="L12" i="5" s="1"/>
  <c r="C26" i="6"/>
  <c r="D27" i="6" s="1"/>
  <c r="C26" i="8"/>
  <c r="D27" i="8" s="1"/>
  <c r="R8" i="8"/>
  <c r="M5" i="8"/>
  <c r="C33" i="8"/>
  <c r="D35" i="8" s="1"/>
  <c r="M50" i="8"/>
  <c r="M51" i="8" s="1"/>
  <c r="C51" i="8"/>
  <c r="C39" i="7"/>
  <c r="M47" i="7" s="1"/>
  <c r="M48" i="7" s="1"/>
  <c r="L49" i="7"/>
  <c r="D56" i="7" s="1"/>
  <c r="L53" i="7"/>
  <c r="M16" i="7"/>
  <c r="M17" i="7" s="1"/>
  <c r="D19" i="7"/>
  <c r="C23" i="7"/>
  <c r="D24" i="7" s="1"/>
  <c r="M19" i="1" l="1"/>
  <c r="K19" i="1"/>
  <c r="D44" i="6"/>
  <c r="M47" i="6"/>
  <c r="M48" i="6" s="1"/>
  <c r="D49" i="6"/>
  <c r="C48" i="6" s="1"/>
  <c r="K16" i="2"/>
  <c r="M16" i="2"/>
  <c r="C9" i="5"/>
  <c r="L8" i="5"/>
  <c r="D20" i="5" s="1"/>
  <c r="O15" i="3"/>
  <c r="Q15" i="3"/>
  <c r="Q10" i="2"/>
  <c r="S10" i="2" s="1"/>
  <c r="K11" i="1"/>
  <c r="M11" i="1"/>
  <c r="K8" i="4"/>
  <c r="C19" i="4" s="1"/>
  <c r="D21" i="4" s="1"/>
  <c r="P42" i="6"/>
  <c r="L54" i="6"/>
  <c r="K18" i="6"/>
  <c r="C30" i="6" s="1"/>
  <c r="D32" i="6" s="1"/>
  <c r="K27" i="1"/>
  <c r="M27" i="1" s="1"/>
  <c r="R9" i="8"/>
  <c r="N5" i="8"/>
  <c r="R10" i="8" s="1"/>
  <c r="M21" i="8"/>
  <c r="J45" i="8"/>
  <c r="J46" i="8" s="1"/>
  <c r="K52" i="8" s="1"/>
  <c r="D44" i="7"/>
  <c r="D49" i="7"/>
  <c r="C48" i="7" s="1"/>
  <c r="J42" i="7"/>
  <c r="J43" i="7" s="1"/>
  <c r="K49" i="7" s="1"/>
  <c r="K18" i="7"/>
  <c r="C30" i="7" s="1"/>
  <c r="D32" i="7" s="1"/>
  <c r="Q11" i="2" l="1"/>
  <c r="S11" i="2" s="1"/>
  <c r="K28" i="1"/>
  <c r="M28" i="1" s="1"/>
  <c r="M7" i="5"/>
  <c r="D15" i="5"/>
  <c r="K12" i="1"/>
  <c r="M12" i="1"/>
  <c r="K17" i="2"/>
  <c r="M17" i="2" s="1"/>
  <c r="J42" i="6"/>
  <c r="J43" i="6" s="1"/>
  <c r="K49" i="6" s="1"/>
  <c r="K7" i="8"/>
  <c r="O16" i="3"/>
  <c r="Q16" i="3" s="1"/>
  <c r="M18" i="6"/>
  <c r="I6" i="8"/>
  <c r="S5" i="8" s="1"/>
  <c r="M8" i="4"/>
  <c r="K20" i="1"/>
  <c r="M20" i="1"/>
  <c r="K22" i="8"/>
  <c r="M22" i="8" s="1"/>
  <c r="Q6" i="8"/>
  <c r="S6" i="8" s="1"/>
  <c r="C58" i="8"/>
  <c r="D60" i="8" s="1"/>
  <c r="M52" i="8"/>
  <c r="C55" i="7"/>
  <c r="D57" i="7" s="1"/>
  <c r="M49" i="7"/>
  <c r="M18" i="7"/>
  <c r="K18" i="2" l="1"/>
  <c r="M18" i="2" s="1"/>
  <c r="K29" i="1"/>
  <c r="M29" i="1" s="1"/>
  <c r="C55" i="6"/>
  <c r="D57" i="6" s="1"/>
  <c r="M49" i="6"/>
  <c r="O17" i="3"/>
  <c r="Q17" i="3"/>
  <c r="Q12" i="2"/>
  <c r="S12" i="2" s="1"/>
  <c r="K13" i="1"/>
  <c r="M13" i="1" s="1"/>
  <c r="K8" i="5"/>
  <c r="C18" i="5" s="1"/>
  <c r="C19" i="5" s="1"/>
  <c r="M8" i="5"/>
  <c r="K21" i="1"/>
  <c r="M21" i="1" s="1"/>
  <c r="K9" i="4"/>
  <c r="M9" i="4"/>
  <c r="K19" i="6"/>
  <c r="M19" i="6" s="1"/>
  <c r="K23" i="8"/>
  <c r="M23" i="8"/>
  <c r="K24" i="8" s="1"/>
  <c r="Q7" i="8"/>
  <c r="S7" i="8" s="1"/>
  <c r="Q8" i="8" s="1"/>
  <c r="S8" i="8" s="1"/>
  <c r="Q9" i="8" s="1"/>
  <c r="S9" i="8" s="1"/>
  <c r="K53" i="8"/>
  <c r="M53" i="8" s="1"/>
  <c r="K19" i="7"/>
  <c r="M19" i="7" s="1"/>
  <c r="K50" i="7"/>
  <c r="M50" i="7" s="1"/>
  <c r="Q13" i="2" l="1"/>
  <c r="S13" i="2" s="1"/>
  <c r="K20" i="6"/>
  <c r="M20" i="6"/>
  <c r="Q18" i="3"/>
  <c r="O18" i="3"/>
  <c r="K50" i="6"/>
  <c r="M50" i="6"/>
  <c r="M9" i="5"/>
  <c r="K9" i="5"/>
  <c r="K10" i="4"/>
  <c r="M10" i="4"/>
  <c r="M24" i="8"/>
  <c r="K25" i="8" s="1"/>
  <c r="M25" i="8" s="1"/>
  <c r="Q10" i="8"/>
  <c r="S10" i="8"/>
  <c r="K54" i="8"/>
  <c r="M54" i="8" s="1"/>
  <c r="K51" i="7"/>
  <c r="M51" i="7" s="1"/>
  <c r="K20" i="7"/>
  <c r="M20" i="7" s="1"/>
  <c r="O19" i="3" l="1"/>
  <c r="Q19" i="3" s="1"/>
  <c r="K51" i="6"/>
  <c r="M51" i="6" s="1"/>
  <c r="K21" i="6"/>
  <c r="M21" i="6" s="1"/>
  <c r="K11" i="4"/>
  <c r="M11" i="4"/>
  <c r="K10" i="5"/>
  <c r="M10" i="5" s="1"/>
  <c r="K55" i="8"/>
  <c r="M55" i="8" s="1"/>
  <c r="K21" i="7"/>
  <c r="M21" i="7" s="1"/>
  <c r="K52" i="7"/>
  <c r="M52" i="7" s="1"/>
  <c r="K11" i="5" l="1"/>
  <c r="M11" i="5" s="1"/>
  <c r="K52" i="6"/>
  <c r="M52" i="6" s="1"/>
  <c r="K22" i="6"/>
  <c r="M22" i="6" s="1"/>
  <c r="O20" i="3"/>
  <c r="Q20" i="3" s="1"/>
  <c r="K56" i="8"/>
  <c r="M56" i="8" s="1"/>
  <c r="K53" i="7"/>
  <c r="M53" i="7" s="1"/>
  <c r="K22" i="7"/>
  <c r="M22" i="7" s="1"/>
  <c r="K12" i="5" l="1"/>
  <c r="M12" i="5"/>
  <c r="K23" i="6"/>
  <c r="M23" i="6" s="1"/>
  <c r="O21" i="3"/>
  <c r="Q21" i="3" s="1"/>
  <c r="K53" i="6"/>
  <c r="M53" i="6"/>
  <c r="O22" i="3" l="1"/>
  <c r="Q22" i="3"/>
  <c r="K54" i="6"/>
  <c r="M54" i="6"/>
</calcChain>
</file>

<file path=xl/sharedStrings.xml><?xml version="1.0" encoding="utf-8"?>
<sst xmlns="http://schemas.openxmlformats.org/spreadsheetml/2006/main" count="293" uniqueCount="87">
  <si>
    <t>Émission de 500 000 $</t>
  </si>
  <si>
    <t>Échéance 4 ans</t>
  </si>
  <si>
    <t>Taux contractuel : 10%</t>
  </si>
  <si>
    <r>
      <t>a)</t>
    </r>
    <r>
      <rPr>
        <sz val="14"/>
        <color rgb="FF000000"/>
        <rFont val="Calibri"/>
        <family val="2"/>
        <scheme val="minor"/>
      </rPr>
      <t>Taux marché : 10%</t>
    </r>
  </si>
  <si>
    <r>
      <t>b)</t>
    </r>
    <r>
      <rPr>
        <sz val="14"/>
        <color rgb="FF000000"/>
        <rFont val="Calibri"/>
        <family val="2"/>
        <scheme val="minor"/>
      </rPr>
      <t>Taux marché : 8%</t>
    </r>
  </si>
  <si>
    <t>an 1</t>
  </si>
  <si>
    <t>c)Taux marché : 13%</t>
  </si>
  <si>
    <t>an 2</t>
  </si>
  <si>
    <t>Coupon</t>
  </si>
  <si>
    <t>Charge</t>
  </si>
  <si>
    <t>Valeur comptable</t>
  </si>
  <si>
    <t>an 3</t>
  </si>
  <si>
    <t>an 4</t>
  </si>
  <si>
    <t>Émission valeur nominale de 500 000 $</t>
  </si>
  <si>
    <t>Coûts de transaction : 75 000 $</t>
  </si>
  <si>
    <r>
      <t>•</t>
    </r>
    <r>
      <rPr>
        <sz val="12"/>
        <color rgb="FF000000"/>
        <rFont val="Calibri"/>
        <family val="2"/>
        <scheme val="minor"/>
      </rPr>
      <t>Émission « à 99 »</t>
    </r>
  </si>
  <si>
    <t>Taux contractuel : 12%, base annuelle</t>
  </si>
  <si>
    <t xml:space="preserve">b) Taux effectif : </t>
  </si>
  <si>
    <t xml:space="preserve">a) Taux marché : </t>
  </si>
  <si>
    <t>Émission valeur nominale de 800 000 $</t>
  </si>
  <si>
    <t>Taux contractuel : 14%, soit 7% semestriellement</t>
  </si>
  <si>
    <t>Coûts de transaction : 95 000 $</t>
  </si>
  <si>
    <r>
      <t>•</t>
    </r>
    <r>
      <rPr>
        <sz val="12"/>
        <color rgb="FF000000"/>
        <rFont val="Calibri"/>
        <family val="2"/>
        <scheme val="minor"/>
      </rPr>
      <t>Émission « à 101 »</t>
    </r>
  </si>
  <si>
    <t>semestriel</t>
  </si>
  <si>
    <t>annuel, non composé</t>
  </si>
  <si>
    <t>an 5</t>
  </si>
  <si>
    <t>an 6</t>
  </si>
  <si>
    <t>an 7</t>
  </si>
  <si>
    <t>an 8</t>
  </si>
  <si>
    <t>Émission d’une obligation convertible en actions ordinaires, valeur nominale de 600 000 $</t>
  </si>
  <si>
    <t>Taux contractuel : 8%</t>
  </si>
  <si>
    <t>Taux du marché : 11%</t>
  </si>
  <si>
    <t>Caisse</t>
  </si>
  <si>
    <t>@  Emprunt obligataire</t>
  </si>
  <si>
    <t xml:space="preserve">      CP - privilège de conversion</t>
  </si>
  <si>
    <t>lors de l'émission</t>
  </si>
  <si>
    <t>après un an</t>
  </si>
  <si>
    <t>Charge d'intérêts</t>
  </si>
  <si>
    <t>@  Encaisse</t>
  </si>
  <si>
    <t xml:space="preserve">      Emprunt obligataire</t>
  </si>
  <si>
    <t>Remboursable par versements annuels égaux</t>
  </si>
  <si>
    <r>
      <t>•</t>
    </r>
    <r>
      <rPr>
        <sz val="12"/>
        <color rgb="FF000000"/>
        <rFont val="Calibri"/>
        <family val="2"/>
        <scheme val="minor"/>
      </rPr>
      <t>Emprunt de 10 000 $</t>
    </r>
  </si>
  <si>
    <r>
      <t>•</t>
    </r>
    <r>
      <rPr>
        <sz val="12"/>
        <color rgb="FF000000"/>
        <rFont val="Calibri"/>
        <family val="2"/>
        <scheme val="minor"/>
      </rPr>
      <t>Taux d’intérêts : 9%</t>
    </r>
  </si>
  <si>
    <r>
      <t>•</t>
    </r>
    <r>
      <rPr>
        <sz val="12"/>
        <color rgb="FF000000"/>
        <rFont val="Calibri"/>
        <family val="2"/>
        <scheme val="minor"/>
      </rPr>
      <t>Échéance : 5 ans</t>
    </r>
  </si>
  <si>
    <t xml:space="preserve">Versements : </t>
  </si>
  <si>
    <t>Versements</t>
  </si>
  <si>
    <t>@  Emprunt hypothécaire</t>
  </si>
  <si>
    <t>Emprunt hypothécaire</t>
  </si>
  <si>
    <t>Au 31 décembre, renégociation des modalités d’un emprunt (donc avec même prêteur)</t>
  </si>
  <si>
    <t>Coût de transaction : 30 000 $</t>
  </si>
  <si>
    <r>
      <t>•</t>
    </r>
    <r>
      <rPr>
        <sz val="12"/>
        <color rgb="FF000000"/>
        <rFont val="Calibri"/>
        <family val="2"/>
        <scheme val="minor"/>
      </rPr>
      <t>Solde du prêt : 400 000 $</t>
    </r>
  </si>
  <si>
    <r>
      <t>•</t>
    </r>
    <r>
      <rPr>
        <sz val="12"/>
        <color rgb="FF000000"/>
        <rFont val="Calibri"/>
        <family val="2"/>
        <scheme val="minor"/>
      </rPr>
      <t>Taux d’intérêt : de 7% à 5%</t>
    </r>
  </si>
  <si>
    <r>
      <t>•</t>
    </r>
    <r>
      <rPr>
        <sz val="12"/>
        <color rgb="FF000000"/>
        <rFont val="Calibri"/>
        <family val="2"/>
        <scheme val="minor"/>
      </rPr>
      <t>Échéance : de 4 ans à 6 ans</t>
    </r>
  </si>
  <si>
    <t>actualisation au taux effectif ancienne dette</t>
  </si>
  <si>
    <t>ajouter les frais au temps 0</t>
  </si>
  <si>
    <t xml:space="preserve">écart </t>
  </si>
  <si>
    <t>donc modification de la dette</t>
  </si>
  <si>
    <t>lors de la modification</t>
  </si>
  <si>
    <t>an 0</t>
  </si>
  <si>
    <t>@  Caisse</t>
  </si>
  <si>
    <t>Initial</t>
  </si>
  <si>
    <t>Renégocié</t>
  </si>
  <si>
    <t xml:space="preserve">Emprunt </t>
  </si>
  <si>
    <t xml:space="preserve">      Emprunt </t>
  </si>
  <si>
    <t xml:space="preserve">@  Profit sur restructuration d'emprunt </t>
  </si>
  <si>
    <t>OU</t>
  </si>
  <si>
    <t>exclure les frais de transaction</t>
  </si>
  <si>
    <t>NE PAS ajouter les frais au temps 0</t>
  </si>
  <si>
    <t xml:space="preserve">      Caisse</t>
  </si>
  <si>
    <t>Comptabilisation d'un profit supérieur (du montant des frais de transaction</t>
  </si>
  <si>
    <t>Report des frais sur durée restante de la dette</t>
  </si>
  <si>
    <t>taux corrigé pour les frais de transaction</t>
  </si>
  <si>
    <t>Frais de transaction : 25 000 $</t>
  </si>
  <si>
    <t>Dette émise le 1er janvier 2017</t>
  </si>
  <si>
    <t>Au 31 décembre 2018, renégociation des modalités d’un emprunt (donc avec même prêteur)</t>
  </si>
  <si>
    <t xml:space="preserve">Frais de transaction : </t>
  </si>
  <si>
    <t>Valeur nominale du prêt :</t>
  </si>
  <si>
    <t>Échéance initiale : 31 décembre 2021</t>
  </si>
  <si>
    <t>Taux d’intérêt : de ... à …</t>
  </si>
  <si>
    <t>Échéance : de ... ans à ... ans</t>
  </si>
  <si>
    <t>Taux du marché au 1er janvier 2017</t>
  </si>
  <si>
    <t>Solde du prêt : 600 000 $</t>
  </si>
  <si>
    <t>Taux d’intérêt : de 8% à 6%</t>
  </si>
  <si>
    <t>Échéance : de 3 ans à 5 ans</t>
  </si>
  <si>
    <t>Taux marché : 10%</t>
  </si>
  <si>
    <t>a)Taux marché : 8%</t>
  </si>
  <si>
    <t>b)Taux marché :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</si>
</sst>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€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indent="4" readingOrder="1"/>
    </xf>
    <xf numFmtId="10" fontId="2" fillId="0" borderId="0" xfId="0" applyNumberFormat="1" applyFont="1"/>
    <xf numFmtId="164" fontId="0" fillId="0" borderId="0" xfId="0" applyNumberFormat="1" applyAlignment="1">
      <alignment horizontal="center"/>
    </xf>
    <xf numFmtId="0" fontId="0" fillId="0" borderId="0" xfId="0" quotePrefix="1"/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left" vertical="center" indent="4" readingOrder="1"/>
    </xf>
    <xf numFmtId="0" fontId="2" fillId="0" borderId="0" xfId="0" applyFont="1"/>
    <xf numFmtId="165" fontId="0" fillId="0" borderId="0" xfId="1" applyNumberFormat="1" applyFont="1"/>
    <xf numFmtId="0" fontId="8" fillId="0" borderId="0" xfId="0" applyFont="1"/>
    <xf numFmtId="0" fontId="9" fillId="0" borderId="0" xfId="0" applyFont="1"/>
    <xf numFmtId="165" fontId="2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vertical="center" readingOrder="1"/>
    </xf>
    <xf numFmtId="0" fontId="4" fillId="0" borderId="0" xfId="0" applyFont="1" applyAlignment="1"/>
    <xf numFmtId="165" fontId="0" fillId="0" borderId="0" xfId="0" applyNumberFormat="1"/>
    <xf numFmtId="164" fontId="11" fillId="0" borderId="0" xfId="0" applyNumberFormat="1" applyFont="1"/>
    <xf numFmtId="164" fontId="10" fillId="0" borderId="0" xfId="0" applyNumberFormat="1" applyFont="1"/>
    <xf numFmtId="10" fontId="14" fillId="0" borderId="0" xfId="0" applyNumberFormat="1" applyFont="1"/>
    <xf numFmtId="164" fontId="15" fillId="0" borderId="0" xfId="0" applyNumberFormat="1" applyFont="1"/>
    <xf numFmtId="0" fontId="16" fillId="0" borderId="0" xfId="0" applyFont="1"/>
    <xf numFmtId="0" fontId="3" fillId="2" borderId="0" xfId="0" applyFont="1" applyFill="1"/>
    <xf numFmtId="0" fontId="0" fillId="2" borderId="0" xfId="0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activeCell="D31" sqref="D31"/>
    </sheetView>
  </sheetViews>
  <sheetFormatPr baseColWidth="10" defaultRowHeight="14.5" x14ac:dyDescent="0.35"/>
  <cols>
    <col min="8" max="8" width="5.453125" customWidth="1"/>
    <col min="9" max="9" width="4.26953125" customWidth="1"/>
    <col min="10" max="10" width="6.7265625" customWidth="1"/>
  </cols>
  <sheetData>
    <row r="1" spans="1:13" ht="18.5" x14ac:dyDescent="0.35">
      <c r="A1" s="3" t="s">
        <v>0</v>
      </c>
      <c r="D1" s="2">
        <v>500000</v>
      </c>
    </row>
    <row r="2" spans="1:13" ht="18.5" x14ac:dyDescent="0.35">
      <c r="A2" s="3" t="s">
        <v>1</v>
      </c>
    </row>
    <row r="3" spans="1:13" ht="18.5" x14ac:dyDescent="0.35">
      <c r="A3" s="3" t="s">
        <v>2</v>
      </c>
    </row>
    <row r="4" spans="1:13" ht="18.5" x14ac:dyDescent="0.45">
      <c r="A4" s="4" t="s">
        <v>3</v>
      </c>
      <c r="D4" s="1">
        <v>0.1</v>
      </c>
    </row>
    <row r="5" spans="1:13" ht="18.5" x14ac:dyDescent="0.45">
      <c r="A5" s="4" t="s">
        <v>4</v>
      </c>
      <c r="D5" s="1">
        <v>0.08</v>
      </c>
    </row>
    <row r="6" spans="1:13" ht="18.5" x14ac:dyDescent="0.45">
      <c r="A6" s="4" t="s">
        <v>6</v>
      </c>
      <c r="D6" s="1">
        <v>0.13</v>
      </c>
    </row>
    <row r="8" spans="1:13" x14ac:dyDescent="0.35">
      <c r="K8" s="6" t="s">
        <v>9</v>
      </c>
      <c r="L8" s="6" t="s">
        <v>8</v>
      </c>
      <c r="M8" s="6" t="s">
        <v>10</v>
      </c>
    </row>
    <row r="9" spans="1:13" ht="18.5" x14ac:dyDescent="0.45">
      <c r="A9" s="4" t="s">
        <v>84</v>
      </c>
      <c r="D9" s="2">
        <v>1</v>
      </c>
      <c r="E9" s="2">
        <v>2</v>
      </c>
      <c r="F9" s="2">
        <v>3</v>
      </c>
      <c r="G9" s="2">
        <v>4</v>
      </c>
      <c r="M9" s="2">
        <f>+C11</f>
        <v>499999.99999999983</v>
      </c>
    </row>
    <row r="10" spans="1:13" x14ac:dyDescent="0.35">
      <c r="D10" s="2">
        <f>+($D$1*$D$4)</f>
        <v>50000</v>
      </c>
      <c r="E10" s="2">
        <f t="shared" ref="E10:F10" si="0">+($D$1*$D$4)</f>
        <v>50000</v>
      </c>
      <c r="F10" s="2">
        <f t="shared" si="0"/>
        <v>50000</v>
      </c>
      <c r="G10" s="2">
        <f>+($D$1*$D$4)+D$1</f>
        <v>550000</v>
      </c>
      <c r="J10" t="s">
        <v>5</v>
      </c>
      <c r="K10">
        <f>+M9*D$4</f>
        <v>49999.999999999985</v>
      </c>
      <c r="L10" s="2">
        <f>+($D$1*$D$4)</f>
        <v>50000</v>
      </c>
      <c r="M10" s="2">
        <f>+M9+K10-L10</f>
        <v>499999.99999999977</v>
      </c>
    </row>
    <row r="11" spans="1:13" x14ac:dyDescent="0.35">
      <c r="C11" s="5">
        <f>NPV(D4,D10:G10)</f>
        <v>499999.99999999983</v>
      </c>
      <c r="D11" s="2"/>
      <c r="E11" s="2"/>
      <c r="F11" s="2"/>
      <c r="G11" s="2"/>
      <c r="J11" t="s">
        <v>7</v>
      </c>
      <c r="K11">
        <f t="shared" ref="K11:K13" si="1">+M10*D$4</f>
        <v>49999.999999999978</v>
      </c>
      <c r="L11" s="2">
        <f t="shared" ref="L11:L13" si="2">+($D$1*$D$4)</f>
        <v>50000</v>
      </c>
      <c r="M11" s="2">
        <f>+M10+K11-L11</f>
        <v>499999.99999999977</v>
      </c>
    </row>
    <row r="12" spans="1:13" x14ac:dyDescent="0.35">
      <c r="D12" s="2"/>
      <c r="E12" s="2"/>
      <c r="F12" s="2"/>
      <c r="G12" s="2"/>
      <c r="J12" t="s">
        <v>11</v>
      </c>
      <c r="K12">
        <f t="shared" si="1"/>
        <v>49999.999999999978</v>
      </c>
      <c r="L12" s="2">
        <f t="shared" si="2"/>
        <v>50000</v>
      </c>
      <c r="M12" s="2">
        <f>+M11+K12-L12</f>
        <v>499999.99999999977</v>
      </c>
    </row>
    <row r="13" spans="1:13" x14ac:dyDescent="0.35">
      <c r="D13" s="2"/>
      <c r="E13" s="2"/>
      <c r="F13" s="2"/>
      <c r="G13" s="2"/>
      <c r="J13" t="s">
        <v>12</v>
      </c>
      <c r="K13">
        <f t="shared" si="1"/>
        <v>49999.999999999978</v>
      </c>
      <c r="L13" s="2">
        <f t="shared" si="2"/>
        <v>50000</v>
      </c>
      <c r="M13" s="2">
        <f>+M12+K13-L13</f>
        <v>499999.99999999977</v>
      </c>
    </row>
    <row r="14" spans="1:13" x14ac:dyDescent="0.35">
      <c r="D14" s="2"/>
      <c r="E14" s="2"/>
      <c r="F14" s="2"/>
      <c r="G14" s="2"/>
    </row>
    <row r="15" spans="1:13" x14ac:dyDescent="0.35">
      <c r="D15" s="2"/>
      <c r="E15" s="2"/>
      <c r="F15" s="2"/>
      <c r="G15" s="2"/>
    </row>
    <row r="16" spans="1:13" x14ac:dyDescent="0.35">
      <c r="K16" s="6" t="s">
        <v>9</v>
      </c>
      <c r="L16" s="6" t="s">
        <v>8</v>
      </c>
      <c r="M16" s="6" t="s">
        <v>10</v>
      </c>
    </row>
    <row r="17" spans="1:13" ht="18.5" x14ac:dyDescent="0.45">
      <c r="A17" s="34" t="s">
        <v>85</v>
      </c>
      <c r="B17" s="35"/>
      <c r="D17" s="2">
        <v>1</v>
      </c>
      <c r="E17" s="2">
        <v>2</v>
      </c>
      <c r="F17" s="2">
        <v>3</v>
      </c>
      <c r="G17" s="2">
        <v>4</v>
      </c>
      <c r="M17" s="2">
        <f>+C19</f>
        <v>533121.26840044325</v>
      </c>
    </row>
    <row r="18" spans="1:13" x14ac:dyDescent="0.35">
      <c r="D18" s="2">
        <f>+($D$1*$D$4)</f>
        <v>50000</v>
      </c>
      <c r="E18" s="2">
        <f t="shared" ref="E18:F18" si="3">+($D$1*$D$4)</f>
        <v>50000</v>
      </c>
      <c r="F18" s="2">
        <f t="shared" si="3"/>
        <v>50000</v>
      </c>
      <c r="G18" s="2">
        <f>+($D$1*$D$4)+D$1</f>
        <v>550000</v>
      </c>
      <c r="J18" t="s">
        <v>5</v>
      </c>
      <c r="K18" s="7">
        <f>+M17*D$5</f>
        <v>42649.701472035464</v>
      </c>
      <c r="L18" s="2">
        <f>+($D$1*$D$4)</f>
        <v>50000</v>
      </c>
      <c r="M18" s="2">
        <f>+M17+K18-L18</f>
        <v>525770.96987247874</v>
      </c>
    </row>
    <row r="19" spans="1:13" x14ac:dyDescent="0.35">
      <c r="C19" s="5">
        <f>NPV(D5,D18:G18)</f>
        <v>533121.26840044325</v>
      </c>
      <c r="D19" s="2"/>
      <c r="E19" s="2"/>
      <c r="F19" s="2"/>
      <c r="G19" s="2"/>
      <c r="J19" t="s">
        <v>7</v>
      </c>
      <c r="K19" s="7">
        <f t="shared" ref="K19:K21" si="4">+M18*D$5</f>
        <v>42061.677589798303</v>
      </c>
      <c r="L19" s="2">
        <f t="shared" ref="L19:L21" si="5">+($D$1*$D$4)</f>
        <v>50000</v>
      </c>
      <c r="M19" s="2">
        <f>+M18+K19-L19</f>
        <v>517832.64746227709</v>
      </c>
    </row>
    <row r="20" spans="1:13" x14ac:dyDescent="0.35">
      <c r="D20" s="2"/>
      <c r="E20" s="2"/>
      <c r="F20" s="2"/>
      <c r="G20" s="2"/>
      <c r="J20" t="s">
        <v>11</v>
      </c>
      <c r="K20" s="7">
        <f t="shared" si="4"/>
        <v>41426.611796982172</v>
      </c>
      <c r="L20" s="2">
        <f t="shared" si="5"/>
        <v>50000</v>
      </c>
      <c r="M20" s="2">
        <f>+M19+K20-L20</f>
        <v>509259.25925925921</v>
      </c>
    </row>
    <row r="21" spans="1:13" x14ac:dyDescent="0.35">
      <c r="D21" s="2"/>
      <c r="E21" s="2"/>
      <c r="F21" s="2"/>
      <c r="G21" s="2"/>
      <c r="J21" t="s">
        <v>12</v>
      </c>
      <c r="K21" s="7">
        <f t="shared" si="4"/>
        <v>40740.740740740737</v>
      </c>
      <c r="L21" s="2">
        <f t="shared" si="5"/>
        <v>50000</v>
      </c>
      <c r="M21" s="2">
        <f>+M20+K21-L21</f>
        <v>500000</v>
      </c>
    </row>
    <row r="24" spans="1:13" x14ac:dyDescent="0.35">
      <c r="K24" s="6" t="s">
        <v>9</v>
      </c>
      <c r="L24" s="6" t="s">
        <v>8</v>
      </c>
      <c r="M24" s="6" t="s">
        <v>10</v>
      </c>
    </row>
    <row r="25" spans="1:13" ht="18.5" x14ac:dyDescent="0.45">
      <c r="A25" s="34" t="s">
        <v>86</v>
      </c>
      <c r="B25" s="35"/>
      <c r="D25" s="2">
        <v>1</v>
      </c>
      <c r="E25" s="2">
        <v>2</v>
      </c>
      <c r="F25" s="2">
        <v>3</v>
      </c>
      <c r="G25" s="2">
        <v>4</v>
      </c>
      <c r="M25" s="2">
        <f>+C27</f>
        <v>455382.93011685135</v>
      </c>
    </row>
    <row r="26" spans="1:13" x14ac:dyDescent="0.35">
      <c r="D26" s="2">
        <f>+($D$1*$D$4)</f>
        <v>50000</v>
      </c>
      <c r="E26" s="2">
        <f t="shared" ref="E26:F26" si="6">+($D$1*$D$4)</f>
        <v>50000</v>
      </c>
      <c r="F26" s="2">
        <f t="shared" si="6"/>
        <v>50000</v>
      </c>
      <c r="G26" s="2">
        <f>+($D$1*$D$4)+D$1</f>
        <v>550000</v>
      </c>
      <c r="J26" t="s">
        <v>5</v>
      </c>
      <c r="K26" s="7">
        <f>+M25*D$6</f>
        <v>59199.780915190677</v>
      </c>
      <c r="L26" s="2">
        <f>+($D$1*$D$4)</f>
        <v>50000</v>
      </c>
      <c r="M26" s="2">
        <f>+M25+K26-L26</f>
        <v>464582.71103204205</v>
      </c>
    </row>
    <row r="27" spans="1:13" x14ac:dyDescent="0.35">
      <c r="C27" s="5">
        <f>NPV(D6,D26:G26)</f>
        <v>455382.93011685135</v>
      </c>
      <c r="D27" s="2"/>
      <c r="E27" s="2"/>
      <c r="F27" s="2"/>
      <c r="G27" s="2"/>
      <c r="J27" t="s">
        <v>7</v>
      </c>
      <c r="K27" s="7">
        <f t="shared" ref="K27:K29" si="7">+M26*D$6</f>
        <v>60395.752434165472</v>
      </c>
      <c r="L27" s="2">
        <f t="shared" ref="L27:L29" si="8">+($D$1*$D$4)</f>
        <v>50000</v>
      </c>
      <c r="M27" s="2">
        <f>+M26+K27-L27</f>
        <v>474978.4634662075</v>
      </c>
    </row>
    <row r="28" spans="1:13" x14ac:dyDescent="0.35">
      <c r="D28" s="2"/>
      <c r="E28" s="2"/>
      <c r="F28" s="2"/>
      <c r="G28" s="2"/>
      <c r="J28" t="s">
        <v>11</v>
      </c>
      <c r="K28" s="7">
        <f t="shared" si="7"/>
        <v>61747.200250606977</v>
      </c>
      <c r="L28" s="2">
        <f t="shared" si="8"/>
        <v>50000</v>
      </c>
      <c r="M28" s="2">
        <f>+M27+K28-L28</f>
        <v>486725.66371681448</v>
      </c>
    </row>
    <row r="29" spans="1:13" x14ac:dyDescent="0.35">
      <c r="D29" s="2"/>
      <c r="E29" s="2"/>
      <c r="F29" s="2"/>
      <c r="G29" s="2"/>
      <c r="J29" t="s">
        <v>12</v>
      </c>
      <c r="K29" s="7">
        <f t="shared" si="7"/>
        <v>63274.336283185883</v>
      </c>
      <c r="L29" s="2">
        <f t="shared" si="8"/>
        <v>50000</v>
      </c>
      <c r="M29" s="2">
        <f>+M28+K29-L29</f>
        <v>500000.00000000035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workbookViewId="0">
      <selection activeCell="C10" sqref="C10"/>
    </sheetView>
  </sheetViews>
  <sheetFormatPr baseColWidth="10" defaultRowHeight="14.5" x14ac:dyDescent="0.35"/>
  <cols>
    <col min="8" max="8" width="5.453125" customWidth="1"/>
    <col min="9" max="9" width="4.26953125" customWidth="1"/>
    <col min="10" max="10" width="6.7265625" customWidth="1"/>
  </cols>
  <sheetData>
    <row r="1" spans="1:19" ht="15.5" x14ac:dyDescent="0.35">
      <c r="A1" s="8" t="s">
        <v>13</v>
      </c>
      <c r="D1" s="2">
        <v>500000</v>
      </c>
    </row>
    <row r="2" spans="1:19" ht="15.5" x14ac:dyDescent="0.35">
      <c r="A2" s="9" t="s">
        <v>15</v>
      </c>
      <c r="D2">
        <v>99</v>
      </c>
    </row>
    <row r="3" spans="1:19" ht="15.5" x14ac:dyDescent="0.35">
      <c r="A3" s="8" t="s">
        <v>1</v>
      </c>
    </row>
    <row r="4" spans="1:19" ht="15.5" x14ac:dyDescent="0.35">
      <c r="A4" s="8" t="s">
        <v>16</v>
      </c>
      <c r="D4" s="1">
        <v>0.12</v>
      </c>
    </row>
    <row r="5" spans="1:19" ht="15.5" x14ac:dyDescent="0.35">
      <c r="A5" s="8" t="s">
        <v>14</v>
      </c>
      <c r="D5" s="2">
        <v>75000</v>
      </c>
    </row>
    <row r="6" spans="1:19" ht="18.5" x14ac:dyDescent="0.45">
      <c r="A6" s="4"/>
      <c r="D6" s="1"/>
    </row>
    <row r="8" spans="1:19" x14ac:dyDescent="0.35">
      <c r="Q8" s="6" t="s">
        <v>9</v>
      </c>
      <c r="R8" s="6" t="s">
        <v>8</v>
      </c>
      <c r="S8" s="6" t="s">
        <v>10</v>
      </c>
    </row>
    <row r="9" spans="1:19" ht="18.5" x14ac:dyDescent="0.45">
      <c r="A9" s="4" t="s">
        <v>18</v>
      </c>
      <c r="D9" s="2">
        <v>1</v>
      </c>
      <c r="E9" s="2">
        <v>2</v>
      </c>
      <c r="F9" s="2">
        <v>3</v>
      </c>
      <c r="G9" s="2">
        <v>4</v>
      </c>
      <c r="S9" s="2">
        <f>-C10</f>
        <v>495000</v>
      </c>
    </row>
    <row r="10" spans="1:19" x14ac:dyDescent="0.35">
      <c r="C10" s="2">
        <f>-D$1*(D$2/100)</f>
        <v>-495000</v>
      </c>
      <c r="D10" s="2">
        <f>+($D$1*$D$4)</f>
        <v>60000</v>
      </c>
      <c r="E10" s="2">
        <f t="shared" ref="E10:F10" si="0">+($D$1*$D$4)</f>
        <v>60000</v>
      </c>
      <c r="F10" s="2">
        <f t="shared" si="0"/>
        <v>60000</v>
      </c>
      <c r="G10" s="2">
        <f>+($D$1*$D$4)+D$1</f>
        <v>560000</v>
      </c>
      <c r="P10" t="s">
        <v>5</v>
      </c>
      <c r="Q10" s="2">
        <f>+S9*B$11</f>
        <v>61041.104014886005</v>
      </c>
      <c r="R10" s="2">
        <f>+($D$1*$D$4)</f>
        <v>60000</v>
      </c>
      <c r="S10" s="2">
        <f>+S9+Q10-R10</f>
        <v>496041.10401488596</v>
      </c>
    </row>
    <row r="11" spans="1:19" x14ac:dyDescent="0.35">
      <c r="B11" s="10">
        <f>IRR(C10:G10,0.1)</f>
        <v>0.12331536164623436</v>
      </c>
      <c r="C11" s="5"/>
      <c r="D11" s="2"/>
      <c r="E11" s="2"/>
      <c r="F11" s="2"/>
      <c r="G11" s="2"/>
      <c r="P11" t="s">
        <v>7</v>
      </c>
      <c r="Q11" s="2">
        <f>+S10*B$11</f>
        <v>61169.488132993014</v>
      </c>
      <c r="R11" s="2">
        <f t="shared" ref="R11:R13" si="1">+($D$1*$D$4)</f>
        <v>60000</v>
      </c>
      <c r="S11" s="2">
        <f>+S10+Q11-R11</f>
        <v>497210.59214787895</v>
      </c>
    </row>
    <row r="12" spans="1:19" x14ac:dyDescent="0.35">
      <c r="D12" s="2"/>
      <c r="E12" s="2"/>
      <c r="F12" s="2"/>
      <c r="G12" s="2"/>
      <c r="P12" t="s">
        <v>11</v>
      </c>
      <c r="Q12" s="2">
        <f>+S11*B$11</f>
        <v>61313.703985054024</v>
      </c>
      <c r="R12" s="2">
        <f t="shared" si="1"/>
        <v>60000</v>
      </c>
      <c r="S12" s="2">
        <f>+S11+Q12-R12</f>
        <v>498524.296132933</v>
      </c>
    </row>
    <row r="13" spans="1:19" x14ac:dyDescent="0.35">
      <c r="D13" s="2"/>
      <c r="E13" s="2"/>
      <c r="F13" s="2"/>
      <c r="G13" s="2"/>
      <c r="K13" s="6" t="s">
        <v>9</v>
      </c>
      <c r="L13" s="6" t="s">
        <v>8</v>
      </c>
      <c r="M13" s="6" t="s">
        <v>10</v>
      </c>
      <c r="P13" t="s">
        <v>12</v>
      </c>
      <c r="Q13" s="2">
        <f>+S12*B$11</f>
        <v>61475.703867067066</v>
      </c>
      <c r="R13" s="2">
        <f t="shared" si="1"/>
        <v>60000</v>
      </c>
      <c r="S13" s="2">
        <f>+S12+Q13-R13</f>
        <v>500000.00000000012</v>
      </c>
    </row>
    <row r="14" spans="1:19" ht="18.5" x14ac:dyDescent="0.45">
      <c r="A14" s="4" t="s">
        <v>17</v>
      </c>
      <c r="D14" s="2">
        <v>1</v>
      </c>
      <c r="E14" s="2">
        <v>2</v>
      </c>
      <c r="F14" s="2">
        <v>3</v>
      </c>
      <c r="G14" s="2">
        <v>4</v>
      </c>
      <c r="M14" s="2">
        <f>-C15</f>
        <v>420000</v>
      </c>
    </row>
    <row r="15" spans="1:19" x14ac:dyDescent="0.35">
      <c r="C15" s="2">
        <f>(-D$1*(D$2/100))+D5</f>
        <v>-420000</v>
      </c>
      <c r="D15" s="2">
        <f>+($D$1*$D$4)</f>
        <v>60000</v>
      </c>
      <c r="E15" s="2">
        <f t="shared" ref="E15:F15" si="2">+($D$1*$D$4)</f>
        <v>60000</v>
      </c>
      <c r="F15" s="2">
        <f t="shared" si="2"/>
        <v>60000</v>
      </c>
      <c r="G15" s="2">
        <f>+($D$1*$D$4)+D$1</f>
        <v>560000</v>
      </c>
      <c r="J15" t="s">
        <v>5</v>
      </c>
      <c r="K15" s="2">
        <f>+M14*B$16</f>
        <v>75352.180136972966</v>
      </c>
      <c r="L15" s="2">
        <f>+($D$1*$D$4)</f>
        <v>60000</v>
      </c>
      <c r="M15" s="2">
        <f>+M14+K15-L15</f>
        <v>435352.18013697298</v>
      </c>
    </row>
    <row r="16" spans="1:19" x14ac:dyDescent="0.35">
      <c r="B16" s="10">
        <f>IRR(C15:G15,0.1)</f>
        <v>0.17940995270707849</v>
      </c>
      <c r="C16" s="5"/>
      <c r="D16" s="2"/>
      <c r="E16" s="2"/>
      <c r="F16" s="2"/>
      <c r="G16" s="2"/>
      <c r="J16" t="s">
        <v>7</v>
      </c>
      <c r="K16" s="2">
        <f t="shared" ref="K16:K18" si="3">+M15*B$16</f>
        <v>78106.514049297839</v>
      </c>
      <c r="L16" s="2">
        <f t="shared" ref="L16:L18" si="4">+($D$1*$D$4)</f>
        <v>60000</v>
      </c>
      <c r="M16" s="2">
        <f>+M15+K16-L16</f>
        <v>453458.69418627082</v>
      </c>
    </row>
    <row r="17" spans="4:13" x14ac:dyDescent="0.35">
      <c r="D17" s="2"/>
      <c r="E17" s="2"/>
      <c r="F17" s="2"/>
      <c r="G17" s="2"/>
      <c r="J17" t="s">
        <v>11</v>
      </c>
      <c r="K17" s="2">
        <f t="shared" si="3"/>
        <v>81355.002878572413</v>
      </c>
      <c r="L17" s="2">
        <f t="shared" si="4"/>
        <v>60000</v>
      </c>
      <c r="M17" s="2">
        <f>+M16+K17-L17</f>
        <v>474813.69706484326</v>
      </c>
    </row>
    <row r="18" spans="4:13" x14ac:dyDescent="0.35">
      <c r="D18" s="2"/>
      <c r="E18" s="2"/>
      <c r="F18" s="2"/>
      <c r="G18" s="2"/>
      <c r="J18" t="s">
        <v>12</v>
      </c>
      <c r="K18" s="2">
        <f t="shared" si="3"/>
        <v>85186.302935076616</v>
      </c>
      <c r="L18" s="2">
        <f t="shared" si="4"/>
        <v>60000</v>
      </c>
      <c r="M18" s="2">
        <f>+M17+K18-L18</f>
        <v>499999.99999991991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"/>
  <sheetViews>
    <sheetView workbookViewId="0">
      <selection activeCell="F19" sqref="F19"/>
    </sheetView>
  </sheetViews>
  <sheetFormatPr baseColWidth="10" defaultRowHeight="14.5" x14ac:dyDescent="0.35"/>
  <cols>
    <col min="4" max="4" width="8.81640625" bestFit="1" customWidth="1"/>
    <col min="5" max="6" width="7.81640625" bestFit="1" customWidth="1"/>
    <col min="7" max="7" width="8.81640625" bestFit="1" customWidth="1"/>
    <col min="8" max="10" width="7.81640625" bestFit="1" customWidth="1"/>
    <col min="11" max="11" width="8.81640625" bestFit="1" customWidth="1"/>
    <col min="12" max="12" width="5.453125" customWidth="1"/>
    <col min="13" max="13" width="4.26953125" customWidth="1"/>
    <col min="14" max="14" width="6.7265625" customWidth="1"/>
  </cols>
  <sheetData>
    <row r="1" spans="1:23" ht="15.5" x14ac:dyDescent="0.35">
      <c r="A1" s="8" t="s">
        <v>19</v>
      </c>
      <c r="D1" s="2">
        <v>800000</v>
      </c>
    </row>
    <row r="2" spans="1:23" ht="15.5" x14ac:dyDescent="0.35">
      <c r="A2" s="9" t="s">
        <v>22</v>
      </c>
      <c r="D2">
        <v>101</v>
      </c>
    </row>
    <row r="3" spans="1:23" ht="15.5" x14ac:dyDescent="0.35">
      <c r="A3" s="8" t="s">
        <v>1</v>
      </c>
    </row>
    <row r="4" spans="1:23" ht="15.5" x14ac:dyDescent="0.35">
      <c r="A4" s="8" t="s">
        <v>20</v>
      </c>
      <c r="D4" s="1">
        <v>7.0000000000000007E-2</v>
      </c>
    </row>
    <row r="5" spans="1:23" ht="15.5" x14ac:dyDescent="0.35">
      <c r="A5" s="8" t="s">
        <v>21</v>
      </c>
      <c r="D5" s="2">
        <v>95000</v>
      </c>
    </row>
    <row r="6" spans="1:23" ht="18.5" x14ac:dyDescent="0.45">
      <c r="A6" s="4"/>
      <c r="D6" s="1"/>
    </row>
    <row r="8" spans="1:23" x14ac:dyDescent="0.35">
      <c r="U8" s="6"/>
      <c r="V8" s="6"/>
      <c r="W8" s="6"/>
    </row>
    <row r="9" spans="1:23" ht="18.5" x14ac:dyDescent="0.45">
      <c r="A9" s="4" t="s">
        <v>18</v>
      </c>
      <c r="D9" s="11">
        <v>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  <c r="K9" s="2">
        <v>8</v>
      </c>
      <c r="W9" s="2"/>
    </row>
    <row r="10" spans="1:23" x14ac:dyDescent="0.35">
      <c r="C10" s="2">
        <f>-D$1*(D$2/100)</f>
        <v>-808000</v>
      </c>
      <c r="D10" s="2">
        <f>+($D$1*$D$4)</f>
        <v>56000.000000000007</v>
      </c>
      <c r="E10" s="2">
        <f t="shared" ref="E10:J10" si="0">+($D$1*$D$4)</f>
        <v>56000.000000000007</v>
      </c>
      <c r="F10" s="2">
        <f t="shared" si="0"/>
        <v>56000.000000000007</v>
      </c>
      <c r="G10" s="2">
        <f t="shared" si="0"/>
        <v>56000.000000000007</v>
      </c>
      <c r="H10" s="2">
        <f t="shared" si="0"/>
        <v>56000.000000000007</v>
      </c>
      <c r="I10" s="2">
        <f t="shared" si="0"/>
        <v>56000.000000000007</v>
      </c>
      <c r="J10" s="2">
        <f t="shared" si="0"/>
        <v>56000.000000000007</v>
      </c>
      <c r="K10" s="2">
        <f>+($D$1*$D$4)+D$1</f>
        <v>856000</v>
      </c>
      <c r="U10" s="2"/>
      <c r="V10" s="2"/>
      <c r="W10" s="2"/>
    </row>
    <row r="11" spans="1:23" x14ac:dyDescent="0.35">
      <c r="B11" s="10">
        <f>IRR(C10:K10,0.1)</f>
        <v>6.8336104811386411E-2</v>
      </c>
      <c r="C11" s="5" t="s">
        <v>23</v>
      </c>
      <c r="D11" s="2"/>
      <c r="E11" s="2"/>
      <c r="F11" s="2"/>
      <c r="G11" s="2"/>
      <c r="H11" s="2"/>
      <c r="I11" s="2"/>
      <c r="J11" s="2"/>
      <c r="K11" s="2"/>
      <c r="U11" s="2"/>
      <c r="V11" s="2"/>
      <c r="W11" s="2"/>
    </row>
    <row r="12" spans="1:23" x14ac:dyDescent="0.35">
      <c r="B12" s="10">
        <f>+B11*2</f>
        <v>0.13667220962277282</v>
      </c>
      <c r="C12" t="s">
        <v>24</v>
      </c>
      <c r="D12" s="2"/>
      <c r="E12" s="2"/>
      <c r="F12" s="2"/>
      <c r="G12" s="2"/>
      <c r="H12" s="2"/>
      <c r="I12" s="2"/>
      <c r="J12" s="2"/>
      <c r="K12" s="2"/>
      <c r="U12" s="2"/>
      <c r="V12" s="2"/>
      <c r="W12" s="2"/>
    </row>
    <row r="13" spans="1:23" x14ac:dyDescent="0.35">
      <c r="D13" s="2"/>
      <c r="E13" s="2"/>
      <c r="F13" s="2"/>
      <c r="G13" s="2"/>
      <c r="H13" s="2"/>
      <c r="I13" s="2"/>
      <c r="J13" s="2"/>
      <c r="K13" s="2"/>
      <c r="O13" s="6" t="s">
        <v>9</v>
      </c>
      <c r="P13" s="6" t="s">
        <v>8</v>
      </c>
      <c r="Q13" s="6" t="s">
        <v>10</v>
      </c>
      <c r="U13" s="2"/>
      <c r="V13" s="2"/>
      <c r="W13" s="2"/>
    </row>
    <row r="14" spans="1:23" ht="18.5" x14ac:dyDescent="0.45">
      <c r="A14" s="4" t="s">
        <v>17</v>
      </c>
      <c r="D14" s="11">
        <v>1</v>
      </c>
      <c r="E14" s="11">
        <v>2</v>
      </c>
      <c r="F14" s="11">
        <v>3</v>
      </c>
      <c r="G14" s="11">
        <v>4</v>
      </c>
      <c r="H14" s="11">
        <v>5</v>
      </c>
      <c r="I14" s="11">
        <v>6</v>
      </c>
      <c r="J14" s="11">
        <v>7</v>
      </c>
      <c r="K14" s="2">
        <v>8</v>
      </c>
      <c r="Q14" s="2">
        <f>-C15</f>
        <v>713000</v>
      </c>
    </row>
    <row r="15" spans="1:23" x14ac:dyDescent="0.35">
      <c r="C15" s="2">
        <f>(-D$1*(D$2/100))+D5</f>
        <v>-713000</v>
      </c>
      <c r="D15" s="2">
        <f>+D10</f>
        <v>56000.000000000007</v>
      </c>
      <c r="E15" s="2">
        <f t="shared" ref="E15:K15" si="1">+E10</f>
        <v>56000.000000000007</v>
      </c>
      <c r="F15" s="2">
        <f t="shared" si="1"/>
        <v>56000.000000000007</v>
      </c>
      <c r="G15" s="2">
        <f t="shared" si="1"/>
        <v>56000.000000000007</v>
      </c>
      <c r="H15" s="2">
        <f t="shared" si="1"/>
        <v>56000.000000000007</v>
      </c>
      <c r="I15" s="2">
        <f t="shared" si="1"/>
        <v>56000.000000000007</v>
      </c>
      <c r="J15" s="2">
        <f t="shared" si="1"/>
        <v>56000.000000000007</v>
      </c>
      <c r="K15" s="2">
        <f t="shared" si="1"/>
        <v>856000</v>
      </c>
      <c r="N15" t="s">
        <v>5</v>
      </c>
      <c r="O15" s="2">
        <f>+Q14*B$16</f>
        <v>63899.519348269634</v>
      </c>
      <c r="P15" s="2">
        <f>+($D$1*$D$4)</f>
        <v>56000.000000000007</v>
      </c>
      <c r="Q15" s="2">
        <f>+Q14+O15-P15</f>
        <v>720899.51934826968</v>
      </c>
    </row>
    <row r="16" spans="1:23" x14ac:dyDescent="0.35">
      <c r="B16" s="10">
        <f>IRR(C15:K15,0.1)</f>
        <v>8.9620644247222492E-2</v>
      </c>
      <c r="C16" s="5" t="s">
        <v>23</v>
      </c>
      <c r="D16" s="2"/>
      <c r="E16" s="2"/>
      <c r="F16" s="2"/>
      <c r="G16" s="2"/>
      <c r="H16" s="2"/>
      <c r="I16" s="2"/>
      <c r="J16" s="2"/>
      <c r="K16" s="2"/>
      <c r="N16" t="s">
        <v>7</v>
      </c>
      <c r="O16" s="2">
        <f t="shared" ref="O16:O18" si="2">+Q15*B$16</f>
        <v>64607.479361504964</v>
      </c>
      <c r="P16" s="2">
        <f t="shared" ref="P16:P22" si="3">+($D$1*$D$4)</f>
        <v>56000.000000000007</v>
      </c>
      <c r="Q16" s="2">
        <f>+Q15+O16-P16</f>
        <v>729506.99870977469</v>
      </c>
    </row>
    <row r="17" spans="2:17" x14ac:dyDescent="0.35">
      <c r="B17" s="10">
        <f>+B16*2</f>
        <v>0.17924128849444498</v>
      </c>
      <c r="C17" t="s">
        <v>24</v>
      </c>
      <c r="D17" s="2"/>
      <c r="E17" s="2"/>
      <c r="F17" s="2"/>
      <c r="G17" s="2"/>
      <c r="H17" s="2"/>
      <c r="I17" s="2"/>
      <c r="J17" s="2"/>
      <c r="K17" s="2"/>
      <c r="N17" t="s">
        <v>11</v>
      </c>
      <c r="O17" s="2">
        <f t="shared" si="2"/>
        <v>65378.887207227715</v>
      </c>
      <c r="P17" s="2">
        <f t="shared" si="3"/>
        <v>56000.000000000007</v>
      </c>
      <c r="Q17" s="2">
        <f>+Q16+O17-P17</f>
        <v>738885.88591700245</v>
      </c>
    </row>
    <row r="18" spans="2:17" x14ac:dyDescent="0.35">
      <c r="D18" s="2"/>
      <c r="E18" s="2"/>
      <c r="F18" s="2"/>
      <c r="G18" s="2"/>
      <c r="H18" s="2"/>
      <c r="I18" s="2"/>
      <c r="J18" s="2"/>
      <c r="K18" s="2"/>
      <c r="N18" t="s">
        <v>12</v>
      </c>
      <c r="O18" s="2">
        <f t="shared" si="2"/>
        <v>66219.429121061505</v>
      </c>
      <c r="P18" s="2">
        <f t="shared" si="3"/>
        <v>56000.000000000007</v>
      </c>
      <c r="Q18" s="2">
        <f>+Q17+O18-P18</f>
        <v>749105.31503806391</v>
      </c>
    </row>
    <row r="19" spans="2:17" x14ac:dyDescent="0.35">
      <c r="N19" t="s">
        <v>25</v>
      </c>
      <c r="O19" s="2">
        <f t="shared" ref="O19:O22" si="4">+Q18*B$16</f>
        <v>67135.300942729853</v>
      </c>
      <c r="P19" s="2">
        <f t="shared" si="3"/>
        <v>56000.000000000007</v>
      </c>
      <c r="Q19" s="2">
        <f t="shared" ref="Q19:Q22" si="5">+Q18+O19-P19</f>
        <v>760240.61598079372</v>
      </c>
    </row>
    <row r="20" spans="2:17" x14ac:dyDescent="0.35">
      <c r="N20" t="s">
        <v>26</v>
      </c>
      <c r="O20" s="2">
        <f t="shared" si="4"/>
        <v>68133.253787104011</v>
      </c>
      <c r="P20" s="2">
        <f t="shared" si="3"/>
        <v>56000.000000000007</v>
      </c>
      <c r="Q20" s="2">
        <f t="shared" si="5"/>
        <v>772373.86976789776</v>
      </c>
    </row>
    <row r="21" spans="2:17" x14ac:dyDescent="0.35">
      <c r="N21" t="s">
        <v>27</v>
      </c>
      <c r="O21" s="2">
        <f t="shared" si="4"/>
        <v>69220.643808319321</v>
      </c>
      <c r="P21" s="2">
        <f t="shared" si="3"/>
        <v>56000.000000000007</v>
      </c>
      <c r="Q21" s="2">
        <f t="shared" si="5"/>
        <v>785594.51357621711</v>
      </c>
    </row>
    <row r="22" spans="2:17" x14ac:dyDescent="0.35">
      <c r="N22" t="s">
        <v>28</v>
      </c>
      <c r="O22" s="2">
        <f t="shared" si="4"/>
        <v>70405.48642378395</v>
      </c>
      <c r="P22" s="2">
        <f t="shared" si="3"/>
        <v>56000.000000000007</v>
      </c>
      <c r="Q22" s="2">
        <f t="shared" si="5"/>
        <v>800000.00000000105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selection activeCell="D4" sqref="D4"/>
    </sheetView>
  </sheetViews>
  <sheetFormatPr baseColWidth="10" defaultRowHeight="14.5" x14ac:dyDescent="0.35"/>
  <cols>
    <col min="8" max="8" width="5.453125" customWidth="1"/>
    <col min="9" max="9" width="4.26953125" customWidth="1"/>
    <col min="10" max="10" width="6.7265625" customWidth="1"/>
  </cols>
  <sheetData>
    <row r="1" spans="1:13" ht="18.5" x14ac:dyDescent="0.35">
      <c r="A1" s="3" t="s">
        <v>29</v>
      </c>
      <c r="D1" s="2">
        <v>600000</v>
      </c>
    </row>
    <row r="2" spans="1:13" ht="18.5" x14ac:dyDescent="0.35">
      <c r="A2" s="3" t="s">
        <v>1</v>
      </c>
    </row>
    <row r="3" spans="1:13" ht="18.5" x14ac:dyDescent="0.35">
      <c r="A3" s="3" t="s">
        <v>30</v>
      </c>
      <c r="D3" s="1">
        <v>0.08</v>
      </c>
    </row>
    <row r="4" spans="1:13" ht="19.5" customHeight="1" x14ac:dyDescent="0.45">
      <c r="A4" s="4" t="s">
        <v>31</v>
      </c>
      <c r="D4" s="1">
        <v>0.11</v>
      </c>
    </row>
    <row r="6" spans="1:13" x14ac:dyDescent="0.35">
      <c r="K6" s="6" t="s">
        <v>9</v>
      </c>
      <c r="L6" s="6" t="s">
        <v>8</v>
      </c>
      <c r="M6" s="6" t="s">
        <v>10</v>
      </c>
    </row>
    <row r="7" spans="1:13" ht="18.5" x14ac:dyDescent="0.45">
      <c r="A7" s="4"/>
      <c r="D7" s="2">
        <v>1</v>
      </c>
      <c r="E7" s="2">
        <v>2</v>
      </c>
      <c r="F7" s="2">
        <v>3</v>
      </c>
      <c r="G7" s="2">
        <v>4</v>
      </c>
      <c r="M7" s="2">
        <f>+C9</f>
        <v>544155.97758736357</v>
      </c>
    </row>
    <row r="8" spans="1:13" x14ac:dyDescent="0.35">
      <c r="D8" s="2">
        <f>+($D$1*$D$3)</f>
        <v>48000</v>
      </c>
      <c r="E8" s="2">
        <f t="shared" ref="E8:F8" si="0">+($D$1*$D$3)</f>
        <v>48000</v>
      </c>
      <c r="F8" s="2">
        <f t="shared" si="0"/>
        <v>48000</v>
      </c>
      <c r="G8" s="2">
        <f>+($D$1*$D$3)+D$1</f>
        <v>648000</v>
      </c>
      <c r="J8" t="s">
        <v>5</v>
      </c>
      <c r="K8" s="2">
        <f>+M7*D$4</f>
        <v>59857.157534609993</v>
      </c>
      <c r="L8" s="2">
        <f>+($D$1*$D$3)</f>
        <v>48000</v>
      </c>
      <c r="M8" s="2">
        <f>+M7+K8-L8</f>
        <v>556013.13512197358</v>
      </c>
    </row>
    <row r="9" spans="1:13" x14ac:dyDescent="0.35">
      <c r="C9" s="5">
        <f>NPV(D4,D8:G8)</f>
        <v>544155.97758736357</v>
      </c>
      <c r="D9" s="2"/>
      <c r="E9" s="2"/>
      <c r="F9" s="2"/>
      <c r="G9" s="2"/>
      <c r="J9" t="s">
        <v>7</v>
      </c>
      <c r="K9" s="2">
        <f t="shared" ref="K9:K11" si="1">+M8*D$4</f>
        <v>61161.444863417091</v>
      </c>
      <c r="L9" s="2">
        <f t="shared" ref="L9:L11" si="2">+($D$1*$D$3)</f>
        <v>48000</v>
      </c>
      <c r="M9" s="2">
        <f>+M8+K9-L9</f>
        <v>569174.57998539065</v>
      </c>
    </row>
    <row r="10" spans="1:13" x14ac:dyDescent="0.35">
      <c r="D10" s="2"/>
      <c r="E10" s="2"/>
      <c r="F10" s="2"/>
      <c r="G10" s="2"/>
      <c r="J10" t="s">
        <v>11</v>
      </c>
      <c r="K10" s="2">
        <f t="shared" si="1"/>
        <v>62609.203798392969</v>
      </c>
      <c r="L10" s="2">
        <f t="shared" si="2"/>
        <v>48000</v>
      </c>
      <c r="M10" s="2">
        <f>+M9+K10-L10</f>
        <v>583783.78378378367</v>
      </c>
    </row>
    <row r="11" spans="1:13" x14ac:dyDescent="0.35">
      <c r="D11" s="2"/>
      <c r="E11" s="2"/>
      <c r="F11" s="2"/>
      <c r="G11" s="2"/>
      <c r="J11" t="s">
        <v>12</v>
      </c>
      <c r="K11" s="2">
        <f t="shared" si="1"/>
        <v>64216.216216216206</v>
      </c>
      <c r="L11" s="2">
        <f t="shared" si="2"/>
        <v>48000</v>
      </c>
      <c r="M11" s="2">
        <f>+M10+K11-L11</f>
        <v>599999.99999999988</v>
      </c>
    </row>
    <row r="12" spans="1:13" x14ac:dyDescent="0.35">
      <c r="E12" s="2"/>
      <c r="F12" s="2"/>
      <c r="G12" s="2"/>
    </row>
    <row r="13" spans="1:13" x14ac:dyDescent="0.35">
      <c r="A13" s="13" t="s">
        <v>35</v>
      </c>
      <c r="E13" s="2"/>
      <c r="F13" s="2"/>
      <c r="G13" s="2"/>
    </row>
    <row r="14" spans="1:13" x14ac:dyDescent="0.35">
      <c r="A14" t="s">
        <v>32</v>
      </c>
      <c r="C14" s="2">
        <f>+D1</f>
        <v>600000</v>
      </c>
      <c r="D14" s="2"/>
    </row>
    <row r="15" spans="1:13" x14ac:dyDescent="0.35">
      <c r="A15" s="12" t="s">
        <v>33</v>
      </c>
      <c r="D15" s="2">
        <f>+C9</f>
        <v>544155.97758736357</v>
      </c>
    </row>
    <row r="16" spans="1:13" x14ac:dyDescent="0.35">
      <c r="A16" t="s">
        <v>34</v>
      </c>
      <c r="D16" s="2">
        <f>+C14-D15</f>
        <v>55844.022412636434</v>
      </c>
    </row>
    <row r="18" spans="1:4" x14ac:dyDescent="0.35">
      <c r="A18" s="13" t="s">
        <v>36</v>
      </c>
    </row>
    <row r="19" spans="1:4" x14ac:dyDescent="0.35">
      <c r="A19" t="s">
        <v>37</v>
      </c>
      <c r="C19" s="2">
        <f>+K8</f>
        <v>59857.157534609993</v>
      </c>
    </row>
    <row r="20" spans="1:4" x14ac:dyDescent="0.35">
      <c r="A20" s="12" t="s">
        <v>38</v>
      </c>
      <c r="D20" s="2">
        <f>+L8</f>
        <v>48000</v>
      </c>
    </row>
    <row r="21" spans="1:4" x14ac:dyDescent="0.35">
      <c r="A21" t="s">
        <v>39</v>
      </c>
      <c r="D21" s="2">
        <f>+C19-D20</f>
        <v>11857.157534609993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workbookViewId="0">
      <selection activeCell="C6" sqref="C6"/>
    </sheetView>
  </sheetViews>
  <sheetFormatPr baseColWidth="10" defaultRowHeight="14.5" x14ac:dyDescent="0.35"/>
  <sheetData>
    <row r="1" spans="1:13" ht="15.5" x14ac:dyDescent="0.35">
      <c r="A1" s="9" t="s">
        <v>41</v>
      </c>
      <c r="D1" s="2">
        <v>10000</v>
      </c>
    </row>
    <row r="2" spans="1:13" ht="15.5" x14ac:dyDescent="0.35">
      <c r="A2" s="9" t="s">
        <v>42</v>
      </c>
      <c r="D2" s="1">
        <v>0.09</v>
      </c>
    </row>
    <row r="3" spans="1:13" ht="15.5" x14ac:dyDescent="0.35">
      <c r="A3" s="9" t="s">
        <v>43</v>
      </c>
      <c r="D3">
        <v>5</v>
      </c>
    </row>
    <row r="4" spans="1:13" ht="15.5" x14ac:dyDescent="0.35">
      <c r="A4" s="14" t="s">
        <v>40</v>
      </c>
      <c r="D4" s="1"/>
    </row>
    <row r="6" spans="1:13" ht="15.5" x14ac:dyDescent="0.35">
      <c r="A6" s="15" t="s">
        <v>44</v>
      </c>
      <c r="B6" s="16"/>
      <c r="C6" s="5">
        <f>PMT(D2,D3,D1,0,0)</f>
        <v>-2570.9245695674495</v>
      </c>
      <c r="K6" s="6" t="s">
        <v>9</v>
      </c>
      <c r="L6" s="6" t="s">
        <v>45</v>
      </c>
      <c r="M6" s="6" t="s">
        <v>10</v>
      </c>
    </row>
    <row r="7" spans="1:13" ht="18.5" x14ac:dyDescent="0.45">
      <c r="A7" s="4"/>
      <c r="D7" s="11">
        <v>1</v>
      </c>
      <c r="E7" s="11">
        <v>2</v>
      </c>
      <c r="F7" s="11">
        <v>3</v>
      </c>
      <c r="G7" s="11">
        <v>4</v>
      </c>
      <c r="H7" s="11">
        <v>5</v>
      </c>
      <c r="M7" s="2">
        <f>+C9</f>
        <v>9999.9999999999982</v>
      </c>
    </row>
    <row r="8" spans="1:13" x14ac:dyDescent="0.35">
      <c r="D8" s="2">
        <f>-$C$6</f>
        <v>2570.9245695674495</v>
      </c>
      <c r="E8" s="2">
        <f t="shared" ref="E8:H8" si="0">-$C$6</f>
        <v>2570.9245695674495</v>
      </c>
      <c r="F8" s="2">
        <f t="shared" si="0"/>
        <v>2570.9245695674495</v>
      </c>
      <c r="G8" s="2">
        <f t="shared" si="0"/>
        <v>2570.9245695674495</v>
      </c>
      <c r="H8" s="2">
        <f t="shared" si="0"/>
        <v>2570.9245695674495</v>
      </c>
      <c r="J8" t="s">
        <v>5</v>
      </c>
      <c r="K8" s="2">
        <f>+M7*D$2</f>
        <v>899.99999999999977</v>
      </c>
      <c r="L8" s="2">
        <f>+D8</f>
        <v>2570.9245695674495</v>
      </c>
      <c r="M8" s="2">
        <f>+M7+K8-L8</f>
        <v>8329.0754304325492</v>
      </c>
    </row>
    <row r="9" spans="1:13" x14ac:dyDescent="0.35">
      <c r="C9" s="5">
        <f>NPV(D2,D8:H8)</f>
        <v>9999.9999999999982</v>
      </c>
      <c r="D9" s="2"/>
      <c r="E9" s="2"/>
      <c r="F9" s="2"/>
      <c r="G9" s="2"/>
      <c r="J9" t="s">
        <v>7</v>
      </c>
      <c r="K9" s="2">
        <f t="shared" ref="K9:K11" si="1">+M8*D$2</f>
        <v>749.61678873892936</v>
      </c>
      <c r="L9" s="2">
        <f>+E8</f>
        <v>2570.9245695674495</v>
      </c>
      <c r="M9" s="2">
        <f>+M8+K9-L9</f>
        <v>6507.7676496040294</v>
      </c>
    </row>
    <row r="10" spans="1:13" x14ac:dyDescent="0.35">
      <c r="D10" s="2"/>
      <c r="E10" s="2"/>
      <c r="F10" s="2"/>
      <c r="G10" s="2"/>
      <c r="J10" t="s">
        <v>11</v>
      </c>
      <c r="K10" s="2">
        <f t="shared" si="1"/>
        <v>585.6990884643626</v>
      </c>
      <c r="L10" s="2">
        <f>F8</f>
        <v>2570.9245695674495</v>
      </c>
      <c r="M10" s="2">
        <f>+M9+K10-L10</f>
        <v>4522.5421685009424</v>
      </c>
    </row>
    <row r="11" spans="1:13" x14ac:dyDescent="0.35">
      <c r="D11" s="2"/>
      <c r="E11" s="2"/>
      <c r="F11" s="2"/>
      <c r="G11" s="2"/>
      <c r="J11" t="s">
        <v>12</v>
      </c>
      <c r="K11" s="2">
        <f t="shared" si="1"/>
        <v>407.02879516508477</v>
      </c>
      <c r="L11" s="2">
        <f>+G8</f>
        <v>2570.9245695674495</v>
      </c>
      <c r="M11" s="2">
        <f>+M10+K11-L11</f>
        <v>2358.6463940985773</v>
      </c>
    </row>
    <row r="12" spans="1:13" x14ac:dyDescent="0.35">
      <c r="E12" s="2"/>
      <c r="F12" s="2"/>
      <c r="G12" s="2"/>
      <c r="J12" t="s">
        <v>25</v>
      </c>
      <c r="K12" s="2">
        <f t="shared" ref="K12" si="2">+M11*D$2</f>
        <v>212.27817546887195</v>
      </c>
      <c r="L12" s="2">
        <f>+H8</f>
        <v>2570.9245695674495</v>
      </c>
      <c r="M12" s="2">
        <f>+M11+K12-L12</f>
        <v>0</v>
      </c>
    </row>
    <row r="13" spans="1:13" x14ac:dyDescent="0.35">
      <c r="A13" s="13" t="s">
        <v>35</v>
      </c>
      <c r="E13" s="2"/>
      <c r="F13" s="2"/>
      <c r="G13" s="2"/>
    </row>
    <row r="14" spans="1:13" x14ac:dyDescent="0.35">
      <c r="A14" t="s">
        <v>32</v>
      </c>
      <c r="C14" s="2">
        <f>+D1</f>
        <v>10000</v>
      </c>
      <c r="D14" s="2"/>
    </row>
    <row r="15" spans="1:13" x14ac:dyDescent="0.35">
      <c r="A15" s="12" t="s">
        <v>46</v>
      </c>
      <c r="D15" s="2">
        <f>+C9</f>
        <v>9999.9999999999982</v>
      </c>
    </row>
    <row r="17" spans="1:4" x14ac:dyDescent="0.35">
      <c r="A17" s="13" t="s">
        <v>36</v>
      </c>
    </row>
    <row r="18" spans="1:4" x14ac:dyDescent="0.35">
      <c r="A18" t="s">
        <v>37</v>
      </c>
      <c r="C18" s="2">
        <f>+K8</f>
        <v>899.99999999999977</v>
      </c>
    </row>
    <row r="19" spans="1:4" x14ac:dyDescent="0.35">
      <c r="A19" t="s">
        <v>47</v>
      </c>
      <c r="C19" s="2">
        <f>+D20-C18</f>
        <v>1670.9245695674497</v>
      </c>
    </row>
    <row r="20" spans="1:4" x14ac:dyDescent="0.35">
      <c r="A20" s="12" t="s">
        <v>38</v>
      </c>
      <c r="D20" s="2">
        <f>+L8</f>
        <v>2570.9245695674495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7"/>
  <sheetViews>
    <sheetView topLeftCell="A10" workbookViewId="0">
      <selection activeCell="F47" sqref="F47"/>
    </sheetView>
  </sheetViews>
  <sheetFormatPr baseColWidth="10" defaultRowHeight="14.5" x14ac:dyDescent="0.35"/>
  <sheetData>
    <row r="1" spans="1:13" ht="15.5" x14ac:dyDescent="0.35">
      <c r="A1" s="8" t="s">
        <v>48</v>
      </c>
      <c r="D1" s="2"/>
    </row>
    <row r="2" spans="1:13" ht="15.5" x14ac:dyDescent="0.35">
      <c r="A2" s="9" t="s">
        <v>50</v>
      </c>
      <c r="D2" s="2">
        <v>400000</v>
      </c>
    </row>
    <row r="3" spans="1:13" ht="15.5" x14ac:dyDescent="0.35">
      <c r="A3" s="9" t="s">
        <v>51</v>
      </c>
      <c r="D3" s="1">
        <v>7.0000000000000007E-2</v>
      </c>
      <c r="E3" s="1">
        <v>0.05</v>
      </c>
    </row>
    <row r="4" spans="1:13" ht="15.5" x14ac:dyDescent="0.35">
      <c r="A4" s="9" t="s">
        <v>52</v>
      </c>
      <c r="D4">
        <v>0.04</v>
      </c>
      <c r="E4">
        <v>6</v>
      </c>
    </row>
    <row r="5" spans="1:13" ht="15.5" x14ac:dyDescent="0.35">
      <c r="A5" s="14" t="s">
        <v>49</v>
      </c>
      <c r="D5" s="2">
        <v>30000</v>
      </c>
    </row>
    <row r="6" spans="1:13" ht="15.5" x14ac:dyDescent="0.35">
      <c r="A6" s="15"/>
      <c r="B6" s="16"/>
      <c r="C6" s="5"/>
    </row>
    <row r="7" spans="1:13" ht="18.5" x14ac:dyDescent="0.45">
      <c r="A7" s="4"/>
      <c r="B7" s="16" t="s">
        <v>60</v>
      </c>
      <c r="D7" s="11">
        <v>1</v>
      </c>
      <c r="E7" s="11">
        <v>2</v>
      </c>
      <c r="F7" s="11">
        <v>3</v>
      </c>
      <c r="G7" s="11">
        <v>4</v>
      </c>
      <c r="H7" s="11"/>
    </row>
    <row r="8" spans="1:13" x14ac:dyDescent="0.35">
      <c r="D8" s="2">
        <f>+$D2*$D3</f>
        <v>28000.000000000004</v>
      </c>
      <c r="E8" s="2">
        <f t="shared" ref="E8:F8" si="0">+$D2*$D3</f>
        <v>28000.000000000004</v>
      </c>
      <c r="F8" s="2">
        <f t="shared" si="0"/>
        <v>28000.000000000004</v>
      </c>
      <c r="G8" s="2">
        <f>(+$D2*$D3)+D2</f>
        <v>428000</v>
      </c>
      <c r="H8" s="2"/>
    </row>
    <row r="9" spans="1:13" x14ac:dyDescent="0.35">
      <c r="C9" s="5">
        <f>NPV(D3,D8:G8)</f>
        <v>400000</v>
      </c>
      <c r="D9" s="2"/>
      <c r="E9" s="2"/>
      <c r="F9" s="2"/>
      <c r="G9" s="2"/>
    </row>
    <row r="10" spans="1:13" x14ac:dyDescent="0.35">
      <c r="D10" s="2"/>
      <c r="E10" s="2"/>
      <c r="F10" s="2"/>
      <c r="G10" s="2"/>
    </row>
    <row r="11" spans="1:13" x14ac:dyDescent="0.35">
      <c r="D11" s="2"/>
      <c r="E11" s="2"/>
      <c r="F11" s="2"/>
      <c r="G11" s="2"/>
    </row>
    <row r="12" spans="1:13" x14ac:dyDescent="0.35">
      <c r="B12" s="16" t="s">
        <v>61</v>
      </c>
      <c r="C12">
        <v>0</v>
      </c>
      <c r="D12" s="11">
        <v>1</v>
      </c>
      <c r="E12" s="11">
        <v>2</v>
      </c>
      <c r="F12" s="11">
        <v>3</v>
      </c>
      <c r="G12" s="11">
        <v>4</v>
      </c>
      <c r="H12" s="11">
        <v>5</v>
      </c>
      <c r="I12" s="11">
        <v>6</v>
      </c>
      <c r="K12" s="2"/>
      <c r="L12" s="2"/>
      <c r="M12" s="2"/>
    </row>
    <row r="13" spans="1:13" x14ac:dyDescent="0.35">
      <c r="C13" s="5">
        <f>+D5</f>
        <v>30000</v>
      </c>
      <c r="D13" s="2">
        <f>+$D2*$E3</f>
        <v>20000</v>
      </c>
      <c r="E13" s="2">
        <f t="shared" ref="E13:H13" si="1">+$D2*$E3</f>
        <v>20000</v>
      </c>
      <c r="F13" s="2">
        <f t="shared" si="1"/>
        <v>20000</v>
      </c>
      <c r="G13" s="2">
        <f t="shared" si="1"/>
        <v>20000</v>
      </c>
      <c r="H13" s="2">
        <f t="shared" si="1"/>
        <v>20000</v>
      </c>
      <c r="I13" s="2">
        <f>(+$D2*$E3)+D2</f>
        <v>420000</v>
      </c>
      <c r="K13" s="2"/>
      <c r="L13" s="2"/>
      <c r="M13" s="2"/>
    </row>
    <row r="14" spans="1:13" x14ac:dyDescent="0.35">
      <c r="C14" s="5">
        <f>NPV(D3,D13:I13)+C13</f>
        <v>391867.68272188702</v>
      </c>
      <c r="D14" s="2"/>
      <c r="E14" s="2"/>
      <c r="F14" s="2"/>
      <c r="G14" s="2"/>
      <c r="K14" s="2"/>
      <c r="L14" s="2"/>
      <c r="M14" s="2"/>
    </row>
    <row r="15" spans="1:13" x14ac:dyDescent="0.35">
      <c r="D15" s="13" t="s">
        <v>53</v>
      </c>
      <c r="E15" s="2"/>
      <c r="F15" s="2"/>
      <c r="G15" s="2"/>
      <c r="K15" s="6" t="s">
        <v>9</v>
      </c>
      <c r="L15" s="6" t="s">
        <v>45</v>
      </c>
      <c r="M15" s="6" t="s">
        <v>10</v>
      </c>
    </row>
    <row r="16" spans="1:13" x14ac:dyDescent="0.35">
      <c r="D16" s="13" t="s">
        <v>54</v>
      </c>
      <c r="E16" s="2"/>
      <c r="F16" s="2"/>
      <c r="G16" s="2"/>
      <c r="M16" s="2">
        <f>+C14</f>
        <v>391867.68272188702</v>
      </c>
    </row>
    <row r="17" spans="1:13" x14ac:dyDescent="0.35">
      <c r="E17" s="2"/>
      <c r="F17" s="2"/>
      <c r="G17" s="2"/>
      <c r="J17" s="16" t="s">
        <v>58</v>
      </c>
      <c r="K17" s="16"/>
      <c r="L17" s="5">
        <v>30000</v>
      </c>
      <c r="M17" s="2">
        <f t="shared" ref="M17:M18" si="2">+M16+K17-L17</f>
        <v>361867.68272188702</v>
      </c>
    </row>
    <row r="18" spans="1:13" x14ac:dyDescent="0.35">
      <c r="E18" s="2"/>
      <c r="F18" s="2"/>
      <c r="G18" s="2"/>
      <c r="J18" t="s">
        <v>5</v>
      </c>
      <c r="K18" s="2">
        <f>+M17*D$3</f>
        <v>25330.737790532094</v>
      </c>
      <c r="L18" s="2">
        <f>+D13</f>
        <v>20000</v>
      </c>
      <c r="M18" s="2">
        <f t="shared" si="2"/>
        <v>367198.42051241914</v>
      </c>
    </row>
    <row r="19" spans="1:13" x14ac:dyDescent="0.35">
      <c r="C19" t="s">
        <v>55</v>
      </c>
      <c r="D19" s="17">
        <f>+(+C14-D2)/D2</f>
        <v>-2.0330793195282457E-2</v>
      </c>
      <c r="E19" s="2" t="s">
        <v>56</v>
      </c>
      <c r="F19" s="2"/>
      <c r="G19" s="2"/>
      <c r="J19" t="s">
        <v>7</v>
      </c>
      <c r="K19" s="2">
        <f t="shared" ref="K19:K23" si="3">+M18*D$3</f>
        <v>25703.889435869343</v>
      </c>
      <c r="L19" s="2">
        <f>+E13</f>
        <v>20000</v>
      </c>
      <c r="M19" s="2">
        <f>+M18+K19-L19</f>
        <v>372902.30994828849</v>
      </c>
    </row>
    <row r="20" spans="1:13" x14ac:dyDescent="0.35">
      <c r="E20" s="2"/>
      <c r="F20" s="2"/>
      <c r="G20" s="2"/>
      <c r="J20" t="s">
        <v>11</v>
      </c>
      <c r="K20" s="2">
        <f t="shared" si="3"/>
        <v>26103.161696380197</v>
      </c>
      <c r="L20" s="2">
        <f>+F13</f>
        <v>20000</v>
      </c>
      <c r="M20" s="2">
        <f>+M19+K20-L20</f>
        <v>379005.47164466867</v>
      </c>
    </row>
    <row r="21" spans="1:13" x14ac:dyDescent="0.35">
      <c r="E21" s="2"/>
      <c r="F21" s="2"/>
      <c r="G21" s="2"/>
      <c r="J21" t="s">
        <v>12</v>
      </c>
      <c r="K21" s="2">
        <f t="shared" si="3"/>
        <v>26530.383015126808</v>
      </c>
      <c r="L21" s="2">
        <f>+G13</f>
        <v>20000</v>
      </c>
      <c r="M21" s="2">
        <f>+M20+K21-L21</f>
        <v>385535.85465979547</v>
      </c>
    </row>
    <row r="22" spans="1:13" x14ac:dyDescent="0.35">
      <c r="A22" s="13" t="s">
        <v>57</v>
      </c>
      <c r="E22" s="2"/>
      <c r="F22" s="2"/>
      <c r="G22" s="2"/>
      <c r="J22" t="s">
        <v>25</v>
      </c>
      <c r="K22" s="2">
        <f t="shared" si="3"/>
        <v>26987.509826185684</v>
      </c>
      <c r="L22" s="2">
        <f>+H13</f>
        <v>20000</v>
      </c>
      <c r="M22" s="2">
        <f t="shared" ref="M22:M23" si="4">+M21+K22-L22</f>
        <v>392523.36448598118</v>
      </c>
    </row>
    <row r="23" spans="1:13" x14ac:dyDescent="0.35">
      <c r="A23" t="s">
        <v>62</v>
      </c>
      <c r="C23" s="2">
        <f>+C9-C14</f>
        <v>8132.3172781129833</v>
      </c>
      <c r="D23" s="2"/>
      <c r="J23" t="s">
        <v>26</v>
      </c>
      <c r="K23" s="2">
        <f t="shared" si="3"/>
        <v>27476.635514018686</v>
      </c>
      <c r="L23" s="2">
        <f>+I13</f>
        <v>420000</v>
      </c>
      <c r="M23" s="2">
        <f t="shared" si="4"/>
        <v>0</v>
      </c>
    </row>
    <row r="24" spans="1:13" x14ac:dyDescent="0.35">
      <c r="A24" s="12" t="s">
        <v>64</v>
      </c>
      <c r="D24" s="2">
        <f>+C23</f>
        <v>8132.3172781129833</v>
      </c>
    </row>
    <row r="26" spans="1:13" x14ac:dyDescent="0.35">
      <c r="A26" t="s">
        <v>62</v>
      </c>
      <c r="C26" s="2">
        <f>+C13</f>
        <v>30000</v>
      </c>
      <c r="D26" s="2"/>
    </row>
    <row r="27" spans="1:13" x14ac:dyDescent="0.35">
      <c r="A27" s="12" t="s">
        <v>59</v>
      </c>
      <c r="D27" s="2">
        <f>+C26</f>
        <v>30000</v>
      </c>
    </row>
    <row r="29" spans="1:13" x14ac:dyDescent="0.35">
      <c r="A29" s="13" t="s">
        <v>36</v>
      </c>
    </row>
    <row r="30" spans="1:13" x14ac:dyDescent="0.35">
      <c r="A30" t="s">
        <v>37</v>
      </c>
      <c r="C30" s="2">
        <f>+K18</f>
        <v>25330.737790532094</v>
      </c>
    </row>
    <row r="31" spans="1:13" x14ac:dyDescent="0.35">
      <c r="A31" s="12" t="s">
        <v>38</v>
      </c>
      <c r="D31" s="2">
        <f>+L18</f>
        <v>20000</v>
      </c>
    </row>
    <row r="32" spans="1:13" x14ac:dyDescent="0.35">
      <c r="A32" t="s">
        <v>63</v>
      </c>
      <c r="D32" s="2">
        <f>+C30-D31</f>
        <v>5330.7377905320936</v>
      </c>
    </row>
    <row r="35" spans="1:16" ht="28.5" x14ac:dyDescent="0.65">
      <c r="A35" s="19" t="s">
        <v>65</v>
      </c>
      <c r="B35" s="18" t="s">
        <v>66</v>
      </c>
    </row>
    <row r="37" spans="1:16" x14ac:dyDescent="0.35">
      <c r="B37" s="16" t="s">
        <v>61</v>
      </c>
      <c r="C37" s="6">
        <v>0</v>
      </c>
      <c r="D37" s="11">
        <v>1</v>
      </c>
      <c r="E37" s="11">
        <v>2</v>
      </c>
      <c r="F37" s="11">
        <v>3</v>
      </c>
      <c r="G37" s="11">
        <v>4</v>
      </c>
      <c r="H37" s="11">
        <v>5</v>
      </c>
      <c r="I37" s="11">
        <v>6</v>
      </c>
    </row>
    <row r="38" spans="1:16" x14ac:dyDescent="0.35">
      <c r="C38" s="5">
        <v>0</v>
      </c>
      <c r="D38" s="2">
        <f>+D13</f>
        <v>20000</v>
      </c>
      <c r="E38" s="2">
        <f t="shared" ref="E38:I38" si="5">+E13</f>
        <v>20000</v>
      </c>
      <c r="F38" s="2">
        <f t="shared" si="5"/>
        <v>20000</v>
      </c>
      <c r="G38" s="2">
        <f t="shared" si="5"/>
        <v>20000</v>
      </c>
      <c r="H38" s="2">
        <f t="shared" si="5"/>
        <v>20000</v>
      </c>
      <c r="I38" s="2">
        <f t="shared" si="5"/>
        <v>420000</v>
      </c>
    </row>
    <row r="39" spans="1:16" x14ac:dyDescent="0.35">
      <c r="C39" s="5">
        <f>NPV(D3,D38:I38)+C38</f>
        <v>361867.68272188702</v>
      </c>
      <c r="D39" s="2"/>
      <c r="E39" s="2"/>
      <c r="F39" s="2"/>
      <c r="G39" s="2"/>
    </row>
    <row r="40" spans="1:16" x14ac:dyDescent="0.35">
      <c r="D40" s="13" t="s">
        <v>53</v>
      </c>
    </row>
    <row r="41" spans="1:16" x14ac:dyDescent="0.35">
      <c r="D41" s="13" t="s">
        <v>67</v>
      </c>
      <c r="J41" s="6">
        <v>0</v>
      </c>
      <c r="K41" s="11">
        <v>1</v>
      </c>
      <c r="L41" s="11">
        <v>2</v>
      </c>
      <c r="M41" s="11">
        <v>3</v>
      </c>
      <c r="N41" s="11">
        <v>4</v>
      </c>
      <c r="O41" s="11">
        <v>5</v>
      </c>
      <c r="P41" s="11">
        <v>6</v>
      </c>
    </row>
    <row r="42" spans="1:16" x14ac:dyDescent="0.35">
      <c r="J42" s="5">
        <f>-M48</f>
        <v>-331867.68272188702</v>
      </c>
      <c r="K42" s="2">
        <f t="shared" ref="K42:P42" si="6">+D38</f>
        <v>20000</v>
      </c>
      <c r="L42" s="2">
        <f t="shared" si="6"/>
        <v>20000</v>
      </c>
      <c r="M42" s="2">
        <f t="shared" si="6"/>
        <v>20000</v>
      </c>
      <c r="N42" s="2">
        <f t="shared" si="6"/>
        <v>20000</v>
      </c>
      <c r="O42" s="2">
        <f t="shared" si="6"/>
        <v>20000</v>
      </c>
      <c r="P42" s="2">
        <f t="shared" si="6"/>
        <v>420000</v>
      </c>
    </row>
    <row r="43" spans="1:16" x14ac:dyDescent="0.35">
      <c r="J43" s="20">
        <f>IRR(J42:P42,0.08)</f>
        <v>8.7711389945857476E-2</v>
      </c>
    </row>
    <row r="44" spans="1:16" x14ac:dyDescent="0.35">
      <c r="C44" t="s">
        <v>55</v>
      </c>
      <c r="D44" s="17">
        <f>+(+C39-D2)/D2</f>
        <v>-9.5330793195282454E-2</v>
      </c>
      <c r="E44" s="2" t="s">
        <v>56</v>
      </c>
      <c r="K44" s="13" t="s">
        <v>71</v>
      </c>
    </row>
    <row r="46" spans="1:16" x14ac:dyDescent="0.35">
      <c r="K46" s="6" t="s">
        <v>9</v>
      </c>
      <c r="L46" s="6" t="s">
        <v>45</v>
      </c>
      <c r="M46" s="6" t="s">
        <v>10</v>
      </c>
    </row>
    <row r="47" spans="1:16" x14ac:dyDescent="0.35">
      <c r="A47" s="13" t="s">
        <v>57</v>
      </c>
      <c r="M47" s="2">
        <f>+C39</f>
        <v>361867.68272188702</v>
      </c>
    </row>
    <row r="48" spans="1:16" x14ac:dyDescent="0.35">
      <c r="A48" t="s">
        <v>62</v>
      </c>
      <c r="C48" s="2">
        <f>+D49+D50</f>
        <v>68132.317278112983</v>
      </c>
      <c r="D48" s="2"/>
      <c r="J48" s="16" t="s">
        <v>58</v>
      </c>
      <c r="K48" s="16"/>
      <c r="L48" s="5">
        <v>30000</v>
      </c>
      <c r="M48" s="2">
        <f t="shared" ref="M48:M49" si="7">+M47+K48-L48</f>
        <v>331867.68272188702</v>
      </c>
    </row>
    <row r="49" spans="1:13" x14ac:dyDescent="0.35">
      <c r="A49" s="12" t="s">
        <v>64</v>
      </c>
      <c r="D49" s="2">
        <f>+D2-C39</f>
        <v>38132.317278112983</v>
      </c>
      <c r="J49" t="s">
        <v>5</v>
      </c>
      <c r="K49" s="2">
        <f t="shared" ref="K49:K54" si="8">+M48*J$43</f>
        <v>29108.575729647539</v>
      </c>
      <c r="L49" s="2">
        <f>+D38</f>
        <v>20000</v>
      </c>
      <c r="M49" s="2">
        <f t="shared" si="7"/>
        <v>340976.25845153455</v>
      </c>
    </row>
    <row r="50" spans="1:13" x14ac:dyDescent="0.35">
      <c r="A50" s="12" t="s">
        <v>68</v>
      </c>
      <c r="D50" s="2">
        <f>+D5</f>
        <v>30000</v>
      </c>
      <c r="J50" t="s">
        <v>7</v>
      </c>
      <c r="K50" s="2">
        <f t="shared" si="8"/>
        <v>29907.50156732203</v>
      </c>
      <c r="L50" s="2">
        <f>+E38</f>
        <v>20000</v>
      </c>
      <c r="M50" s="2">
        <f>+M49+K50-L50</f>
        <v>350883.76001885656</v>
      </c>
    </row>
    <row r="51" spans="1:13" x14ac:dyDescent="0.35">
      <c r="A51" s="13" t="s">
        <v>69</v>
      </c>
      <c r="J51" t="s">
        <v>11</v>
      </c>
      <c r="K51" s="2">
        <f t="shared" si="8"/>
        <v>30776.502300682601</v>
      </c>
      <c r="L51" s="2">
        <f>+F38</f>
        <v>20000</v>
      </c>
      <c r="M51" s="2">
        <f>+M50+K51-L51</f>
        <v>361660.26231953915</v>
      </c>
    </row>
    <row r="52" spans="1:13" x14ac:dyDescent="0.35">
      <c r="A52" t="s">
        <v>70</v>
      </c>
      <c r="J52" t="s">
        <v>12</v>
      </c>
      <c r="K52" s="2">
        <f t="shared" si="8"/>
        <v>31721.724296230204</v>
      </c>
      <c r="L52" s="2">
        <f>+G38</f>
        <v>20000</v>
      </c>
      <c r="M52" s="2">
        <f>+M51+K52-L52</f>
        <v>373381.98661576933</v>
      </c>
    </row>
    <row r="53" spans="1:13" x14ac:dyDescent="0.35">
      <c r="J53" t="s">
        <v>25</v>
      </c>
      <c r="K53" s="2">
        <f t="shared" si="8"/>
        <v>32749.853026814682</v>
      </c>
      <c r="L53" s="2">
        <f>+H38</f>
        <v>20000</v>
      </c>
      <c r="M53" s="2">
        <f t="shared" ref="M53:M54" si="9">+M52+K53-L53</f>
        <v>386131.83964258403</v>
      </c>
    </row>
    <row r="54" spans="1:13" x14ac:dyDescent="0.35">
      <c r="A54" s="13" t="s">
        <v>36</v>
      </c>
      <c r="J54" t="s">
        <v>26</v>
      </c>
      <c r="K54" s="2">
        <f t="shared" si="8"/>
        <v>33868.160357401997</v>
      </c>
      <c r="L54" s="2">
        <f>+I38</f>
        <v>420000</v>
      </c>
      <c r="M54" s="2">
        <f t="shared" si="9"/>
        <v>-1.3969838619232178E-8</v>
      </c>
    </row>
    <row r="55" spans="1:13" x14ac:dyDescent="0.35">
      <c r="A55" t="s">
        <v>37</v>
      </c>
      <c r="C55" s="2">
        <f>+K49</f>
        <v>29108.575729647539</v>
      </c>
    </row>
    <row r="56" spans="1:13" x14ac:dyDescent="0.35">
      <c r="A56" s="12" t="s">
        <v>38</v>
      </c>
      <c r="D56" s="2">
        <f>+L49</f>
        <v>20000</v>
      </c>
    </row>
    <row r="57" spans="1:13" x14ac:dyDescent="0.35">
      <c r="A57" t="s">
        <v>63</v>
      </c>
      <c r="D57" s="2">
        <f>+C55-D56</f>
        <v>9108.5757296475385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7"/>
  <sheetViews>
    <sheetView workbookViewId="0">
      <selection activeCell="F62" sqref="F62"/>
    </sheetView>
  </sheetViews>
  <sheetFormatPr baseColWidth="10" defaultRowHeight="14.5" x14ac:dyDescent="0.35"/>
  <sheetData>
    <row r="1" spans="1:13" ht="15.5" x14ac:dyDescent="0.35">
      <c r="A1" s="8" t="s">
        <v>48</v>
      </c>
      <c r="D1" s="2"/>
    </row>
    <row r="2" spans="1:13" ht="15.5" x14ac:dyDescent="0.35">
      <c r="A2" s="26" t="s">
        <v>81</v>
      </c>
      <c r="D2" s="2">
        <v>600000</v>
      </c>
    </row>
    <row r="3" spans="1:13" ht="15.5" x14ac:dyDescent="0.35">
      <c r="A3" s="26" t="s">
        <v>82</v>
      </c>
      <c r="D3" s="1">
        <v>0.08</v>
      </c>
      <c r="E3" s="1">
        <v>0.06</v>
      </c>
    </row>
    <row r="4" spans="1:13" ht="15.5" x14ac:dyDescent="0.35">
      <c r="A4" s="26" t="s">
        <v>83</v>
      </c>
      <c r="D4">
        <v>3</v>
      </c>
      <c r="E4">
        <v>5</v>
      </c>
    </row>
    <row r="5" spans="1:13" ht="15.5" x14ac:dyDescent="0.35">
      <c r="A5" s="14" t="s">
        <v>72</v>
      </c>
      <c r="D5" s="2">
        <v>25000</v>
      </c>
    </row>
    <row r="6" spans="1:13" ht="15.5" x14ac:dyDescent="0.35">
      <c r="A6" s="15"/>
      <c r="B6" s="16"/>
      <c r="C6" s="5"/>
    </row>
    <row r="7" spans="1:13" ht="18.5" x14ac:dyDescent="0.45">
      <c r="A7" s="4"/>
      <c r="B7" s="16" t="s">
        <v>60</v>
      </c>
      <c r="D7" s="11">
        <v>1</v>
      </c>
      <c r="E7" s="11">
        <v>2</v>
      </c>
      <c r="F7" s="11">
        <v>3</v>
      </c>
      <c r="G7" s="11"/>
      <c r="H7" s="11"/>
    </row>
    <row r="8" spans="1:13" x14ac:dyDescent="0.35">
      <c r="D8" s="2">
        <f>+$D2*$D3</f>
        <v>48000</v>
      </c>
      <c r="E8" s="2">
        <f t="shared" ref="E8" si="0">+$D2*$D3</f>
        <v>48000</v>
      </c>
      <c r="F8" s="2">
        <f>(+$D2*$D3)+D2</f>
        <v>648000</v>
      </c>
      <c r="G8" s="2"/>
      <c r="H8" s="2"/>
    </row>
    <row r="9" spans="1:13" x14ac:dyDescent="0.35">
      <c r="C9" s="5">
        <f>NPV(D3,D8:G8)</f>
        <v>600000</v>
      </c>
      <c r="D9" s="2"/>
      <c r="E9" s="2"/>
      <c r="F9" s="2"/>
      <c r="G9" s="2"/>
    </row>
    <row r="10" spans="1:13" x14ac:dyDescent="0.35">
      <c r="D10" s="2"/>
      <c r="E10" s="2"/>
      <c r="F10" s="2"/>
      <c r="G10" s="2"/>
    </row>
    <row r="11" spans="1:13" x14ac:dyDescent="0.35">
      <c r="D11" s="2"/>
      <c r="E11" s="2"/>
      <c r="F11" s="2"/>
      <c r="G11" s="2"/>
    </row>
    <row r="12" spans="1:13" x14ac:dyDescent="0.35">
      <c r="B12" s="16" t="s">
        <v>61</v>
      </c>
      <c r="C12">
        <v>0</v>
      </c>
      <c r="D12" s="11">
        <v>1</v>
      </c>
      <c r="E12" s="11">
        <v>2</v>
      </c>
      <c r="F12" s="11">
        <v>3</v>
      </c>
      <c r="G12" s="11">
        <v>4</v>
      </c>
      <c r="H12" s="11">
        <v>5</v>
      </c>
      <c r="I12" s="11"/>
      <c r="K12" s="2"/>
      <c r="L12" s="2"/>
      <c r="M12" s="2"/>
    </row>
    <row r="13" spans="1:13" x14ac:dyDescent="0.35">
      <c r="C13" s="5">
        <f>+D5</f>
        <v>25000</v>
      </c>
      <c r="D13" s="2">
        <f>+$D2*$E3</f>
        <v>36000</v>
      </c>
      <c r="E13" s="2">
        <f t="shared" ref="E13:G13" si="1">+$D2*$E3</f>
        <v>36000</v>
      </c>
      <c r="F13" s="2">
        <f t="shared" si="1"/>
        <v>36000</v>
      </c>
      <c r="G13" s="2">
        <f t="shared" si="1"/>
        <v>36000</v>
      </c>
      <c r="H13" s="2">
        <f>(+$D2*$E3)+D2</f>
        <v>636000</v>
      </c>
      <c r="I13" s="2"/>
      <c r="K13" s="2"/>
      <c r="L13" s="2"/>
      <c r="M13" s="2"/>
    </row>
    <row r="14" spans="1:13" x14ac:dyDescent="0.35">
      <c r="C14" s="5">
        <f>NPV(D3,D13:I13)+C13</f>
        <v>577087.47955506283</v>
      </c>
      <c r="D14" s="2"/>
      <c r="E14" s="2"/>
      <c r="F14" s="2"/>
      <c r="G14" s="2"/>
      <c r="K14" s="2"/>
      <c r="L14" s="2"/>
      <c r="M14" s="2"/>
    </row>
    <row r="15" spans="1:13" x14ac:dyDescent="0.35">
      <c r="D15" s="13" t="s">
        <v>53</v>
      </c>
      <c r="E15" s="2"/>
      <c r="F15" s="2"/>
      <c r="G15" s="2"/>
      <c r="K15" s="6" t="s">
        <v>9</v>
      </c>
      <c r="L15" s="6" t="s">
        <v>45</v>
      </c>
      <c r="M15" s="6" t="s">
        <v>10</v>
      </c>
    </row>
    <row r="16" spans="1:13" x14ac:dyDescent="0.35">
      <c r="D16" s="13" t="s">
        <v>54</v>
      </c>
      <c r="E16" s="2"/>
      <c r="F16" s="2"/>
      <c r="G16" s="2"/>
      <c r="M16" s="2">
        <f>+C14</f>
        <v>577087.47955506283</v>
      </c>
    </row>
    <row r="17" spans="1:13" x14ac:dyDescent="0.35">
      <c r="E17" s="2"/>
      <c r="F17" s="2"/>
      <c r="G17" s="2"/>
      <c r="J17" s="16" t="s">
        <v>58</v>
      </c>
      <c r="K17" s="16"/>
      <c r="L17" s="5">
        <f>+C13</f>
        <v>25000</v>
      </c>
      <c r="M17" s="2">
        <f t="shared" ref="M17:M18" si="2">+M16+K17-L17</f>
        <v>552087.47955506283</v>
      </c>
    </row>
    <row r="18" spans="1:13" x14ac:dyDescent="0.35">
      <c r="E18" s="2"/>
      <c r="F18" s="2"/>
      <c r="G18" s="2"/>
      <c r="J18" t="s">
        <v>5</v>
      </c>
      <c r="K18" s="2">
        <f>+M17*D$3</f>
        <v>44166.99836440503</v>
      </c>
      <c r="L18" s="2">
        <f>+D13</f>
        <v>36000</v>
      </c>
      <c r="M18" s="2">
        <f t="shared" si="2"/>
        <v>560254.47791946784</v>
      </c>
    </row>
    <row r="19" spans="1:13" x14ac:dyDescent="0.35">
      <c r="C19" t="s">
        <v>55</v>
      </c>
      <c r="D19" s="17">
        <f>+(+C14-D2)/D2</f>
        <v>-3.818753407489528E-2</v>
      </c>
      <c r="E19" s="2" t="s">
        <v>56</v>
      </c>
      <c r="F19" s="2"/>
      <c r="G19" s="2"/>
      <c r="J19" t="s">
        <v>7</v>
      </c>
      <c r="K19" s="2">
        <f t="shared" ref="K19:K22" si="3">+M18*D$3</f>
        <v>44820.358233557425</v>
      </c>
      <c r="L19" s="2">
        <f>+E13</f>
        <v>36000</v>
      </c>
      <c r="M19" s="2">
        <f>+M18+K19-L19</f>
        <v>569074.83615302527</v>
      </c>
    </row>
    <row r="20" spans="1:13" x14ac:dyDescent="0.35">
      <c r="E20" s="2"/>
      <c r="F20" s="2"/>
      <c r="G20" s="2"/>
      <c r="J20" t="s">
        <v>11</v>
      </c>
      <c r="K20" s="2">
        <f t="shared" si="3"/>
        <v>45525.986892242021</v>
      </c>
      <c r="L20" s="2">
        <f>+F13</f>
        <v>36000</v>
      </c>
      <c r="M20" s="2">
        <f>+M19+K20-L20</f>
        <v>578600.82304526726</v>
      </c>
    </row>
    <row r="21" spans="1:13" x14ac:dyDescent="0.35">
      <c r="E21" s="2"/>
      <c r="F21" s="2"/>
      <c r="G21" s="2"/>
      <c r="J21" t="s">
        <v>12</v>
      </c>
      <c r="K21" s="2">
        <f t="shared" si="3"/>
        <v>46288.065843621378</v>
      </c>
      <c r="L21" s="2">
        <f>+G13</f>
        <v>36000</v>
      </c>
      <c r="M21" s="2">
        <f>+M20+K21-L21</f>
        <v>588888.88888888864</v>
      </c>
    </row>
    <row r="22" spans="1:13" x14ac:dyDescent="0.35">
      <c r="A22" s="13" t="s">
        <v>57</v>
      </c>
      <c r="E22" s="2"/>
      <c r="F22" s="2"/>
      <c r="G22" s="2"/>
      <c r="J22" t="s">
        <v>25</v>
      </c>
      <c r="K22" s="2">
        <f t="shared" si="3"/>
        <v>47111.111111111095</v>
      </c>
      <c r="L22" s="2">
        <f>+H13</f>
        <v>636000</v>
      </c>
      <c r="M22" s="2">
        <f t="shared" ref="M22" si="4">+M21+K22-L22</f>
        <v>0</v>
      </c>
    </row>
    <row r="23" spans="1:13" x14ac:dyDescent="0.35">
      <c r="A23" t="s">
        <v>62</v>
      </c>
      <c r="C23" s="2">
        <f>+C9-C14</f>
        <v>22912.520444937167</v>
      </c>
      <c r="D23" s="2"/>
      <c r="K23" s="2"/>
      <c r="L23" s="2"/>
      <c r="M23" s="2"/>
    </row>
    <row r="24" spans="1:13" x14ac:dyDescent="0.35">
      <c r="A24" s="12" t="s">
        <v>64</v>
      </c>
      <c r="D24" s="2">
        <f>+C23</f>
        <v>22912.520444937167</v>
      </c>
    </row>
    <row r="26" spans="1:13" x14ac:dyDescent="0.35">
      <c r="A26" t="s">
        <v>62</v>
      </c>
      <c r="C26" s="2">
        <f>+C13</f>
        <v>25000</v>
      </c>
      <c r="D26" s="2"/>
    </row>
    <row r="27" spans="1:13" x14ac:dyDescent="0.35">
      <c r="A27" s="12" t="s">
        <v>59</v>
      </c>
      <c r="D27" s="2">
        <f>+C26</f>
        <v>25000</v>
      </c>
    </row>
    <row r="29" spans="1:13" x14ac:dyDescent="0.35">
      <c r="A29" s="13" t="s">
        <v>36</v>
      </c>
    </row>
    <row r="30" spans="1:13" x14ac:dyDescent="0.35">
      <c r="A30" t="s">
        <v>37</v>
      </c>
      <c r="C30" s="2">
        <f>+K18</f>
        <v>44166.99836440503</v>
      </c>
    </row>
    <row r="31" spans="1:13" x14ac:dyDescent="0.35">
      <c r="A31" s="12" t="s">
        <v>38</v>
      </c>
      <c r="D31" s="2">
        <f>+L18</f>
        <v>36000</v>
      </c>
    </row>
    <row r="32" spans="1:13" x14ac:dyDescent="0.35">
      <c r="A32" t="s">
        <v>63</v>
      </c>
      <c r="D32" s="2">
        <f>+C30-D31</f>
        <v>8166.9983644050299</v>
      </c>
    </row>
    <row r="35" spans="1:16" ht="28.5" x14ac:dyDescent="0.65">
      <c r="A35" s="19" t="s">
        <v>65</v>
      </c>
      <c r="B35" s="18" t="s">
        <v>66</v>
      </c>
    </row>
    <row r="37" spans="1:16" x14ac:dyDescent="0.35">
      <c r="B37" s="16" t="s">
        <v>61</v>
      </c>
      <c r="C37" s="6">
        <v>0</v>
      </c>
      <c r="D37" s="11">
        <v>1</v>
      </c>
      <c r="E37" s="11">
        <v>2</v>
      </c>
      <c r="F37" s="11">
        <v>3</v>
      </c>
      <c r="G37" s="11">
        <v>4</v>
      </c>
      <c r="H37" s="11">
        <v>5</v>
      </c>
      <c r="I37" s="11"/>
    </row>
    <row r="38" spans="1:16" x14ac:dyDescent="0.35">
      <c r="C38" s="5">
        <v>0</v>
      </c>
      <c r="D38" s="2">
        <f>+D13</f>
        <v>36000</v>
      </c>
      <c r="E38" s="2">
        <f t="shared" ref="E38:H38" si="5">+E13</f>
        <v>36000</v>
      </c>
      <c r="F38" s="2">
        <f t="shared" si="5"/>
        <v>36000</v>
      </c>
      <c r="G38" s="2">
        <f t="shared" si="5"/>
        <v>36000</v>
      </c>
      <c r="H38" s="2">
        <f t="shared" si="5"/>
        <v>636000</v>
      </c>
      <c r="I38" s="2"/>
    </row>
    <row r="39" spans="1:16" x14ac:dyDescent="0.35">
      <c r="C39" s="5">
        <f>NPV(D3,D38:I38)+C38</f>
        <v>552087.47955506283</v>
      </c>
      <c r="D39" s="2"/>
      <c r="E39" s="2"/>
      <c r="F39" s="2"/>
      <c r="G39" s="2"/>
    </row>
    <row r="40" spans="1:16" x14ac:dyDescent="0.35">
      <c r="D40" s="13" t="s">
        <v>53</v>
      </c>
    </row>
    <row r="41" spans="1:16" x14ac:dyDescent="0.35">
      <c r="D41" s="13" t="s">
        <v>67</v>
      </c>
      <c r="J41" s="6">
        <v>0</v>
      </c>
      <c r="K41" s="11">
        <v>1</v>
      </c>
      <c r="L41" s="11">
        <v>2</v>
      </c>
      <c r="M41" s="11">
        <v>3</v>
      </c>
      <c r="N41" s="11">
        <v>4</v>
      </c>
      <c r="O41" s="11">
        <v>5</v>
      </c>
      <c r="P41" s="11"/>
    </row>
    <row r="42" spans="1:16" x14ac:dyDescent="0.35">
      <c r="J42" s="5">
        <f>-M48</f>
        <v>-527087.47955506283</v>
      </c>
      <c r="K42" s="2">
        <f t="shared" ref="K42:O42" si="6">+D38</f>
        <v>36000</v>
      </c>
      <c r="L42" s="2">
        <f t="shared" si="6"/>
        <v>36000</v>
      </c>
      <c r="M42" s="2">
        <f t="shared" si="6"/>
        <v>36000</v>
      </c>
      <c r="N42" s="2">
        <f t="shared" si="6"/>
        <v>36000</v>
      </c>
      <c r="O42" s="2">
        <f t="shared" si="6"/>
        <v>636000</v>
      </c>
      <c r="P42" s="2"/>
    </row>
    <row r="43" spans="1:16" ht="15.5" x14ac:dyDescent="0.35">
      <c r="J43" s="31">
        <f>IRR(J42:P42,0.08)</f>
        <v>9.1351752196333624E-2</v>
      </c>
      <c r="K43" s="21"/>
    </row>
    <row r="44" spans="1:16" ht="17" x14ac:dyDescent="0.4">
      <c r="C44" t="s">
        <v>55</v>
      </c>
      <c r="D44" s="17">
        <f>+(+C39-D2)/D2</f>
        <v>-7.9854200741561951E-2</v>
      </c>
      <c r="E44" s="2" t="s">
        <v>56</v>
      </c>
      <c r="J44" s="21"/>
      <c r="K44" s="23" t="s">
        <v>71</v>
      </c>
    </row>
    <row r="46" spans="1:16" x14ac:dyDescent="0.35">
      <c r="K46" s="6" t="s">
        <v>9</v>
      </c>
      <c r="L46" s="6" t="s">
        <v>45</v>
      </c>
      <c r="M46" s="6" t="s">
        <v>10</v>
      </c>
    </row>
    <row r="47" spans="1:16" x14ac:dyDescent="0.35">
      <c r="A47" s="13" t="s">
        <v>57</v>
      </c>
      <c r="M47" s="2">
        <f>+C39</f>
        <v>552087.47955506283</v>
      </c>
    </row>
    <row r="48" spans="1:16" x14ac:dyDescent="0.35">
      <c r="A48" t="s">
        <v>62</v>
      </c>
      <c r="C48" s="2">
        <f>+D49+D50</f>
        <v>72912.520444937167</v>
      </c>
      <c r="D48" s="2"/>
      <c r="J48" s="16" t="s">
        <v>58</v>
      </c>
      <c r="K48" s="16"/>
      <c r="L48" s="5">
        <f>+D5</f>
        <v>25000</v>
      </c>
      <c r="M48" s="2">
        <f t="shared" ref="M48:M49" si="7">+M47+K48-L48</f>
        <v>527087.47955506283</v>
      </c>
    </row>
    <row r="49" spans="1:13" x14ac:dyDescent="0.35">
      <c r="A49" s="12" t="s">
        <v>64</v>
      </c>
      <c r="D49" s="2">
        <f>+D2-C39</f>
        <v>47912.520444937167</v>
      </c>
      <c r="J49" t="s">
        <v>5</v>
      </c>
      <c r="K49" s="2">
        <f t="shared" ref="K49:K53" si="8">+M48*J$43</f>
        <v>48150.364818104164</v>
      </c>
      <c r="L49" s="2">
        <f>+D38</f>
        <v>36000</v>
      </c>
      <c r="M49" s="2">
        <f t="shared" si="7"/>
        <v>539237.84437316703</v>
      </c>
    </row>
    <row r="50" spans="1:13" x14ac:dyDescent="0.35">
      <c r="A50" s="12" t="s">
        <v>68</v>
      </c>
      <c r="D50" s="2">
        <f>+D5</f>
        <v>25000</v>
      </c>
      <c r="J50" t="s">
        <v>7</v>
      </c>
      <c r="K50" s="2">
        <f t="shared" si="8"/>
        <v>49260.321934062667</v>
      </c>
      <c r="L50" s="2">
        <f>+E38</f>
        <v>36000</v>
      </c>
      <c r="M50" s="2">
        <f>+M49+K50-L50</f>
        <v>552498.16630722967</v>
      </c>
    </row>
    <row r="51" spans="1:13" x14ac:dyDescent="0.35">
      <c r="A51" s="13" t="s">
        <v>69</v>
      </c>
      <c r="J51" t="s">
        <v>11</v>
      </c>
      <c r="K51" s="2">
        <f t="shared" si="8"/>
        <v>50471.675577426766</v>
      </c>
      <c r="L51" s="2">
        <f>+F38</f>
        <v>36000</v>
      </c>
      <c r="M51" s="2">
        <f>+M50+K51-L51</f>
        <v>566969.84188465646</v>
      </c>
    </row>
    <row r="52" spans="1:13" x14ac:dyDescent="0.35">
      <c r="A52" t="s">
        <v>70</v>
      </c>
      <c r="J52" t="s">
        <v>12</v>
      </c>
      <c r="K52" s="2">
        <f t="shared" si="8"/>
        <v>51793.688498641597</v>
      </c>
      <c r="L52" s="2">
        <f>+G38</f>
        <v>36000</v>
      </c>
      <c r="M52" s="2">
        <f>+M51+K52-L52</f>
        <v>582763.53038329806</v>
      </c>
    </row>
    <row r="53" spans="1:13" x14ac:dyDescent="0.35">
      <c r="J53" t="s">
        <v>25</v>
      </c>
      <c r="K53" s="2">
        <f t="shared" si="8"/>
        <v>53236.469616635586</v>
      </c>
      <c r="L53" s="2">
        <f>+H38</f>
        <v>636000</v>
      </c>
      <c r="M53" s="2">
        <f t="shared" ref="M53" si="9">+M52+K53-L53</f>
        <v>-6.6356733441352844E-8</v>
      </c>
    </row>
    <row r="54" spans="1:13" x14ac:dyDescent="0.35">
      <c r="A54" s="13" t="s">
        <v>36</v>
      </c>
      <c r="K54" s="2"/>
      <c r="L54" s="2"/>
      <c r="M54" s="2"/>
    </row>
    <row r="55" spans="1:13" x14ac:dyDescent="0.35">
      <c r="A55" t="s">
        <v>37</v>
      </c>
      <c r="C55" s="2">
        <f>+K49</f>
        <v>48150.364818104164</v>
      </c>
    </row>
    <row r="56" spans="1:13" x14ac:dyDescent="0.35">
      <c r="A56" s="12" t="s">
        <v>38</v>
      </c>
      <c r="D56" s="2">
        <f>+L49</f>
        <v>36000</v>
      </c>
    </row>
    <row r="57" spans="1:13" x14ac:dyDescent="0.35">
      <c r="A57" t="s">
        <v>63</v>
      </c>
      <c r="D57" s="2">
        <f>+C55-D56</f>
        <v>12150.364818104164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0"/>
  <sheetViews>
    <sheetView tabSelected="1" zoomScale="85" zoomScaleNormal="85" workbookViewId="0">
      <selection activeCell="L62" sqref="L62"/>
    </sheetView>
  </sheetViews>
  <sheetFormatPr baseColWidth="10" defaultRowHeight="14.5" x14ac:dyDescent="0.35"/>
  <cols>
    <col min="4" max="4" width="12.1796875" customWidth="1"/>
  </cols>
  <sheetData>
    <row r="1" spans="1:19" ht="15.5" x14ac:dyDescent="0.35">
      <c r="A1" s="8" t="s">
        <v>74</v>
      </c>
      <c r="D1" s="2"/>
    </row>
    <row r="2" spans="1:19" ht="15.5" x14ac:dyDescent="0.35">
      <c r="A2" s="26" t="s">
        <v>73</v>
      </c>
      <c r="D2" s="2"/>
    </row>
    <row r="3" spans="1:19" ht="15.5" x14ac:dyDescent="0.35">
      <c r="A3" s="26" t="s">
        <v>76</v>
      </c>
      <c r="B3" s="24"/>
      <c r="C3" s="24"/>
      <c r="D3" s="2">
        <v>900000</v>
      </c>
      <c r="E3" s="24"/>
    </row>
    <row r="4" spans="1:19" ht="15.5" x14ac:dyDescent="0.35">
      <c r="A4" s="26" t="s">
        <v>80</v>
      </c>
      <c r="B4" s="24"/>
      <c r="C4" s="24"/>
      <c r="D4" s="17">
        <v>0.08</v>
      </c>
      <c r="E4" s="24"/>
      <c r="I4">
        <v>0</v>
      </c>
      <c r="J4" s="11">
        <v>1</v>
      </c>
      <c r="K4" s="11">
        <v>2</v>
      </c>
      <c r="L4" s="11">
        <v>3</v>
      </c>
      <c r="M4" s="11">
        <v>4</v>
      </c>
      <c r="N4" s="11">
        <v>5</v>
      </c>
      <c r="Q4" s="6" t="s">
        <v>9</v>
      </c>
      <c r="R4" s="6" t="s">
        <v>45</v>
      </c>
      <c r="S4" s="6" t="s">
        <v>10</v>
      </c>
    </row>
    <row r="5" spans="1:19" ht="15.5" x14ac:dyDescent="0.35">
      <c r="A5" s="26" t="s">
        <v>77</v>
      </c>
      <c r="B5" s="9"/>
      <c r="C5" s="9"/>
      <c r="D5" s="25"/>
      <c r="E5" s="24"/>
      <c r="I5" s="5"/>
      <c r="J5" s="2">
        <f>+D3*D6</f>
        <v>63000.000000000007</v>
      </c>
      <c r="K5" s="2">
        <f>+J5</f>
        <v>63000.000000000007</v>
      </c>
      <c r="L5" s="2">
        <f>K5</f>
        <v>63000.000000000007</v>
      </c>
      <c r="M5" s="2">
        <f>+L5</f>
        <v>63000.000000000007</v>
      </c>
      <c r="N5" s="2">
        <f>M5+D3</f>
        <v>963000</v>
      </c>
      <c r="S5" s="2">
        <f>+I6</f>
        <v>864065.6096662971</v>
      </c>
    </row>
    <row r="6" spans="1:19" ht="15.5" x14ac:dyDescent="0.35">
      <c r="A6" s="26" t="s">
        <v>78</v>
      </c>
      <c r="B6" s="9"/>
      <c r="C6" s="9"/>
      <c r="D6" s="28">
        <v>7.0000000000000007E-2</v>
      </c>
      <c r="E6" s="28">
        <v>0.05</v>
      </c>
      <c r="I6" s="5">
        <f>NPV(D4,J5:N5)</f>
        <v>864065.6096662971</v>
      </c>
      <c r="J6" s="2"/>
      <c r="K6" s="2"/>
      <c r="L6" s="2"/>
      <c r="M6" s="2"/>
      <c r="P6" t="s">
        <v>5</v>
      </c>
      <c r="Q6" s="2">
        <f>+S5*D$4</f>
        <v>69125.248773303771</v>
      </c>
      <c r="R6" s="2">
        <f>+J5</f>
        <v>63000.000000000007</v>
      </c>
      <c r="S6" s="2">
        <f>+S5+Q6-R6</f>
        <v>870190.85843960091</v>
      </c>
    </row>
    <row r="7" spans="1:19" ht="15.5" x14ac:dyDescent="0.35">
      <c r="A7" s="26" t="s">
        <v>79</v>
      </c>
      <c r="D7">
        <v>3</v>
      </c>
      <c r="E7">
        <v>5</v>
      </c>
      <c r="K7" s="29">
        <f>NPV(D4,L5:N5)</f>
        <v>876806.12711476895</v>
      </c>
      <c r="P7" t="s">
        <v>7</v>
      </c>
      <c r="Q7" s="2">
        <f>+S6*D$4</f>
        <v>69615.268675168074</v>
      </c>
      <c r="R7" s="2">
        <f>+K5</f>
        <v>63000.000000000007</v>
      </c>
      <c r="S7" s="30">
        <f t="shared" ref="S7:S9" si="0">+S6+Q7-R7</f>
        <v>876806.12711476895</v>
      </c>
    </row>
    <row r="8" spans="1:19" ht="15.5" x14ac:dyDescent="0.35">
      <c r="A8" s="27" t="s">
        <v>75</v>
      </c>
      <c r="D8" s="2">
        <v>40000</v>
      </c>
      <c r="P8" t="s">
        <v>11</v>
      </c>
      <c r="Q8" s="2">
        <f>+S7*D$4</f>
        <v>70144.490169181518</v>
      </c>
      <c r="R8" s="2">
        <f>+L5</f>
        <v>63000.000000000007</v>
      </c>
      <c r="S8" s="2">
        <f t="shared" si="0"/>
        <v>883950.61728395044</v>
      </c>
    </row>
    <row r="9" spans="1:19" ht="15.5" x14ac:dyDescent="0.35">
      <c r="A9" s="15"/>
      <c r="B9" s="16"/>
      <c r="C9" s="5"/>
      <c r="P9" t="s">
        <v>12</v>
      </c>
      <c r="Q9" s="2">
        <f>+S8*D$4</f>
        <v>70716.049382716039</v>
      </c>
      <c r="R9" s="2">
        <f>+M5</f>
        <v>63000.000000000007</v>
      </c>
      <c r="S9" s="2">
        <f t="shared" si="0"/>
        <v>891666.66666666651</v>
      </c>
    </row>
    <row r="10" spans="1:19" ht="18.5" x14ac:dyDescent="0.45">
      <c r="A10" s="4"/>
      <c r="B10" s="16" t="s">
        <v>60</v>
      </c>
      <c r="D10" s="11">
        <v>1</v>
      </c>
      <c r="E10" s="11">
        <v>2</v>
      </c>
      <c r="F10" s="11">
        <v>3</v>
      </c>
      <c r="G10" s="11"/>
      <c r="H10" s="11"/>
      <c r="P10" t="s">
        <v>25</v>
      </c>
      <c r="Q10" s="2">
        <f>+S9*D$4</f>
        <v>71333.333333333328</v>
      </c>
      <c r="R10" s="2">
        <f>+N5</f>
        <v>963000</v>
      </c>
      <c r="S10" s="2">
        <f t="shared" ref="S10" si="1">+S9+Q10-R10</f>
        <v>0</v>
      </c>
    </row>
    <row r="11" spans="1:19" x14ac:dyDescent="0.35">
      <c r="D11" s="2">
        <f>+$D3*$D6</f>
        <v>63000.000000000007</v>
      </c>
      <c r="E11" s="2">
        <f t="shared" ref="E11" si="2">+$D3*$D6</f>
        <v>63000.000000000007</v>
      </c>
      <c r="F11" s="2">
        <f>(+$D3*$D6)+D3</f>
        <v>963000</v>
      </c>
      <c r="G11" s="2"/>
      <c r="H11" s="2"/>
    </row>
    <row r="12" spans="1:19" x14ac:dyDescent="0.35">
      <c r="C12" s="5">
        <f>NPV(D4,D11:G11)</f>
        <v>876806.12711476895</v>
      </c>
      <c r="D12" s="2"/>
      <c r="E12" s="2"/>
      <c r="F12" s="2"/>
      <c r="G12" s="2"/>
    </row>
    <row r="13" spans="1:19" x14ac:dyDescent="0.35">
      <c r="D13" s="2"/>
      <c r="E13" s="2"/>
      <c r="F13" s="2"/>
      <c r="G13" s="2"/>
    </row>
    <row r="14" spans="1:19" x14ac:dyDescent="0.35">
      <c r="D14" s="2"/>
      <c r="E14" s="2"/>
      <c r="F14" s="2"/>
      <c r="G14" s="2"/>
    </row>
    <row r="15" spans="1:19" x14ac:dyDescent="0.35">
      <c r="B15" s="16" t="s">
        <v>61</v>
      </c>
      <c r="C15">
        <v>0</v>
      </c>
      <c r="D15" s="11">
        <v>1</v>
      </c>
      <c r="E15" s="11">
        <v>2</v>
      </c>
      <c r="F15" s="11">
        <v>3</v>
      </c>
      <c r="G15" s="11">
        <v>4</v>
      </c>
      <c r="H15" s="11">
        <v>5</v>
      </c>
      <c r="I15" s="11"/>
      <c r="K15" s="2"/>
      <c r="L15" s="2"/>
      <c r="M15" s="2"/>
    </row>
    <row r="16" spans="1:19" x14ac:dyDescent="0.35">
      <c r="C16" s="5">
        <f>+D8</f>
        <v>40000</v>
      </c>
      <c r="D16" s="2">
        <f>+$D3*$E6</f>
        <v>45000</v>
      </c>
      <c r="E16" s="2">
        <f t="shared" ref="E16:G16" si="3">+$D3*$E6</f>
        <v>45000</v>
      </c>
      <c r="F16" s="2">
        <f t="shared" si="3"/>
        <v>45000</v>
      </c>
      <c r="G16" s="2">
        <f t="shared" si="3"/>
        <v>45000</v>
      </c>
      <c r="H16" s="2">
        <f>(+$D3*$E6)+D3</f>
        <v>945000</v>
      </c>
      <c r="I16" s="2"/>
      <c r="K16" s="2"/>
      <c r="L16" s="2"/>
      <c r="M16" s="2"/>
    </row>
    <row r="17" spans="1:13" x14ac:dyDescent="0.35">
      <c r="C17" s="5">
        <f>NPV(D4,D16:I16)+C16</f>
        <v>832196.82899889152</v>
      </c>
      <c r="D17" s="2"/>
      <c r="E17" s="2"/>
      <c r="F17" s="2"/>
      <c r="G17" s="2"/>
      <c r="K17" s="2"/>
      <c r="L17" s="2"/>
      <c r="M17" s="2"/>
    </row>
    <row r="18" spans="1:13" x14ac:dyDescent="0.35">
      <c r="D18" s="13" t="s">
        <v>53</v>
      </c>
      <c r="E18" s="2"/>
      <c r="F18" s="2"/>
      <c r="G18" s="2"/>
      <c r="K18" s="6" t="s">
        <v>9</v>
      </c>
      <c r="L18" s="6" t="s">
        <v>45</v>
      </c>
      <c r="M18" s="6" t="s">
        <v>10</v>
      </c>
    </row>
    <row r="19" spans="1:13" x14ac:dyDescent="0.35">
      <c r="D19" s="13" t="s">
        <v>54</v>
      </c>
      <c r="E19" s="2"/>
      <c r="F19" s="2"/>
      <c r="G19" s="2"/>
      <c r="M19" s="2">
        <f>+C17</f>
        <v>832196.82899889152</v>
      </c>
    </row>
    <row r="20" spans="1:13" x14ac:dyDescent="0.35">
      <c r="E20" s="2"/>
      <c r="F20" s="2"/>
      <c r="G20" s="2"/>
      <c r="J20" s="16" t="s">
        <v>58</v>
      </c>
      <c r="K20" s="16"/>
      <c r="L20" s="5">
        <f>+C16</f>
        <v>40000</v>
      </c>
      <c r="M20" s="2">
        <f t="shared" ref="M20:M21" si="4">+M19+K20-L20</f>
        <v>792196.82899889152</v>
      </c>
    </row>
    <row r="21" spans="1:13" x14ac:dyDescent="0.35">
      <c r="E21" s="2"/>
      <c r="F21" s="2"/>
      <c r="G21" s="2"/>
      <c r="J21" t="s">
        <v>5</v>
      </c>
      <c r="K21" s="2">
        <f>+M20*D$4</f>
        <v>63375.746319911326</v>
      </c>
      <c r="L21" s="2">
        <f>+D16</f>
        <v>45000</v>
      </c>
      <c r="M21" s="2">
        <f t="shared" si="4"/>
        <v>810572.57531880285</v>
      </c>
    </row>
    <row r="22" spans="1:13" x14ac:dyDescent="0.35">
      <c r="C22" t="s">
        <v>55</v>
      </c>
      <c r="D22" s="17">
        <f>+(+C17-C12)/C12</f>
        <v>-5.0877037393282643E-2</v>
      </c>
      <c r="E22" s="2" t="s">
        <v>56</v>
      </c>
      <c r="F22" s="2"/>
      <c r="G22" s="2"/>
      <c r="J22" t="s">
        <v>7</v>
      </c>
      <c r="K22" s="2">
        <f t="shared" ref="K22:K25" si="5">+M21*D$4</f>
        <v>64845.806025504229</v>
      </c>
      <c r="L22" s="2">
        <f>+E16</f>
        <v>45000</v>
      </c>
      <c r="M22" s="2">
        <f>+M21+K22-L22</f>
        <v>830418.3813443071</v>
      </c>
    </row>
    <row r="23" spans="1:13" x14ac:dyDescent="0.35">
      <c r="E23" s="2"/>
      <c r="F23" s="2"/>
      <c r="G23" s="2"/>
      <c r="J23" t="s">
        <v>11</v>
      </c>
      <c r="K23" s="2">
        <f t="shared" si="5"/>
        <v>66433.470507544567</v>
      </c>
      <c r="L23" s="2">
        <f>+F16</f>
        <v>45000</v>
      </c>
      <c r="M23" s="2">
        <f>+M22+K23-L23</f>
        <v>851851.85185185168</v>
      </c>
    </row>
    <row r="24" spans="1:13" x14ac:dyDescent="0.35">
      <c r="E24" s="2"/>
      <c r="F24" s="2"/>
      <c r="G24" s="2"/>
      <c r="J24" t="s">
        <v>12</v>
      </c>
      <c r="K24" s="2">
        <f t="shared" si="5"/>
        <v>68148.148148148131</v>
      </c>
      <c r="L24" s="2">
        <f>+G16</f>
        <v>45000</v>
      </c>
      <c r="M24" s="2">
        <f>+M23+K24-L24</f>
        <v>874999.99999999977</v>
      </c>
    </row>
    <row r="25" spans="1:13" x14ac:dyDescent="0.35">
      <c r="A25" s="13" t="s">
        <v>57</v>
      </c>
      <c r="E25" s="2"/>
      <c r="F25" s="2"/>
      <c r="G25" s="2"/>
      <c r="J25" t="s">
        <v>25</v>
      </c>
      <c r="K25" s="2">
        <f t="shared" si="5"/>
        <v>69999.999999999985</v>
      </c>
      <c r="L25" s="2">
        <f>+H16</f>
        <v>945000</v>
      </c>
      <c r="M25" s="2">
        <f t="shared" ref="M25" si="6">+M24+K25-L25</f>
        <v>0</v>
      </c>
    </row>
    <row r="26" spans="1:13" x14ac:dyDescent="0.35">
      <c r="A26" t="s">
        <v>62</v>
      </c>
      <c r="C26" s="2">
        <f>+C12-C17</f>
        <v>44609.298115877435</v>
      </c>
      <c r="D26" s="2"/>
      <c r="K26" s="2"/>
      <c r="L26" s="2"/>
      <c r="M26" s="2"/>
    </row>
    <row r="27" spans="1:13" x14ac:dyDescent="0.35">
      <c r="A27" s="12" t="s">
        <v>64</v>
      </c>
      <c r="D27" s="2">
        <f>+C26</f>
        <v>44609.298115877435</v>
      </c>
    </row>
    <row r="29" spans="1:13" x14ac:dyDescent="0.35">
      <c r="A29" t="s">
        <v>62</v>
      </c>
      <c r="C29" s="2">
        <f>+C16</f>
        <v>40000</v>
      </c>
      <c r="D29" s="2"/>
    </row>
    <row r="30" spans="1:13" x14ac:dyDescent="0.35">
      <c r="A30" s="12" t="s">
        <v>59</v>
      </c>
      <c r="D30" s="2">
        <f>+C29</f>
        <v>40000</v>
      </c>
    </row>
    <row r="32" spans="1:13" x14ac:dyDescent="0.35">
      <c r="A32" s="13" t="s">
        <v>36</v>
      </c>
    </row>
    <row r="33" spans="1:16" x14ac:dyDescent="0.35">
      <c r="A33" t="s">
        <v>37</v>
      </c>
      <c r="C33" s="2">
        <f>+K21</f>
        <v>63375.746319911326</v>
      </c>
    </row>
    <row r="34" spans="1:16" x14ac:dyDescent="0.35">
      <c r="A34" s="12" t="s">
        <v>38</v>
      </c>
      <c r="D34" s="2">
        <f>+L21</f>
        <v>45000</v>
      </c>
    </row>
    <row r="35" spans="1:16" x14ac:dyDescent="0.35">
      <c r="A35" t="s">
        <v>63</v>
      </c>
      <c r="D35" s="2">
        <f>+C33-D34</f>
        <v>18375.746319911326</v>
      </c>
    </row>
    <row r="38" spans="1:16" ht="28.5" x14ac:dyDescent="0.65">
      <c r="A38" s="19" t="s">
        <v>65</v>
      </c>
      <c r="B38" s="18" t="s">
        <v>66</v>
      </c>
    </row>
    <row r="40" spans="1:16" x14ac:dyDescent="0.35">
      <c r="B40" s="16" t="s">
        <v>61</v>
      </c>
      <c r="C40" s="6">
        <v>0</v>
      </c>
      <c r="D40" s="11">
        <v>1</v>
      </c>
      <c r="E40" s="11">
        <v>2</v>
      </c>
      <c r="F40" s="11">
        <v>3</v>
      </c>
      <c r="G40" s="11">
        <v>4</v>
      </c>
      <c r="H40" s="11">
        <v>5</v>
      </c>
      <c r="I40" s="11"/>
    </row>
    <row r="41" spans="1:16" x14ac:dyDescent="0.35">
      <c r="C41" s="5">
        <v>0</v>
      </c>
      <c r="D41" s="2">
        <f>+D16</f>
        <v>45000</v>
      </c>
      <c r="E41" s="2">
        <f t="shared" ref="E41:H41" si="7">+E16</f>
        <v>45000</v>
      </c>
      <c r="F41" s="2">
        <f t="shared" si="7"/>
        <v>45000</v>
      </c>
      <c r="G41" s="2">
        <f t="shared" si="7"/>
        <v>45000</v>
      </c>
      <c r="H41" s="2">
        <f t="shared" si="7"/>
        <v>945000</v>
      </c>
      <c r="I41" s="2"/>
    </row>
    <row r="42" spans="1:16" x14ac:dyDescent="0.35">
      <c r="C42" s="5">
        <f>NPV(D4,D41:I41)+C41</f>
        <v>792196.82899889152</v>
      </c>
      <c r="D42" s="2"/>
      <c r="E42" s="2"/>
      <c r="F42" s="2"/>
      <c r="G42" s="2"/>
    </row>
    <row r="43" spans="1:16" x14ac:dyDescent="0.35">
      <c r="D43" s="22" t="s">
        <v>53</v>
      </c>
    </row>
    <row r="44" spans="1:16" x14ac:dyDescent="0.35">
      <c r="D44" s="22" t="s">
        <v>67</v>
      </c>
      <c r="J44" s="6">
        <v>0</v>
      </c>
      <c r="K44" s="11">
        <v>1</v>
      </c>
      <c r="L44" s="11">
        <v>2</v>
      </c>
      <c r="M44" s="11">
        <v>3</v>
      </c>
      <c r="N44" s="11">
        <v>4</v>
      </c>
      <c r="O44" s="11">
        <v>5</v>
      </c>
      <c r="P44" s="11"/>
    </row>
    <row r="45" spans="1:16" x14ac:dyDescent="0.35">
      <c r="J45" s="32">
        <f>-M51</f>
        <v>-752196.82899889152</v>
      </c>
      <c r="K45" s="2">
        <f t="shared" ref="K45:O45" si="8">+D41</f>
        <v>45000</v>
      </c>
      <c r="L45" s="2">
        <f t="shared" si="8"/>
        <v>45000</v>
      </c>
      <c r="M45" s="2">
        <f t="shared" si="8"/>
        <v>45000</v>
      </c>
      <c r="N45" s="2">
        <f t="shared" si="8"/>
        <v>45000</v>
      </c>
      <c r="O45" s="2">
        <f t="shared" si="8"/>
        <v>945000</v>
      </c>
      <c r="P45" s="2"/>
    </row>
    <row r="46" spans="1:16" ht="15.5" x14ac:dyDescent="0.35">
      <c r="J46" s="31">
        <f>IRR(J45:P45,0.08)</f>
        <v>9.2494866085513605E-2</v>
      </c>
      <c r="K46" s="21"/>
    </row>
    <row r="47" spans="1:16" ht="17" x14ac:dyDescent="0.4">
      <c r="C47" t="s">
        <v>55</v>
      </c>
      <c r="D47" s="17">
        <f>+(+C42-C12)/C12</f>
        <v>-9.6497156554202046E-2</v>
      </c>
      <c r="E47" s="2" t="s">
        <v>56</v>
      </c>
      <c r="J47" s="21"/>
      <c r="K47" s="23" t="s">
        <v>71</v>
      </c>
    </row>
    <row r="49" spans="1:13" x14ac:dyDescent="0.35">
      <c r="K49" s="6" t="s">
        <v>9</v>
      </c>
      <c r="L49" s="6" t="s">
        <v>45</v>
      </c>
      <c r="M49" s="6" t="s">
        <v>10</v>
      </c>
    </row>
    <row r="50" spans="1:13" x14ac:dyDescent="0.35">
      <c r="A50" s="33" t="s">
        <v>57</v>
      </c>
      <c r="M50" s="2">
        <f>+C42</f>
        <v>792196.82899889152</v>
      </c>
    </row>
    <row r="51" spans="1:13" x14ac:dyDescent="0.35">
      <c r="A51" t="s">
        <v>62</v>
      </c>
      <c r="C51" s="2">
        <f>+D52+D53</f>
        <v>124609.29811587743</v>
      </c>
      <c r="D51" s="2"/>
      <c r="J51" s="16" t="s">
        <v>58</v>
      </c>
      <c r="K51" s="16"/>
      <c r="L51" s="5">
        <f>+D8</f>
        <v>40000</v>
      </c>
      <c r="M51" s="2">
        <f t="shared" ref="M51:M52" si="9">+M50+K51-L51</f>
        <v>752196.82899889152</v>
      </c>
    </row>
    <row r="52" spans="1:13" x14ac:dyDescent="0.35">
      <c r="A52" s="12" t="s">
        <v>64</v>
      </c>
      <c r="D52" s="2">
        <f>+C12-C42</f>
        <v>84609.298115877435</v>
      </c>
      <c r="J52" t="s">
        <v>5</v>
      </c>
      <c r="K52" s="2">
        <f t="shared" ref="K52:K56" si="10">+M51*J$46</f>
        <v>69574.344968200443</v>
      </c>
      <c r="L52" s="2">
        <f>+D41</f>
        <v>45000</v>
      </c>
      <c r="M52" s="2">
        <f t="shared" si="9"/>
        <v>776771.17396709195</v>
      </c>
    </row>
    <row r="53" spans="1:13" x14ac:dyDescent="0.35">
      <c r="A53" s="12" t="s">
        <v>68</v>
      </c>
      <c r="D53" s="2">
        <f>+D8</f>
        <v>40000</v>
      </c>
      <c r="J53" t="s">
        <v>7</v>
      </c>
      <c r="K53" s="2">
        <f t="shared" si="10"/>
        <v>71847.34571517336</v>
      </c>
      <c r="L53" s="2">
        <f>+E41</f>
        <v>45000</v>
      </c>
      <c r="M53" s="2">
        <f>+M52+K53-L53</f>
        <v>803618.51968226535</v>
      </c>
    </row>
    <row r="54" spans="1:13" x14ac:dyDescent="0.35">
      <c r="A54" s="13" t="s">
        <v>69</v>
      </c>
      <c r="J54" t="s">
        <v>11</v>
      </c>
      <c r="K54" s="2">
        <f t="shared" si="10"/>
        <v>74330.587361849815</v>
      </c>
      <c r="L54" s="2">
        <f>+F41</f>
        <v>45000</v>
      </c>
      <c r="M54" s="2">
        <f>+M53+K54-L54</f>
        <v>832949.1070441152</v>
      </c>
    </row>
    <row r="55" spans="1:13" x14ac:dyDescent="0.35">
      <c r="A55" t="s">
        <v>70</v>
      </c>
      <c r="J55" t="s">
        <v>12</v>
      </c>
      <c r="K55" s="2">
        <f t="shared" si="10"/>
        <v>77043.516112093566</v>
      </c>
      <c r="L55" s="2">
        <f>+G41</f>
        <v>45000</v>
      </c>
      <c r="M55" s="2">
        <f>+M54+K55-L55</f>
        <v>864992.62315620878</v>
      </c>
    </row>
    <row r="56" spans="1:13" x14ac:dyDescent="0.35">
      <c r="J56" t="s">
        <v>25</v>
      </c>
      <c r="K56" s="2">
        <f t="shared" si="10"/>
        <v>80007.376843790669</v>
      </c>
      <c r="L56" s="2">
        <f>+H41</f>
        <v>945000</v>
      </c>
      <c r="M56" s="2">
        <f t="shared" ref="M56" si="11">+M55+K56-L56</f>
        <v>0</v>
      </c>
    </row>
    <row r="57" spans="1:13" x14ac:dyDescent="0.35">
      <c r="A57" s="33" t="s">
        <v>36</v>
      </c>
      <c r="K57" s="2"/>
      <c r="L57" s="2"/>
      <c r="M57" s="2"/>
    </row>
    <row r="58" spans="1:13" x14ac:dyDescent="0.35">
      <c r="A58" t="s">
        <v>37</v>
      </c>
      <c r="C58" s="2">
        <f>+K52</f>
        <v>69574.344968200443</v>
      </c>
    </row>
    <row r="59" spans="1:13" x14ac:dyDescent="0.35">
      <c r="A59" s="12" t="s">
        <v>38</v>
      </c>
      <c r="D59" s="2">
        <f>+L52</f>
        <v>45000</v>
      </c>
    </row>
    <row r="60" spans="1:13" x14ac:dyDescent="0.35">
      <c r="A60" t="s">
        <v>63</v>
      </c>
      <c r="D60" s="2">
        <f>+C58-D59</f>
        <v>24574.344968200443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prime escompte</vt:lpstr>
      <vt:lpstr>coût transaction</vt:lpstr>
      <vt:lpstr>coût transaction semest)</vt:lpstr>
      <vt:lpstr>oblig conv</vt:lpstr>
      <vt:lpstr>emp hypothécaire</vt:lpstr>
      <vt:lpstr>restructuration</vt:lpstr>
      <vt:lpstr>restructuration-2</vt:lpstr>
      <vt:lpstr>restructuration-3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dcterms:created xsi:type="dcterms:W3CDTF">2018-09-16T18:43:35Z</dcterms:created>
  <dcterms:modified xsi:type="dcterms:W3CDTF">2020-10-01T20:41:50Z</dcterms:modified>
</cp:coreProperties>
</file>