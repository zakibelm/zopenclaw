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0 Aut\Séance 6\"/>
    </mc:Choice>
  </mc:AlternateContent>
  <xr:revisionPtr revIDLastSave="0" documentId="13_ncr:1_{9BEA9719-3E6E-43AF-837A-7768CDF59A9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lacement oblig" sheetId="1" r:id="rId1"/>
    <sheet name="Prêts" sheetId="4" r:id="rId2"/>
    <sheet name="Aide gouv" sheetId="5" r:id="rId3"/>
    <sheet name="Débenture conv" sheetId="2" r:id="rId4"/>
    <sheet name="décomp passif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3" l="1"/>
  <c r="D11" i="2"/>
  <c r="E11" i="2"/>
  <c r="F11" i="2"/>
  <c r="G11" i="2"/>
  <c r="C11" i="2"/>
  <c r="E9" i="5"/>
  <c r="D9" i="5"/>
  <c r="D20" i="5"/>
  <c r="E20" i="5"/>
  <c r="F20" i="5"/>
  <c r="C20" i="5"/>
  <c r="F18" i="5"/>
  <c r="E18" i="5"/>
  <c r="D18" i="5"/>
  <c r="C18" i="5"/>
  <c r="C17" i="5" s="1"/>
  <c r="B17" i="5"/>
  <c r="D12" i="5"/>
  <c r="F15" i="5"/>
  <c r="E15" i="5"/>
  <c r="D15" i="5"/>
  <c r="C15" i="5"/>
  <c r="C14" i="5" s="1"/>
  <c r="F13" i="5"/>
  <c r="C13" i="5"/>
  <c r="D13" i="5" s="1"/>
  <c r="E13" i="5" s="1"/>
  <c r="E5" i="5"/>
  <c r="D4" i="5"/>
  <c r="E4" i="5" s="1"/>
  <c r="C4" i="5"/>
  <c r="E8" i="5"/>
  <c r="D15" i="4"/>
  <c r="C15" i="4"/>
  <c r="B18" i="4" s="1"/>
  <c r="D18" i="4"/>
  <c r="C18" i="4"/>
  <c r="D19" i="4" s="1"/>
  <c r="D8" i="4"/>
  <c r="C8" i="4"/>
  <c r="D7" i="4"/>
  <c r="B8" i="1"/>
  <c r="D17" i="5" l="1"/>
  <c r="E17" i="5" s="1"/>
  <c r="F17" i="5" s="1"/>
  <c r="D14" i="5"/>
  <c r="D8" i="5"/>
  <c r="B8" i="5"/>
  <c r="C8" i="5"/>
  <c r="C9" i="5" s="1"/>
  <c r="C19" i="4"/>
  <c r="B7" i="4"/>
  <c r="C7" i="4"/>
  <c r="E14" i="5" l="1"/>
  <c r="F14" i="5" l="1"/>
  <c r="C17" i="3" l="1"/>
  <c r="F19" i="3" l="1"/>
  <c r="C19" i="3"/>
  <c r="E19" i="3"/>
  <c r="D19" i="3"/>
  <c r="B19" i="3"/>
  <c r="D17" i="3"/>
  <c r="E17" i="3" s="1"/>
  <c r="F17" i="3" s="1"/>
  <c r="G17" i="3" s="1"/>
  <c r="D4" i="3"/>
  <c r="E4" i="3" s="1"/>
  <c r="F4" i="3" s="1"/>
  <c r="F5" i="3"/>
  <c r="D5" i="3"/>
  <c r="E5" i="3"/>
  <c r="C5" i="3"/>
  <c r="C7" i="2"/>
  <c r="D7" i="2"/>
  <c r="D9" i="2" s="1"/>
  <c r="F7" i="2"/>
  <c r="G6" i="2"/>
  <c r="F6" i="2"/>
  <c r="E7" i="2" s="1"/>
  <c r="E9" i="2" s="1"/>
  <c r="E6" i="2"/>
  <c r="D6" i="2"/>
  <c r="C6" i="2"/>
  <c r="B7" i="2" s="1"/>
  <c r="B5" i="1"/>
  <c r="C5" i="1"/>
  <c r="D5" i="1"/>
  <c r="E5" i="1"/>
  <c r="F5" i="1"/>
  <c r="B6" i="1"/>
  <c r="C8" i="1" s="1"/>
  <c r="C6" i="3" l="1"/>
  <c r="E21" i="3"/>
  <c r="F21" i="3"/>
  <c r="B6" i="3"/>
  <c r="D21" i="3"/>
  <c r="C21" i="3"/>
  <c r="C9" i="2"/>
  <c r="F9" i="2"/>
  <c r="E6" i="3"/>
  <c r="E8" i="1"/>
  <c r="D6" i="3"/>
  <c r="D8" i="1"/>
  <c r="C8" i="3" l="1"/>
  <c r="D8" i="3"/>
  <c r="C24" i="3"/>
  <c r="E8" i="3"/>
</calcChain>
</file>

<file path=xl/sharedStrings.xml><?xml version="1.0" encoding="utf-8"?>
<sst xmlns="http://schemas.openxmlformats.org/spreadsheetml/2006/main" count="21" uniqueCount="20">
  <si>
    <t>Payés 900 $ par obligation</t>
  </si>
  <si>
    <t>Taux sans option de conversion serait de 7%</t>
  </si>
  <si>
    <t xml:space="preserve">Débenture 100 000 $, taux d’intérêts de 3% payable annuellement, </t>
  </si>
  <si>
    <t>convertible en 10 actions ordinaires par tranche de 1000 $, échéance 5 ans</t>
  </si>
  <si>
    <t>Base</t>
  </si>
  <si>
    <t>Gain</t>
  </si>
  <si>
    <t>en n’exigeant plus le versement des intérêts.</t>
  </si>
  <si>
    <t>15 obligations de 1 000 $, donnant droit à un intérêt annuel de 5 %, échéance dans 4 ans</t>
  </si>
  <si>
    <t>Question A</t>
  </si>
  <si>
    <t>Question B</t>
  </si>
  <si>
    <t>Objet de l'aide</t>
  </si>
  <si>
    <t>amort</t>
  </si>
  <si>
    <t xml:space="preserve">Aide </t>
  </si>
  <si>
    <t>au net</t>
  </si>
  <si>
    <t>Frais financiers</t>
  </si>
  <si>
    <t>écart amort</t>
  </si>
  <si>
    <t xml:space="preserve"> Le 31 décembre 2019, la banque accepte de modifier les clauses de l’entente avec ABC </t>
  </si>
  <si>
    <t xml:space="preserve"> Toutefois ABC devra rembourser le capital un an après l’échéance initiale de l’emprunt soit en 2023</t>
  </si>
  <si>
    <t>Écart &gt; 10 %?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</si>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</sst>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$&quot;_);[Red]\(#,##0\ &quot;$&quot;\)"/>
    <numFmt numFmtId="165" formatCode="#,##0.00\ &quot;$&quot;_);[Red]\(#,##0.00\ &quot;$&quot;\)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9" fontId="0" fillId="0" borderId="0" xfId="0" applyNumberFormat="1"/>
    <xf numFmtId="10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0" fontId="2" fillId="0" borderId="0" xfId="0" applyFont="1" applyAlignment="1">
      <alignment horizontal="left" vertical="center" readingOrder="1"/>
    </xf>
    <xf numFmtId="0" fontId="2" fillId="0" borderId="0" xfId="0" applyFont="1"/>
    <xf numFmtId="166" fontId="0" fillId="0" borderId="0" xfId="0" applyNumberFormat="1"/>
    <xf numFmtId="164" fontId="1" fillId="0" borderId="0" xfId="0" applyNumberFormat="1" applyFont="1"/>
    <xf numFmtId="164" fontId="0" fillId="0" borderId="0" xfId="0" applyNumberFormat="1" applyFont="1"/>
    <xf numFmtId="0" fontId="1" fillId="0" borderId="0" xfId="0" applyFont="1"/>
    <xf numFmtId="0" fontId="3" fillId="0" borderId="0" xfId="0" applyFont="1"/>
    <xf numFmtId="164" fontId="0" fillId="2" borderId="0" xfId="0" applyNumberFormat="1" applyFont="1" applyFill="1"/>
    <xf numFmtId="164" fontId="1" fillId="2" borderId="0" xfId="0" applyNumberFormat="1" applyFont="1" applyFill="1"/>
    <xf numFmtId="164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9" fontId="0" fillId="0" borderId="0" xfId="1" applyFont="1"/>
    <xf numFmtId="164" fontId="5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27" sqref="C27"/>
    </sheetView>
  </sheetViews>
  <sheetFormatPr baseColWidth="10" defaultRowHeight="14.5" x14ac:dyDescent="0.35"/>
  <cols>
    <col min="2" max="2" width="11.90625" bestFit="1" customWidth="1"/>
    <col min="3" max="3" width="12" bestFit="1" customWidth="1"/>
    <col min="4" max="5" width="11.90625" bestFit="1" customWidth="1"/>
  </cols>
  <sheetData>
    <row r="1" spans="1:6" ht="15.5" x14ac:dyDescent="0.35">
      <c r="A1" s="5" t="s">
        <v>7</v>
      </c>
    </row>
    <row r="2" spans="1:6" ht="15.5" x14ac:dyDescent="0.35">
      <c r="A2" s="5" t="s">
        <v>0</v>
      </c>
    </row>
    <row r="4" spans="1:6" x14ac:dyDescent="0.35">
      <c r="B4">
        <v>0</v>
      </c>
      <c r="C4">
        <v>1</v>
      </c>
      <c r="D4">
        <v>2</v>
      </c>
      <c r="E4">
        <v>3</v>
      </c>
      <c r="F4">
        <v>4</v>
      </c>
    </row>
    <row r="5" spans="1:6" x14ac:dyDescent="0.35">
      <c r="B5">
        <f>-900*15</f>
        <v>-13500</v>
      </c>
      <c r="C5">
        <f>1000*0.05*15</f>
        <v>750</v>
      </c>
      <c r="D5">
        <f>1000*0.05*15</f>
        <v>750</v>
      </c>
      <c r="E5">
        <f>1000*0.05*15</f>
        <v>750</v>
      </c>
      <c r="F5">
        <f>(1000*0.05*15)+(1000*15)</f>
        <v>15750</v>
      </c>
    </row>
    <row r="6" spans="1:6" x14ac:dyDescent="0.35">
      <c r="B6" s="2">
        <f>IRR(B5:F5,0.1)</f>
        <v>8.0205920327722335E-2</v>
      </c>
    </row>
    <row r="8" spans="1:6" x14ac:dyDescent="0.35">
      <c r="B8" s="12">
        <f>NPV($B6,C5:$F5)</f>
        <v>13500.000000010403</v>
      </c>
      <c r="C8" s="13">
        <f>NPV($B6,D5:$F5)</f>
        <v>13832.779924435488</v>
      </c>
      <c r="D8" s="14">
        <f>NPV($B6,E5:$F5)</f>
        <v>14192.25076896568</v>
      </c>
      <c r="E8" s="14">
        <f>NPV($B6,F5:$F5)</f>
        <v>14580.553303412396</v>
      </c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2E3E-EE20-4155-AF8E-068D10BECD28}">
  <dimension ref="A2:D19"/>
  <sheetViews>
    <sheetView workbookViewId="0">
      <selection activeCell="C26" sqref="C26"/>
    </sheetView>
  </sheetViews>
  <sheetFormatPr baseColWidth="10" defaultRowHeight="14.5" x14ac:dyDescent="0.35"/>
  <sheetData>
    <row r="2" spans="1:4" x14ac:dyDescent="0.35">
      <c r="A2" t="s">
        <v>8</v>
      </c>
    </row>
    <row r="3" spans="1:4" x14ac:dyDescent="0.35">
      <c r="B3">
        <v>0</v>
      </c>
      <c r="C3">
        <v>1</v>
      </c>
      <c r="D3">
        <v>2</v>
      </c>
    </row>
    <row r="4" spans="1:4" x14ac:dyDescent="0.35">
      <c r="B4">
        <v>-2000</v>
      </c>
      <c r="C4">
        <v>0</v>
      </c>
      <c r="D4">
        <v>2000</v>
      </c>
    </row>
    <row r="5" spans="1:4" x14ac:dyDescent="0.35">
      <c r="B5" s="2">
        <v>0.08</v>
      </c>
    </row>
    <row r="7" spans="1:4" x14ac:dyDescent="0.35">
      <c r="B7" s="12">
        <f>NPV($B5,C4:$F4)</f>
        <v>1714.6776406035663</v>
      </c>
      <c r="C7" s="13">
        <f>NPV($B5,D4:$F4)</f>
        <v>1851.8518518518517</v>
      </c>
      <c r="D7" s="14">
        <f>NPV($B5,E4:$F4)</f>
        <v>0</v>
      </c>
    </row>
    <row r="8" spans="1:4" x14ac:dyDescent="0.35">
      <c r="C8" s="15">
        <f>+C7-B7</f>
        <v>137.17421124828547</v>
      </c>
      <c r="D8" s="15">
        <f>+D4-C7</f>
        <v>148.14814814814827</v>
      </c>
    </row>
    <row r="12" spans="1:4" x14ac:dyDescent="0.35">
      <c r="A12" t="s">
        <v>9</v>
      </c>
    </row>
    <row r="14" spans="1:4" x14ac:dyDescent="0.35">
      <c r="B14">
        <v>0</v>
      </c>
      <c r="C14">
        <v>1</v>
      </c>
      <c r="D14">
        <v>2</v>
      </c>
    </row>
    <row r="15" spans="1:4" x14ac:dyDescent="0.35">
      <c r="B15">
        <v>-2000</v>
      </c>
      <c r="C15">
        <f>-B15*0.03</f>
        <v>60</v>
      </c>
      <c r="D15">
        <f>2000+C15</f>
        <v>2060</v>
      </c>
    </row>
    <row r="16" spans="1:4" x14ac:dyDescent="0.35">
      <c r="B16" s="2">
        <v>0.08</v>
      </c>
    </row>
    <row r="18" spans="2:4" x14ac:dyDescent="0.35">
      <c r="B18" s="12">
        <f>NPV($B16,C15:$F15)</f>
        <v>1821.673525377229</v>
      </c>
      <c r="C18" s="13">
        <f>NPV($B16,D15:$F15)</f>
        <v>1907.4074074074074</v>
      </c>
      <c r="D18" s="14">
        <f>NPV($B16,E15:$F15)</f>
        <v>0</v>
      </c>
    </row>
    <row r="19" spans="2:4" x14ac:dyDescent="0.35">
      <c r="C19" s="15">
        <f>+C18-B18</f>
        <v>85.733882030178393</v>
      </c>
      <c r="D19" s="15">
        <f>+D15-C18</f>
        <v>152.59259259259261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8704-174E-4103-A2FF-0E9B53CE7F71}">
  <dimension ref="A4:F20"/>
  <sheetViews>
    <sheetView workbookViewId="0">
      <selection activeCell="C23" sqref="C23"/>
    </sheetView>
  </sheetViews>
  <sheetFormatPr baseColWidth="10" defaultRowHeight="14.5" x14ac:dyDescent="0.35"/>
  <sheetData>
    <row r="4" spans="1:6" x14ac:dyDescent="0.35">
      <c r="B4">
        <v>0</v>
      </c>
      <c r="C4">
        <f>+B4+1</f>
        <v>1</v>
      </c>
      <c r="D4">
        <f t="shared" ref="D4:E4" si="0">+C4+1</f>
        <v>2</v>
      </c>
      <c r="E4">
        <f t="shared" si="0"/>
        <v>3</v>
      </c>
    </row>
    <row r="5" spans="1:6" x14ac:dyDescent="0.35">
      <c r="B5">
        <v>-1000000</v>
      </c>
      <c r="C5">
        <v>0</v>
      </c>
      <c r="D5">
        <v>0</v>
      </c>
      <c r="E5">
        <f>-B5</f>
        <v>1000000</v>
      </c>
    </row>
    <row r="6" spans="1:6" x14ac:dyDescent="0.35">
      <c r="B6" s="2">
        <v>7.0000000000000007E-2</v>
      </c>
    </row>
    <row r="8" spans="1:6" x14ac:dyDescent="0.35">
      <c r="B8" s="13">
        <f>NPV($B6,C5:$F5)</f>
        <v>816297.876890852</v>
      </c>
      <c r="C8" s="12">
        <f>NPV($B6,D5:$F5)</f>
        <v>873438.72827321151</v>
      </c>
      <c r="D8" s="14">
        <f>NPV($B6,E5:$F5)</f>
        <v>934579.43925233639</v>
      </c>
      <c r="E8" s="14">
        <f>NPV($B6,F5:$F5)</f>
        <v>0</v>
      </c>
    </row>
    <row r="9" spans="1:6" x14ac:dyDescent="0.35">
      <c r="A9" t="s">
        <v>14</v>
      </c>
      <c r="C9" s="15">
        <f>+C8-B8</f>
        <v>57140.851382359513</v>
      </c>
      <c r="D9" s="15">
        <f t="shared" ref="D9:E9" si="1">+D8-C8</f>
        <v>61140.71097912488</v>
      </c>
      <c r="E9" s="15">
        <f>+E5-D8</f>
        <v>65420.560747663607</v>
      </c>
    </row>
    <row r="12" spans="1:6" x14ac:dyDescent="0.35">
      <c r="A12" t="s">
        <v>10</v>
      </c>
      <c r="C12" t="s">
        <v>12</v>
      </c>
      <c r="D12" s="8">
        <f>-B5-B8</f>
        <v>183702.123109148</v>
      </c>
    </row>
    <row r="13" spans="1:6" x14ac:dyDescent="0.35">
      <c r="B13">
        <v>0</v>
      </c>
      <c r="C13">
        <f>+B13+1</f>
        <v>1</v>
      </c>
      <c r="D13">
        <f t="shared" ref="D13:F13" si="2">+C13+1</f>
        <v>2</v>
      </c>
      <c r="E13">
        <f t="shared" si="2"/>
        <v>3</v>
      </c>
      <c r="F13">
        <f t="shared" si="2"/>
        <v>4</v>
      </c>
    </row>
    <row r="14" spans="1:6" x14ac:dyDescent="0.35">
      <c r="B14">
        <v>1500000</v>
      </c>
      <c r="C14" s="16">
        <f>+B14-C15</f>
        <v>1125000</v>
      </c>
      <c r="D14" s="16">
        <f t="shared" ref="D14:F14" si="3">+C14-D15</f>
        <v>750000</v>
      </c>
      <c r="E14" s="16">
        <f t="shared" si="3"/>
        <v>375000</v>
      </c>
      <c r="F14" s="16">
        <f t="shared" si="3"/>
        <v>0</v>
      </c>
    </row>
    <row r="15" spans="1:6" x14ac:dyDescent="0.35">
      <c r="B15" t="s">
        <v>11</v>
      </c>
      <c r="C15" s="16">
        <f>+$B$14/4</f>
        <v>375000</v>
      </c>
      <c r="D15" s="16">
        <f t="shared" ref="D15:F15" si="4">+$B$14/4</f>
        <v>375000</v>
      </c>
      <c r="E15" s="16">
        <f t="shared" si="4"/>
        <v>375000</v>
      </c>
      <c r="F15" s="16">
        <f t="shared" si="4"/>
        <v>375000</v>
      </c>
    </row>
    <row r="17" spans="1:6" x14ac:dyDescent="0.35">
      <c r="A17" t="s">
        <v>13</v>
      </c>
      <c r="B17" s="15">
        <f>+B14-D12</f>
        <v>1316297.8768908521</v>
      </c>
      <c r="C17" s="16">
        <f>+B17-C18</f>
        <v>987223.40766813909</v>
      </c>
      <c r="D17" s="16">
        <f t="shared" ref="D17" si="5">+C17-D18</f>
        <v>658148.93844542606</v>
      </c>
      <c r="E17" s="16">
        <f t="shared" ref="E17" si="6">+D17-E18</f>
        <v>329074.46922271303</v>
      </c>
      <c r="F17" s="16">
        <f t="shared" ref="F17" si="7">+E17-F18</f>
        <v>0</v>
      </c>
    </row>
    <row r="18" spans="1:6" x14ac:dyDescent="0.35">
      <c r="C18" s="16">
        <f>+$B$17/4</f>
        <v>329074.46922271303</v>
      </c>
      <c r="D18" s="16">
        <f t="shared" ref="D18:F18" si="8">+$B$17/4</f>
        <v>329074.46922271303</v>
      </c>
      <c r="E18" s="16">
        <f t="shared" si="8"/>
        <v>329074.46922271303</v>
      </c>
      <c r="F18" s="16">
        <f t="shared" si="8"/>
        <v>329074.46922271303</v>
      </c>
    </row>
    <row r="20" spans="1:6" x14ac:dyDescent="0.35">
      <c r="A20" t="s">
        <v>15</v>
      </c>
      <c r="C20" s="17">
        <f>+C15-C18</f>
        <v>45925.530777286971</v>
      </c>
      <c r="D20" s="16">
        <f t="shared" ref="D20:F20" si="9">+D15-D18</f>
        <v>45925.530777286971</v>
      </c>
      <c r="E20" s="16">
        <f t="shared" si="9"/>
        <v>45925.530777286971</v>
      </c>
      <c r="F20" s="16">
        <f t="shared" si="9"/>
        <v>45925.530777286971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8" sqref="D18"/>
    </sheetView>
  </sheetViews>
  <sheetFormatPr baseColWidth="10" defaultRowHeight="14.5" x14ac:dyDescent="0.35"/>
  <cols>
    <col min="2" max="2" width="12.1796875" bestFit="1" customWidth="1"/>
  </cols>
  <sheetData>
    <row r="1" spans="1:7" ht="15.5" x14ac:dyDescent="0.35">
      <c r="A1" s="5" t="s">
        <v>2</v>
      </c>
    </row>
    <row r="2" spans="1:7" ht="15.5" x14ac:dyDescent="0.35">
      <c r="A2" s="5" t="s">
        <v>3</v>
      </c>
    </row>
    <row r="3" spans="1:7" ht="15.5" x14ac:dyDescent="0.35">
      <c r="A3" s="6" t="s">
        <v>1</v>
      </c>
    </row>
    <row r="5" spans="1:7" x14ac:dyDescent="0.35">
      <c r="B5" s="1">
        <v>7.0000000000000007E-2</v>
      </c>
      <c r="C5">
        <v>1</v>
      </c>
      <c r="D5">
        <v>2</v>
      </c>
      <c r="E5">
        <v>3</v>
      </c>
      <c r="F5">
        <v>4</v>
      </c>
      <c r="G5">
        <v>5</v>
      </c>
    </row>
    <row r="6" spans="1:7" x14ac:dyDescent="0.35">
      <c r="B6" s="7"/>
      <c r="C6" s="7">
        <f>0.03*100000</f>
        <v>3000</v>
      </c>
      <c r="D6" s="7">
        <f>0.03*100000</f>
        <v>3000</v>
      </c>
      <c r="E6" s="7">
        <f>0.03*100000</f>
        <v>3000</v>
      </c>
      <c r="F6" s="7">
        <f>0.03*100000</f>
        <v>3000</v>
      </c>
      <c r="G6" s="7">
        <f>(0.03*100000)+100000</f>
        <v>103000</v>
      </c>
    </row>
    <row r="7" spans="1:7" x14ac:dyDescent="0.35">
      <c r="B7" s="8">
        <f>NPV($B5,C6:$G6)</f>
        <v>83599.210256209612</v>
      </c>
      <c r="C7" s="8">
        <f>NPV($B5,D6:$G6)</f>
        <v>86451.154974144287</v>
      </c>
      <c r="D7" s="8">
        <f>NPV($B5,E6:$G6)</f>
        <v>89502.735822334391</v>
      </c>
      <c r="E7" s="8">
        <f>NPV($B5,F6:$G6)</f>
        <v>92767.927329897793</v>
      </c>
      <c r="F7" s="8">
        <f>NPV($B5,G6:$G6)</f>
        <v>96261.682242990646</v>
      </c>
      <c r="G7" s="4"/>
    </row>
    <row r="9" spans="1:7" x14ac:dyDescent="0.35">
      <c r="C9" s="9">
        <f>+C7-B7</f>
        <v>2851.9447179346753</v>
      </c>
      <c r="D9" s="9">
        <f t="shared" ref="D9:F9" si="0">+D7-C7</f>
        <v>3051.580848190104</v>
      </c>
      <c r="E9" s="9">
        <f t="shared" si="0"/>
        <v>3265.1915075634024</v>
      </c>
      <c r="F9" s="9">
        <f t="shared" si="0"/>
        <v>3493.7549130928528</v>
      </c>
    </row>
    <row r="11" spans="1:7" x14ac:dyDescent="0.35">
      <c r="B11" t="s">
        <v>14</v>
      </c>
      <c r="C11" s="9">
        <f>+B7*$B$5</f>
        <v>5851.9447179346735</v>
      </c>
      <c r="D11" s="9">
        <f t="shared" ref="D11:G11" si="1">+C7*$B$5</f>
        <v>6051.5808481901004</v>
      </c>
      <c r="E11" s="9">
        <f t="shared" si="1"/>
        <v>6265.1915075634079</v>
      </c>
      <c r="F11" s="9">
        <f t="shared" si="1"/>
        <v>6493.7549130928464</v>
      </c>
      <c r="G11" s="9">
        <f t="shared" si="1"/>
        <v>6738.3177570093458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H19" sqref="H19"/>
    </sheetView>
  </sheetViews>
  <sheetFormatPr baseColWidth="10" defaultRowHeight="14.5" x14ac:dyDescent="0.35"/>
  <sheetData>
    <row r="1" spans="1:7" x14ac:dyDescent="0.35">
      <c r="A1" s="10" t="s">
        <v>4</v>
      </c>
    </row>
    <row r="3" spans="1:7" x14ac:dyDescent="0.35">
      <c r="A3" s="1">
        <v>0.08</v>
      </c>
    </row>
    <row r="4" spans="1:7" x14ac:dyDescent="0.35">
      <c r="C4">
        <v>2019</v>
      </c>
      <c r="D4">
        <f>+C4+1</f>
        <v>2020</v>
      </c>
      <c r="E4">
        <f t="shared" ref="E4:F4" si="0">+D4+1</f>
        <v>2021</v>
      </c>
      <c r="F4">
        <f t="shared" si="0"/>
        <v>2022</v>
      </c>
    </row>
    <row r="5" spans="1:7" x14ac:dyDescent="0.35">
      <c r="B5" s="7"/>
      <c r="C5" s="7">
        <f>$A3*200000</f>
        <v>16000</v>
      </c>
      <c r="D5" s="7">
        <f>$A3*200000</f>
        <v>16000</v>
      </c>
      <c r="E5" s="7">
        <f>$A3*200000</f>
        <v>16000</v>
      </c>
      <c r="F5" s="7">
        <f>($A3*200000)+200000</f>
        <v>216000</v>
      </c>
      <c r="G5" s="7"/>
    </row>
    <row r="6" spans="1:7" x14ac:dyDescent="0.35">
      <c r="B6" s="8">
        <f>NPV($A3,C5:$G5)</f>
        <v>199999.99999999997</v>
      </c>
      <c r="C6" s="8">
        <f>NPV($A3,D5:$G5)</f>
        <v>199999.99999999997</v>
      </c>
      <c r="D6" s="8">
        <f>NPV($A3,E5:$G5)</f>
        <v>200000</v>
      </c>
      <c r="E6" s="8">
        <f>NPV($A3,F5:$G5)</f>
        <v>200000</v>
      </c>
      <c r="F6" s="8"/>
      <c r="G6" s="4"/>
    </row>
    <row r="8" spans="1:7" x14ac:dyDescent="0.35">
      <c r="C8" s="9">
        <f>+C6-B6</f>
        <v>0</v>
      </c>
      <c r="D8" s="9">
        <f t="shared" ref="D8:E8" si="1">+D6-C6</f>
        <v>0</v>
      </c>
      <c r="E8" s="9">
        <f t="shared" si="1"/>
        <v>0</v>
      </c>
      <c r="F8" s="9"/>
    </row>
    <row r="11" spans="1:7" x14ac:dyDescent="0.35">
      <c r="A11" t="s">
        <v>16</v>
      </c>
    </row>
    <row r="12" spans="1:7" x14ac:dyDescent="0.35">
      <c r="A12" t="s">
        <v>6</v>
      </c>
    </row>
    <row r="13" spans="1:7" x14ac:dyDescent="0.35">
      <c r="A13" t="s">
        <v>17</v>
      </c>
    </row>
    <row r="16" spans="1:7" x14ac:dyDescent="0.35">
      <c r="A16" s="1">
        <v>0.08</v>
      </c>
    </row>
    <row r="17" spans="2:7" x14ac:dyDescent="0.35">
      <c r="C17">
        <f>+C4</f>
        <v>2019</v>
      </c>
      <c r="D17">
        <f>+C17+1</f>
        <v>2020</v>
      </c>
      <c r="E17">
        <f t="shared" ref="E17:G17" si="2">+D17+1</f>
        <v>2021</v>
      </c>
      <c r="F17">
        <f t="shared" si="2"/>
        <v>2022</v>
      </c>
      <c r="G17">
        <f t="shared" si="2"/>
        <v>2023</v>
      </c>
    </row>
    <row r="18" spans="2:7" x14ac:dyDescent="0.35">
      <c r="B18" s="7"/>
      <c r="C18" s="7">
        <v>0</v>
      </c>
      <c r="D18" s="7">
        <v>0</v>
      </c>
      <c r="E18" s="7">
        <v>0</v>
      </c>
      <c r="F18" s="7">
        <v>0</v>
      </c>
      <c r="G18" s="7">
        <v>200000</v>
      </c>
    </row>
    <row r="19" spans="2:7" x14ac:dyDescent="0.35">
      <c r="B19" s="8">
        <f>NPV($A16,C18:$G18)</f>
        <v>136116.63940675059</v>
      </c>
      <c r="C19" s="8">
        <f>NPV($A16,D18:$G18)</f>
        <v>147005.97055929067</v>
      </c>
      <c r="D19" s="8">
        <f>NPV($A16,E18:$G18)</f>
        <v>158766.44820403389</v>
      </c>
      <c r="E19" s="8">
        <f>NPV($A16,F18:$G18)</f>
        <v>171467.76406035663</v>
      </c>
      <c r="F19" s="8">
        <f>NPV($A16,G18:$G18)</f>
        <v>185185.18518518517</v>
      </c>
    </row>
    <row r="21" spans="2:7" x14ac:dyDescent="0.35">
      <c r="C21" s="9">
        <f>+C19-B19</f>
        <v>10889.331152540079</v>
      </c>
      <c r="D21" s="9">
        <f t="shared" ref="D21:E21" si="3">+D19-C19</f>
        <v>11760.477644743223</v>
      </c>
      <c r="E21" s="9">
        <f t="shared" si="3"/>
        <v>12701.315856322733</v>
      </c>
      <c r="F21" s="9">
        <f t="shared" ref="F21" si="4">+F19-E19</f>
        <v>13717.421124828543</v>
      </c>
    </row>
    <row r="22" spans="2:7" x14ac:dyDescent="0.35">
      <c r="C22" s="9"/>
      <c r="D22" s="9"/>
      <c r="E22" s="9"/>
      <c r="F22" s="9"/>
    </row>
    <row r="23" spans="2:7" x14ac:dyDescent="0.35">
      <c r="B23" t="s">
        <v>18</v>
      </c>
      <c r="C23" s="18">
        <f>+C24/B6</f>
        <v>0.26497014720354656</v>
      </c>
      <c r="D23" s="19" t="s">
        <v>19</v>
      </c>
      <c r="E23" s="9"/>
      <c r="F23" s="9"/>
    </row>
    <row r="24" spans="2:7" x14ac:dyDescent="0.35">
      <c r="B24" s="11" t="s">
        <v>5</v>
      </c>
      <c r="C24" s="8">
        <f>-(+C19-B6)</f>
        <v>52994.029440709302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Placement oblig</vt:lpstr>
      <vt:lpstr>Prêts</vt:lpstr>
      <vt:lpstr>Aide gouv</vt:lpstr>
      <vt:lpstr>Débenture conv</vt:lpstr>
      <vt:lpstr>décomp passif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dcterms:created xsi:type="dcterms:W3CDTF">2018-01-25T13:23:38Z</dcterms:created>
  <dcterms:modified xsi:type="dcterms:W3CDTF">2020-10-01T20:17:54Z</dcterms:modified>
</cp:coreProperties>
</file>