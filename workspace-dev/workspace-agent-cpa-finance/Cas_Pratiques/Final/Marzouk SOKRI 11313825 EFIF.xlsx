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155" documentId="11_AD4D9D64A577C15A4A541854901A68085BDEDD8D" xr6:coauthVersionLast="47" xr6:coauthVersionMax="47" xr10:uidLastSave="{D8F152D9-FCA9-459B-B616-50FF59DA8B72}"/>
  <bookViews>
    <workbookView xWindow="-108" yWindow="-108" windowWidth="23256" windowHeight="13896" activeTab="3" xr2:uid="{00000000-000D-0000-FFFF-FFFF00000000}"/>
  </bookViews>
  <sheets>
    <sheet name="DRI " sheetId="1" r:id="rId1"/>
    <sheet name="Sébastien" sheetId="2" r:id="rId2"/>
    <sheet name="Camionnettte " sheetId="3" r:id="rId3"/>
    <sheet name="Feuil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C31" i="3"/>
  <c r="B30" i="3"/>
  <c r="C24" i="3"/>
  <c r="B23" i="3"/>
  <c r="C20" i="3"/>
  <c r="B14" i="3"/>
  <c r="B12" i="3"/>
  <c r="B11" i="3"/>
  <c r="B7" i="3"/>
  <c r="B15" i="3" s="1"/>
  <c r="D13" i="2"/>
  <c r="D12" i="2"/>
  <c r="C11" i="2"/>
  <c r="B8" i="2"/>
  <c r="B6" i="2"/>
  <c r="G25" i="1"/>
  <c r="G24" i="1"/>
  <c r="G23" i="1"/>
  <c r="C29" i="1"/>
  <c r="C26" i="1"/>
  <c r="C23" i="1"/>
  <c r="C22" i="1"/>
  <c r="B21" i="1"/>
  <c r="C19" i="1"/>
  <c r="C14" i="1"/>
  <c r="B13" i="1"/>
  <c r="B6" i="1"/>
  <c r="B8" i="1" s="1"/>
  <c r="B27" i="3" l="1"/>
  <c r="C28" i="3" s="1"/>
  <c r="B13" i="3"/>
  <c r="D14" i="3" s="1"/>
  <c r="D21" i="3"/>
</calcChain>
</file>

<file path=xl/sharedStrings.xml><?xml version="1.0" encoding="utf-8"?>
<sst xmlns="http://schemas.openxmlformats.org/spreadsheetml/2006/main" count="53" uniqueCount="42">
  <si>
    <t xml:space="preserve">Cout aquisition DRI </t>
  </si>
  <si>
    <t>Prix payés</t>
  </si>
  <si>
    <t xml:space="preserve">contre partie conditionnelle </t>
  </si>
  <si>
    <t xml:space="preserve">c'est hautmemet probable selon Mélani pour l'Execice 2025 </t>
  </si>
  <si>
    <t>Cout de participation</t>
  </si>
  <si>
    <t xml:space="preserve">Participation satélitte </t>
  </si>
  <si>
    <t>Reveneu de particpation</t>
  </si>
  <si>
    <t xml:space="preserve">Comptabilisation des dividene </t>
  </si>
  <si>
    <t xml:space="preserve">Encaisse </t>
  </si>
  <si>
    <t>Participation satéélite</t>
  </si>
  <si>
    <t>Écriture de régularasiton</t>
  </si>
  <si>
    <t>Particpation sattelite</t>
  </si>
  <si>
    <t xml:space="preserve">Contre parte condionnelle </t>
  </si>
  <si>
    <t xml:space="preserve">Placement actif a lT </t>
  </si>
  <si>
    <t xml:space="preserve">revennu de dividende </t>
  </si>
  <si>
    <t>31/12/2024</t>
  </si>
  <si>
    <t>30/06/2024</t>
  </si>
  <si>
    <t>I</t>
  </si>
  <si>
    <t>PMT</t>
  </si>
  <si>
    <t>FV</t>
  </si>
  <si>
    <t>N</t>
  </si>
  <si>
    <t>PV</t>
  </si>
  <si>
    <t xml:space="preserve">Passif a long terme </t>
  </si>
  <si>
    <t xml:space="preserve">Actions ordianire </t>
  </si>
  <si>
    <t>Gain sur transcation avantageuse</t>
  </si>
  <si>
    <t xml:space="preserve">Comptabilisation initiale </t>
  </si>
  <si>
    <t>n</t>
  </si>
  <si>
    <t>Tie</t>
  </si>
  <si>
    <t>On calcul le taux de rendement attendu sur l'investissement de bailleur</t>
  </si>
  <si>
    <t xml:space="preserve">JV de camionnette </t>
  </si>
  <si>
    <t>01/01/2024</t>
  </si>
  <si>
    <t xml:space="preserve">Actif destinée a l'utilisation </t>
  </si>
  <si>
    <t>Charge interet</t>
  </si>
  <si>
    <t xml:space="preserve">Intrete a payer </t>
  </si>
  <si>
    <t>au 31/12/2024</t>
  </si>
  <si>
    <t>Obligation locaticve</t>
  </si>
  <si>
    <t>Oblogation locative CA</t>
  </si>
  <si>
    <t>au cout amortie</t>
  </si>
  <si>
    <t>Charge amortissement RN</t>
  </si>
  <si>
    <t>Amortissemetn commué</t>
  </si>
  <si>
    <t>Paiement de location RN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</si>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</sst>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$&quot;_);[Red]\(#,##0.00\ &quot;$&quot;\)"/>
    <numFmt numFmtId="43" formatCode="_ * #,##0.00_)_ ;_ * \(#,##0.00\)_ ;_ * &quot;-&quot;??_)_ ;_ @_ "/>
    <numFmt numFmtId="164" formatCode="_ * #,##0.00_)\ _$_ ;_ * \(#,##0.00\)\ _$_ ;_ * &quot;-&quot;??_)\ _$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9" fontId="0" fillId="0" borderId="0" xfId="2" applyFont="1"/>
    <xf numFmtId="10" fontId="0" fillId="0" borderId="0" xfId="2" applyNumberFormat="1" applyFont="1"/>
    <xf numFmtId="8" fontId="0" fillId="0" borderId="0" xfId="1" applyNumberFormat="1" applyFont="1"/>
    <xf numFmtId="8" fontId="0" fillId="0" borderId="0" xfId="0" applyNumberFormat="1"/>
    <xf numFmtId="10" fontId="0" fillId="0" borderId="0" xfId="1" applyNumberFormat="1" applyFon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topLeftCell="A10" workbookViewId="0">
      <selection activeCell="M22" sqref="M22"/>
    </sheetView>
  </sheetViews>
  <sheetFormatPr baseColWidth="10" defaultColWidth="8.88671875" defaultRowHeight="14.4" x14ac:dyDescent="0.3"/>
  <cols>
    <col min="1" max="1" width="24.21875" bestFit="1" customWidth="1"/>
    <col min="2" max="2" width="11.33203125" style="1" bestFit="1" customWidth="1"/>
    <col min="3" max="3" width="11.33203125" bestFit="1" customWidth="1"/>
    <col min="7" max="7" width="12.77734375" bestFit="1" customWidth="1"/>
  </cols>
  <sheetData>
    <row r="2" spans="1:4" x14ac:dyDescent="0.3">
      <c r="A2" t="s">
        <v>0</v>
      </c>
    </row>
    <row r="4" spans="1:4" x14ac:dyDescent="0.3">
      <c r="A4" t="s">
        <v>1</v>
      </c>
      <c r="B4" s="1">
        <v>10000</v>
      </c>
    </row>
    <row r="6" spans="1:4" x14ac:dyDescent="0.3">
      <c r="A6" t="s">
        <v>2</v>
      </c>
      <c r="B6" s="1">
        <f>5*AVERAGE(20000,24000)-10000</f>
        <v>100000</v>
      </c>
      <c r="D6" t="s">
        <v>3</v>
      </c>
    </row>
    <row r="8" spans="1:4" x14ac:dyDescent="0.3">
      <c r="A8" t="s">
        <v>4</v>
      </c>
      <c r="B8" s="1">
        <f>+SUM(B4:B6)</f>
        <v>110000</v>
      </c>
    </row>
    <row r="10" spans="1:4" x14ac:dyDescent="0.3">
      <c r="A10" t="s">
        <v>10</v>
      </c>
    </row>
    <row r="12" spans="1:4" x14ac:dyDescent="0.3">
      <c r="A12" t="s">
        <v>15</v>
      </c>
    </row>
    <row r="13" spans="1:4" x14ac:dyDescent="0.3">
      <c r="A13" t="s">
        <v>5</v>
      </c>
      <c r="B13" s="1">
        <f>20000*0.18</f>
        <v>3600</v>
      </c>
    </row>
    <row r="14" spans="1:4" x14ac:dyDescent="0.3">
      <c r="A14" t="s">
        <v>6</v>
      </c>
      <c r="C14" s="2">
        <f>+B13</f>
        <v>3600</v>
      </c>
    </row>
    <row r="16" spans="1:4" x14ac:dyDescent="0.3">
      <c r="A16" t="s">
        <v>7</v>
      </c>
    </row>
    <row r="18" spans="1:7" x14ac:dyDescent="0.3">
      <c r="A18" t="s">
        <v>8</v>
      </c>
      <c r="B18" s="1">
        <v>1800</v>
      </c>
    </row>
    <row r="19" spans="1:7" x14ac:dyDescent="0.3">
      <c r="A19" t="s">
        <v>9</v>
      </c>
      <c r="C19" s="2">
        <f>+B18</f>
        <v>1800</v>
      </c>
    </row>
    <row r="21" spans="1:7" x14ac:dyDescent="0.3">
      <c r="A21" t="s">
        <v>11</v>
      </c>
      <c r="B21" s="1">
        <f>+B8</f>
        <v>110000</v>
      </c>
    </row>
    <row r="22" spans="1:7" x14ac:dyDescent="0.3">
      <c r="A22" t="s">
        <v>8</v>
      </c>
      <c r="C22" s="2">
        <f>+B4</f>
        <v>10000</v>
      </c>
    </row>
    <row r="23" spans="1:7" x14ac:dyDescent="0.3">
      <c r="A23" t="s">
        <v>12</v>
      </c>
      <c r="C23" s="2">
        <f>+B6</f>
        <v>100000</v>
      </c>
      <c r="G23" s="3">
        <f>+B21-C26</f>
        <v>100000</v>
      </c>
    </row>
    <row r="24" spans="1:7" x14ac:dyDescent="0.3">
      <c r="G24" s="3">
        <f>+G23-C19</f>
        <v>98200</v>
      </c>
    </row>
    <row r="25" spans="1:7" x14ac:dyDescent="0.3">
      <c r="A25" t="s">
        <v>8</v>
      </c>
      <c r="B25" s="1">
        <v>10000</v>
      </c>
      <c r="G25" s="3">
        <f>+G24-10000</f>
        <v>88200</v>
      </c>
    </row>
    <row r="26" spans="1:7" x14ac:dyDescent="0.3">
      <c r="A26" t="s">
        <v>13</v>
      </c>
      <c r="C26" s="2">
        <f>+B25</f>
        <v>10000</v>
      </c>
    </row>
    <row r="28" spans="1:7" x14ac:dyDescent="0.3">
      <c r="A28" t="s">
        <v>14</v>
      </c>
      <c r="B28" s="1">
        <v>1800</v>
      </c>
    </row>
    <row r="29" spans="1:7" x14ac:dyDescent="0.3">
      <c r="A29" t="s">
        <v>8</v>
      </c>
      <c r="C29" s="2">
        <f>+B28</f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EF3D-E513-4F38-BDA5-3752BA9147A3}">
  <dimension ref="A2:D13"/>
  <sheetViews>
    <sheetView workbookViewId="0">
      <selection activeCell="L15" sqref="L15"/>
    </sheetView>
  </sheetViews>
  <sheetFormatPr baseColWidth="10" defaultRowHeight="14.4" x14ac:dyDescent="0.3"/>
  <cols>
    <col min="1" max="1" width="28.21875" bestFit="1" customWidth="1"/>
    <col min="2" max="2" width="11.5546875" style="1"/>
  </cols>
  <sheetData>
    <row r="2" spans="1:4" x14ac:dyDescent="0.3">
      <c r="A2" t="s">
        <v>16</v>
      </c>
    </row>
    <row r="4" spans="1:4" x14ac:dyDescent="0.3">
      <c r="A4" t="s">
        <v>19</v>
      </c>
      <c r="B4" s="1">
        <v>-30000</v>
      </c>
    </row>
    <row r="5" spans="1:4" x14ac:dyDescent="0.3">
      <c r="A5" t="s">
        <v>17</v>
      </c>
      <c r="B5" s="5">
        <v>0.09</v>
      </c>
    </row>
    <row r="6" spans="1:4" x14ac:dyDescent="0.3">
      <c r="A6" t="s">
        <v>18</v>
      </c>
      <c r="B6" s="1">
        <f>+B4*0.06</f>
        <v>-1800</v>
      </c>
    </row>
    <row r="7" spans="1:4" x14ac:dyDescent="0.3">
      <c r="A7" t="s">
        <v>20</v>
      </c>
      <c r="B7" s="1">
        <v>2</v>
      </c>
    </row>
    <row r="8" spans="1:4" x14ac:dyDescent="0.3">
      <c r="A8" t="s">
        <v>21</v>
      </c>
      <c r="B8" s="6">
        <f>PV(B5,B7,B6,B4,1)</f>
        <v>28701.77594478579</v>
      </c>
    </row>
    <row r="10" spans="1:4" x14ac:dyDescent="0.3">
      <c r="A10" t="s">
        <v>25</v>
      </c>
    </row>
    <row r="11" spans="1:4" x14ac:dyDescent="0.3">
      <c r="A11" t="s">
        <v>22</v>
      </c>
      <c r="C11" s="2">
        <f>-B4</f>
        <v>30000</v>
      </c>
    </row>
    <row r="12" spans="1:4" x14ac:dyDescent="0.3">
      <c r="A12" t="s">
        <v>23</v>
      </c>
      <c r="D12" s="7">
        <f>+B8</f>
        <v>28701.77594478579</v>
      </c>
    </row>
    <row r="13" spans="1:4" x14ac:dyDescent="0.3">
      <c r="A13" t="s">
        <v>24</v>
      </c>
      <c r="D13" s="7">
        <f>+C11-D12</f>
        <v>1298.2240552142102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FEB0-4884-4EF9-906B-5066DF34F621}">
  <dimension ref="A3:H31"/>
  <sheetViews>
    <sheetView topLeftCell="A7" workbookViewId="0">
      <selection activeCell="N33" sqref="N33"/>
    </sheetView>
  </sheetViews>
  <sheetFormatPr baseColWidth="10" defaultRowHeight="14.4" x14ac:dyDescent="0.3"/>
  <cols>
    <col min="1" max="1" width="22.44140625" customWidth="1"/>
    <col min="2" max="2" width="11.5546875" style="1"/>
    <col min="6" max="6" width="11.5546875" style="1"/>
  </cols>
  <sheetData>
    <row r="3" spans="1:8" x14ac:dyDescent="0.3">
      <c r="A3" t="s">
        <v>19</v>
      </c>
      <c r="B3" s="1">
        <v>3000</v>
      </c>
    </row>
    <row r="4" spans="1:8" x14ac:dyDescent="0.3">
      <c r="A4" t="s">
        <v>18</v>
      </c>
      <c r="B4" s="1">
        <v>4000</v>
      </c>
    </row>
    <row r="5" spans="1:8" x14ac:dyDescent="0.3">
      <c r="A5" t="s">
        <v>21</v>
      </c>
      <c r="B5" s="1">
        <v>-13515</v>
      </c>
    </row>
    <row r="6" spans="1:8" x14ac:dyDescent="0.3">
      <c r="A6" t="s">
        <v>26</v>
      </c>
      <c r="B6" s="1">
        <v>3</v>
      </c>
    </row>
    <row r="7" spans="1:8" x14ac:dyDescent="0.3">
      <c r="A7" t="s">
        <v>27</v>
      </c>
      <c r="B7" s="8">
        <f>RATE(B6,B4,B5,B3,1)</f>
        <v>7.9972902312712313E-2</v>
      </c>
      <c r="H7" s="1"/>
    </row>
    <row r="9" spans="1:8" x14ac:dyDescent="0.3">
      <c r="A9" t="s">
        <v>28</v>
      </c>
    </row>
    <row r="11" spans="1:8" x14ac:dyDescent="0.3">
      <c r="A11" t="s">
        <v>19</v>
      </c>
      <c r="B11" s="1">
        <f>+B3</f>
        <v>3000</v>
      </c>
    </row>
    <row r="12" spans="1:8" x14ac:dyDescent="0.3">
      <c r="A12" t="s">
        <v>18</v>
      </c>
      <c r="B12" s="1">
        <f>+B4</f>
        <v>4000</v>
      </c>
      <c r="D12" t="s">
        <v>29</v>
      </c>
      <c r="F12" s="1">
        <v>13515</v>
      </c>
    </row>
    <row r="13" spans="1:8" x14ac:dyDescent="0.3">
      <c r="A13" t="s">
        <v>21</v>
      </c>
      <c r="B13" s="6">
        <f>PV(B15,B14,B12,B11,1)</f>
        <v>-13514.999999997095</v>
      </c>
    </row>
    <row r="14" spans="1:8" x14ac:dyDescent="0.3">
      <c r="A14" t="s">
        <v>26</v>
      </c>
      <c r="B14" s="1">
        <f>+B6</f>
        <v>3</v>
      </c>
      <c r="D14" s="4">
        <f>-B13/F12</f>
        <v>0.99999999999978506</v>
      </c>
    </row>
    <row r="15" spans="1:8" x14ac:dyDescent="0.3">
      <c r="A15" t="s">
        <v>27</v>
      </c>
      <c r="B15" s="8">
        <f>+B7</f>
        <v>7.9972902312712313E-2</v>
      </c>
    </row>
    <row r="18" spans="1:6" x14ac:dyDescent="0.3">
      <c r="A18" t="s">
        <v>30</v>
      </c>
    </row>
    <row r="20" spans="1:6" x14ac:dyDescent="0.3">
      <c r="A20" t="s">
        <v>31</v>
      </c>
      <c r="C20" s="2">
        <f>-B5</f>
        <v>13515</v>
      </c>
    </row>
    <row r="21" spans="1:6" x14ac:dyDescent="0.3">
      <c r="A21" t="s">
        <v>36</v>
      </c>
      <c r="D21" s="2">
        <f>+C20</f>
        <v>13515</v>
      </c>
      <c r="E21" t="s">
        <v>37</v>
      </c>
    </row>
    <row r="22" spans="1:6" x14ac:dyDescent="0.3">
      <c r="D22" s="2"/>
    </row>
    <row r="23" spans="1:6" x14ac:dyDescent="0.3">
      <c r="A23" t="s">
        <v>35</v>
      </c>
      <c r="B23" s="1">
        <f>+B4</f>
        <v>4000</v>
      </c>
      <c r="D23" s="2"/>
    </row>
    <row r="24" spans="1:6" x14ac:dyDescent="0.3">
      <c r="A24" t="s">
        <v>40</v>
      </c>
      <c r="C24" s="2">
        <f>+B23</f>
        <v>4000</v>
      </c>
      <c r="D24" s="2"/>
    </row>
    <row r="25" spans="1:6" x14ac:dyDescent="0.3">
      <c r="A25" t="s">
        <v>34</v>
      </c>
    </row>
    <row r="27" spans="1:6" x14ac:dyDescent="0.3">
      <c r="A27" t="s">
        <v>32</v>
      </c>
      <c r="B27" s="1">
        <f>+(C20-B4)*B7</f>
        <v>760.94216550545764</v>
      </c>
    </row>
    <row r="28" spans="1:6" x14ac:dyDescent="0.3">
      <c r="A28" t="s">
        <v>33</v>
      </c>
      <c r="C28" s="2">
        <f>+B27</f>
        <v>760.94216550545764</v>
      </c>
    </row>
    <row r="30" spans="1:6" x14ac:dyDescent="0.3">
      <c r="A30" t="s">
        <v>38</v>
      </c>
      <c r="B30" s="1">
        <f>+(13515-500)/6</f>
        <v>2169.1666666666665</v>
      </c>
    </row>
    <row r="31" spans="1:6" x14ac:dyDescent="0.3">
      <c r="A31" t="s">
        <v>39</v>
      </c>
      <c r="C31" s="2">
        <f>+B30</f>
        <v>2169.1666666666665</v>
      </c>
      <c r="E31" t="s">
        <v>41</v>
      </c>
      <c r="F31" s="1">
        <f>+C24-B27-B30</f>
        <v>1069.891167827876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1BD6-8C46-44BA-B29E-10289429FA74}">
  <dimension ref="A1"/>
  <sheetViews>
    <sheetView tabSelected="1" workbookViewId="0">
      <selection activeCell="H12" sqref="H1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DRI </vt:lpstr>
      <vt:lpstr>Sébastien</vt:lpstr>
      <vt:lpstr>Camionnettte 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2025-04-22T15:45:23Z</dcterms:modified>
</cp:coreProperties>
</file>