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S\Role et mandats en comptabilité professionnelle\Séance 9\"/>
    </mc:Choice>
  </mc:AlternateContent>
  <xr:revisionPtr revIDLastSave="0" documentId="8_{E0435295-9E89-479C-A406-2941733F7F32}" xr6:coauthVersionLast="47" xr6:coauthVersionMax="47" xr10:uidLastSave="{00000000-0000-0000-0000-000000000000}"/>
  <bookViews>
    <workbookView xWindow="-108" yWindow="-108" windowWidth="23256" windowHeight="13896" xr2:uid="{33EBAE4C-73D0-45ED-B345-9FC4CE65057D}"/>
  </bookViews>
  <sheets>
    <sheet name="Vente " sheetId="1" r:id="rId1"/>
    <sheet name="Fond de roulement " sheetId="3" r:id="rId2"/>
    <sheet name="Client en dollars US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B6" i="3" s="1"/>
  <c r="B6" i="2"/>
  <c r="A4" i="2"/>
  <c r="A3" i="2"/>
  <c r="D5" i="1"/>
  <c r="G7" i="1" s="1"/>
  <c r="G9" i="1" s="1"/>
</calcChain>
</file>

<file path=xl/sharedStrings.xml><?xml version="1.0" encoding="utf-8"?>
<sst xmlns="http://schemas.openxmlformats.org/spreadsheetml/2006/main" count="12" uniqueCount="12">
  <si>
    <t>X</t>
  </si>
  <si>
    <t>Pour le montant total de contrat</t>
  </si>
  <si>
    <t xml:space="preserve">le bon montant des vente avec le bon taux d'avancement </t>
  </si>
  <si>
    <t>le montnat surévalué</t>
  </si>
  <si>
    <t xml:space="preserve">initilaement </t>
  </si>
  <si>
    <t xml:space="preserve">a la cloture </t>
  </si>
  <si>
    <t>Perte de change</t>
  </si>
  <si>
    <t>Fond de roulement</t>
  </si>
  <si>
    <t>Actif courant avent regul</t>
  </si>
  <si>
    <t>Régul</t>
  </si>
  <si>
    <t>actif courant regul</t>
  </si>
  <si>
    <t xml:space="preserve">passif courant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</si>
</sst>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_ * #,##0.00_)\ _$_ ;_ * \(#,##0.00\)\ _$_ ;_ * &quot;-&quot;??_)\ _$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9" fontId="0" fillId="0" borderId="0" xfId="0" applyNumberFormat="1"/>
    <xf numFmtId="9" fontId="0" fillId="0" borderId="0" xfId="1" applyNumberFormat="1" applyFont="1"/>
    <xf numFmtId="164" fontId="0" fillId="0" borderId="0" xfId="0" applyNumberFormat="1"/>
    <xf numFmtId="10" fontId="0" fillId="0" borderId="0" xfId="2" applyNumberFormat="1" applyFont="1"/>
    <xf numFmtId="3" fontId="0" fillId="0" borderId="0" xfId="0" applyNumberFormat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6A8E-4377-423C-9DDF-A0A94424B2B4}">
  <dimension ref="A2:G9"/>
  <sheetViews>
    <sheetView tabSelected="1" workbookViewId="0">
      <selection activeCell="H25" sqref="H25"/>
    </sheetView>
  </sheetViews>
  <sheetFormatPr baseColWidth="10" defaultRowHeight="14.4" x14ac:dyDescent="0.3"/>
  <cols>
    <col min="1" max="1" width="12.44140625" style="1" bestFit="1" customWidth="1"/>
    <col min="2" max="2" width="5.5546875" bestFit="1" customWidth="1"/>
    <col min="4" max="4" width="12.44140625" bestFit="1" customWidth="1"/>
    <col min="7" max="7" width="13.77734375" bestFit="1" customWidth="1"/>
  </cols>
  <sheetData>
    <row r="2" spans="1:7" x14ac:dyDescent="0.3">
      <c r="A2" s="1">
        <v>1542000</v>
      </c>
      <c r="B2" s="3">
        <v>0.86</v>
      </c>
    </row>
    <row r="3" spans="1:7" x14ac:dyDescent="0.3">
      <c r="A3" s="1" t="s">
        <v>0</v>
      </c>
      <c r="B3" s="2">
        <v>1</v>
      </c>
    </row>
    <row r="5" spans="1:7" x14ac:dyDescent="0.3">
      <c r="A5" s="1" t="s">
        <v>1</v>
      </c>
      <c r="D5" s="1">
        <f>+(A2*B3)/B2</f>
        <v>1793023.2558139535</v>
      </c>
    </row>
    <row r="7" spans="1:7" x14ac:dyDescent="0.3">
      <c r="A7" s="1" t="s">
        <v>2</v>
      </c>
      <c r="F7" s="2">
        <v>0.68</v>
      </c>
      <c r="G7" s="4">
        <f>+F7*D5</f>
        <v>1219255.8139534884</v>
      </c>
    </row>
    <row r="9" spans="1:7" x14ac:dyDescent="0.3">
      <c r="A9" s="1" t="s">
        <v>3</v>
      </c>
      <c r="G9" s="4">
        <f>+A2-G7</f>
        <v>322744.18604651163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E92C-627D-475E-BC3D-CCEFEEDA2E23}">
  <dimension ref="A2:C6"/>
  <sheetViews>
    <sheetView workbookViewId="0">
      <selection activeCell="N20" sqref="N20"/>
    </sheetView>
  </sheetViews>
  <sheetFormatPr baseColWidth="10" defaultRowHeight="14.4" x14ac:dyDescent="0.3"/>
  <sheetData>
    <row r="2" spans="1:3" x14ac:dyDescent="0.3">
      <c r="A2" s="6">
        <v>65399000</v>
      </c>
      <c r="B2" t="s">
        <v>8</v>
      </c>
    </row>
    <row r="3" spans="1:3" x14ac:dyDescent="0.3">
      <c r="A3">
        <v>582600</v>
      </c>
      <c r="B3" t="s">
        <v>9</v>
      </c>
    </row>
    <row r="4" spans="1:3" x14ac:dyDescent="0.3">
      <c r="A4" s="6">
        <f>+A2-A3</f>
        <v>64816400</v>
      </c>
      <c r="B4" t="s">
        <v>10</v>
      </c>
    </row>
    <row r="5" spans="1:3" x14ac:dyDescent="0.3">
      <c r="A5" s="6">
        <v>47543000</v>
      </c>
      <c r="B5" t="s">
        <v>11</v>
      </c>
    </row>
    <row r="6" spans="1:3" x14ac:dyDescent="0.3">
      <c r="B6">
        <f>+A4/A5</f>
        <v>1.3633216246345414</v>
      </c>
      <c r="C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6DAB-D3BC-45B7-9866-65CD9FEAAC49}">
  <dimension ref="A3:F7"/>
  <sheetViews>
    <sheetView workbookViewId="0">
      <selection activeCell="F25" sqref="F25"/>
    </sheetView>
  </sheetViews>
  <sheetFormatPr baseColWidth="10" defaultRowHeight="14.4" x14ac:dyDescent="0.3"/>
  <cols>
    <col min="1" max="1" width="13.88671875" bestFit="1" customWidth="1"/>
  </cols>
  <sheetData>
    <row r="3" spans="1:6" x14ac:dyDescent="0.3">
      <c r="A3" s="1">
        <f>601055*1.103</f>
        <v>662963.66500000004</v>
      </c>
      <c r="B3" t="s">
        <v>4</v>
      </c>
    </row>
    <row r="4" spans="1:6" x14ac:dyDescent="0.3">
      <c r="A4" s="1">
        <f>601055*1.045</f>
        <v>628102.47499999998</v>
      </c>
      <c r="B4" t="s">
        <v>5</v>
      </c>
    </row>
    <row r="6" spans="1:6" x14ac:dyDescent="0.3">
      <c r="A6" t="s">
        <v>6</v>
      </c>
      <c r="B6" s="4">
        <f>+A3-A4</f>
        <v>34861.190000000061</v>
      </c>
    </row>
    <row r="7" spans="1:6" x14ac:dyDescent="0.3">
      <c r="F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Vente </vt:lpstr>
      <vt:lpstr>Fond de roulement </vt:lpstr>
      <vt:lpstr>Client en dollars US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2025-03-17T19:57:50Z</dcterms:created>
  <dcterms:modified xsi:type="dcterms:W3CDTF">2025-03-17T22:40:16Z</dcterms:modified>
</cp:coreProperties>
</file>