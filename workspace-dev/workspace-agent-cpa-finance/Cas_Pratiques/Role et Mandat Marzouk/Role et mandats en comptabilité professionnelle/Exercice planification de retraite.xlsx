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0" documentId="8_{D23E9A21-2AFF-435E-AD50-EF3822E4F7DE}" xr6:coauthVersionLast="47" xr6:coauthVersionMax="47" xr10:uidLastSave="{00000000-0000-0000-0000-000000000000}"/>
  <bookViews>
    <workbookView xWindow="-108" yWindow="-108" windowWidth="23256" windowHeight="13896" xr2:uid="{9B1627F2-A735-45EF-A388-DCB19B7079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D9" i="1"/>
  <c r="B20" i="1"/>
  <c r="F16" i="1"/>
  <c r="B14" i="1"/>
  <c r="C6" i="1"/>
  <c r="D4" i="1"/>
  <c r="B15" i="1" s="1"/>
  <c r="B17" i="1" s="1"/>
  <c r="B19" i="1" s="1"/>
  <c r="B21" i="1" s="1"/>
  <c r="B23" i="1" s="1"/>
  <c r="D2" i="1"/>
</calcChain>
</file>

<file path=xl/sharedStrings.xml><?xml version="1.0" encoding="utf-8"?>
<sst xmlns="http://schemas.openxmlformats.org/spreadsheetml/2006/main" count="23" uniqueCount="23">
  <si>
    <t>Dépenses annuelle pour les deux</t>
  </si>
  <si>
    <t>Revenu annuel pour les deux</t>
  </si>
  <si>
    <t xml:space="preserve">Éepargne </t>
  </si>
  <si>
    <t>Annuel</t>
  </si>
  <si>
    <t xml:space="preserve">ils estime vivre </t>
  </si>
  <si>
    <t>Cout de vie estimé a l'age de retraite</t>
  </si>
  <si>
    <t>Ce que est disponible comme capital</t>
  </si>
  <si>
    <t>REER</t>
  </si>
  <si>
    <t xml:space="preserve">Maison </t>
  </si>
  <si>
    <t>CELI</t>
  </si>
  <si>
    <t>Rendement annuel</t>
  </si>
  <si>
    <t>Epargne</t>
  </si>
  <si>
    <t>Maison</t>
  </si>
  <si>
    <t>Capital a 65 ans</t>
  </si>
  <si>
    <t xml:space="preserve">La moyenne annuelle pour 30 ans </t>
  </si>
  <si>
    <t xml:space="preserve">Rente de gouvernement annuelle </t>
  </si>
  <si>
    <t>Manque a gagner</t>
  </si>
  <si>
    <t xml:space="preserve">il lui manque 34 466 pour atteindre leurs cout de vie souhaité a l'age de la retraite </t>
  </si>
  <si>
    <t xml:space="preserve">Conclusion omar et Mégali ne peuvent pas prendre leurs retraite a l'age de 65 et vivre un ccout de vie de 67200 par année </t>
  </si>
  <si>
    <t xml:space="preserve">Recommandation:trouver un travail a temps partiel a l'age de la retraite et cotiser tous les épargne dasn le REER et CELI selon la limite </t>
  </si>
  <si>
    <t xml:space="preserve">Vendre leurs maison et louer un condo et ultiliser le montnat dasn un investissment en portefeuille équilobré </t>
  </si>
  <si>
    <t xml:space="preserve">`Hypothese si il vend leur maison a l.age de le retraie au prix de 700000 et investir le montnat dans un portefeuille avec un hypothes de rendement de 5% </t>
  </si>
  <si>
    <t xml:space="preserve">annuel il aurent la manque a gagner de 34 466 par annaé car ils auront des rendement de 35 000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</si>
</sst>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.00_)\ _$_ ;_ * \(#,##0.00\)\ _$_ ;_ * &quot;-&quot;??_)\ _$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2" fillId="2" borderId="0" xfId="1" applyFont="1" applyFill="1"/>
    <xf numFmtId="43" fontId="0" fillId="2" borderId="0" xfId="1" applyFont="1" applyFill="1"/>
    <xf numFmtId="16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A00A-7AA2-4387-999B-A3581DFBA06F}">
  <dimension ref="A2:I29"/>
  <sheetViews>
    <sheetView tabSelected="1" workbookViewId="0">
      <selection activeCell="I14" sqref="I14"/>
    </sheetView>
  </sheetViews>
  <sheetFormatPr baseColWidth="10" defaultRowHeight="14.4" x14ac:dyDescent="0.3"/>
  <cols>
    <col min="1" max="1" width="31" customWidth="1"/>
    <col min="2" max="2" width="12.77734375" bestFit="1" customWidth="1"/>
    <col min="9" max="9" width="11.5546875" style="1"/>
  </cols>
  <sheetData>
    <row r="2" spans="1:9" x14ac:dyDescent="0.3">
      <c r="A2" t="s">
        <v>0</v>
      </c>
      <c r="D2">
        <f>7000*12</f>
        <v>84000</v>
      </c>
    </row>
    <row r="3" spans="1:9" x14ac:dyDescent="0.3">
      <c r="A3" t="s">
        <v>1</v>
      </c>
      <c r="D3">
        <v>90000</v>
      </c>
    </row>
    <row r="4" spans="1:9" x14ac:dyDescent="0.3">
      <c r="A4" t="s">
        <v>2</v>
      </c>
      <c r="D4">
        <f>+D3-D2</f>
        <v>6000</v>
      </c>
      <c r="E4" t="s">
        <v>3</v>
      </c>
    </row>
    <row r="6" spans="1:9" x14ac:dyDescent="0.3">
      <c r="A6" t="s">
        <v>4</v>
      </c>
      <c r="C6" s="1">
        <f>95-65</f>
        <v>30</v>
      </c>
    </row>
    <row r="9" spans="1:9" x14ac:dyDescent="0.3">
      <c r="A9" t="s">
        <v>5</v>
      </c>
      <c r="D9" s="2">
        <f>+D2*0.8</f>
        <v>67200</v>
      </c>
    </row>
    <row r="11" spans="1:9" x14ac:dyDescent="0.3">
      <c r="A11" t="s">
        <v>6</v>
      </c>
    </row>
    <row r="12" spans="1:9" x14ac:dyDescent="0.3">
      <c r="A12" t="s">
        <v>7</v>
      </c>
      <c r="B12" s="1">
        <v>250000</v>
      </c>
      <c r="H12" t="s">
        <v>8</v>
      </c>
      <c r="I12" s="1">
        <v>700000</v>
      </c>
    </row>
    <row r="13" spans="1:9" x14ac:dyDescent="0.3">
      <c r="A13" t="s">
        <v>9</v>
      </c>
      <c r="B13" s="1">
        <v>25000</v>
      </c>
      <c r="I13" s="1">
        <f>+I12/30</f>
        <v>23333.333333333332</v>
      </c>
    </row>
    <row r="14" spans="1:9" x14ac:dyDescent="0.3">
      <c r="A14" t="s">
        <v>10</v>
      </c>
      <c r="B14" s="1">
        <f>+(B12+B13)*0.05*20</f>
        <v>275000</v>
      </c>
    </row>
    <row r="15" spans="1:9" x14ac:dyDescent="0.3">
      <c r="A15" t="s">
        <v>11</v>
      </c>
      <c r="B15" s="1">
        <f>+D4*20</f>
        <v>120000</v>
      </c>
    </row>
    <row r="16" spans="1:9" x14ac:dyDescent="0.3">
      <c r="A16" t="s">
        <v>12</v>
      </c>
      <c r="B16" s="1"/>
      <c r="E16" s="1">
        <v>700000</v>
      </c>
      <c r="F16" s="1">
        <f>+E16*0.05</f>
        <v>35000</v>
      </c>
    </row>
    <row r="17" spans="1:3" x14ac:dyDescent="0.3">
      <c r="A17" t="s">
        <v>13</v>
      </c>
      <c r="B17" s="1">
        <f>SUM(B12:B15)</f>
        <v>670000</v>
      </c>
    </row>
    <row r="19" spans="1:3" x14ac:dyDescent="0.3">
      <c r="A19" t="s">
        <v>14</v>
      </c>
      <c r="B19" s="3">
        <f>+B17/C6</f>
        <v>22333.333333333332</v>
      </c>
    </row>
    <row r="20" spans="1:3" x14ac:dyDescent="0.3">
      <c r="A20" t="s">
        <v>15</v>
      </c>
      <c r="B20" s="3">
        <f>5200*2</f>
        <v>10400</v>
      </c>
    </row>
    <row r="21" spans="1:3" x14ac:dyDescent="0.3">
      <c r="B21" s="4">
        <f>+B19+B20</f>
        <v>32733.333333333332</v>
      </c>
    </row>
    <row r="23" spans="1:3" x14ac:dyDescent="0.3">
      <c r="A23" t="s">
        <v>16</v>
      </c>
      <c r="B23" s="4">
        <f>+D9-B21</f>
        <v>34466.666666666672</v>
      </c>
      <c r="C23" t="s">
        <v>17</v>
      </c>
    </row>
    <row r="25" spans="1:3" x14ac:dyDescent="0.3">
      <c r="A25" t="s">
        <v>18</v>
      </c>
    </row>
    <row r="26" spans="1:3" x14ac:dyDescent="0.3">
      <c r="A26" t="s">
        <v>19</v>
      </c>
    </row>
    <row r="27" spans="1:3" x14ac:dyDescent="0.3">
      <c r="A27" t="s">
        <v>20</v>
      </c>
    </row>
    <row r="28" spans="1:3" x14ac:dyDescent="0.3">
      <c r="A28" t="s">
        <v>21</v>
      </c>
    </row>
    <row r="29" spans="1:3" x14ac:dyDescent="0.3">
      <c r="A2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2025-06-19T23:32:26Z</dcterms:created>
  <dcterms:modified xsi:type="dcterms:W3CDTF">2025-06-19T23:33:00Z</dcterms:modified>
</cp:coreProperties>
</file>