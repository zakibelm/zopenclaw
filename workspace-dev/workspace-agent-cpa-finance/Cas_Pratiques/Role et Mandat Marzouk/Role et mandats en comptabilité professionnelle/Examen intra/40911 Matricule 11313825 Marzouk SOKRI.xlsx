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215" documentId="11_AD4D9D64A577C15A4A541854901A68085BDEDD8D" xr6:coauthVersionLast="47" xr6:coauthVersionMax="47" xr10:uidLastSave="{E34B3CEB-D3C2-42CF-9D60-A1D3F066B461}"/>
  <bookViews>
    <workbookView minimized="1" xWindow="-3696" yWindow="3072" windowWidth="10092" windowHeight="10008" activeTab="3" xr2:uid="{00000000-000D-0000-FFFF-FFFF00000000}"/>
  </bookViews>
  <sheets>
    <sheet name="Répartition de prix " sheetId="1" r:id="rId1"/>
    <sheet name="Projet Citadel" sheetId="2" r:id="rId2"/>
    <sheet name="Analyse de rentabilité " sheetId="3" r:id="rId3"/>
    <sheet name="Analyse de liquidité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B10" i="4"/>
  <c r="B5" i="4"/>
  <c r="D5" i="4" s="1"/>
  <c r="D8" i="4"/>
  <c r="D2" i="4"/>
  <c r="C2" i="4"/>
  <c r="B2" i="4"/>
  <c r="C8" i="4"/>
  <c r="B8" i="4"/>
  <c r="D4" i="3"/>
  <c r="D2" i="3"/>
  <c r="C6" i="3"/>
  <c r="D6" i="3" s="1"/>
  <c r="B6" i="3"/>
  <c r="C4" i="3"/>
  <c r="B4" i="3"/>
  <c r="C2" i="3"/>
  <c r="B2" i="3"/>
  <c r="B7" i="2"/>
  <c r="B8" i="2"/>
  <c r="E4" i="2"/>
  <c r="E5" i="2" s="1"/>
  <c r="E7" i="2" s="1"/>
  <c r="B13" i="1"/>
  <c r="B6" i="2"/>
  <c r="B2" i="2"/>
  <c r="B11" i="1"/>
  <c r="B10" i="1"/>
  <c r="B9" i="1"/>
  <c r="B7" i="1"/>
  <c r="C4" i="1"/>
  <c r="C3" i="1"/>
  <c r="B5" i="1"/>
  <c r="B4" i="1"/>
</calcChain>
</file>

<file path=xl/sharedStrings.xml><?xml version="1.0" encoding="utf-8"?>
<sst xmlns="http://schemas.openxmlformats.org/spreadsheetml/2006/main" count="32" uniqueCount="30">
  <si>
    <t>Système</t>
  </si>
  <si>
    <t xml:space="preserve">Service de téeésurveillance </t>
  </si>
  <si>
    <t>Prix observables</t>
  </si>
  <si>
    <t xml:space="preserve">Prix de transaction </t>
  </si>
  <si>
    <t>Réaprtition</t>
  </si>
  <si>
    <t>service mensuel</t>
  </si>
  <si>
    <t xml:space="preserve">Cout services assistance </t>
  </si>
  <si>
    <t>Cout de l'appareil</t>
  </si>
  <si>
    <t>Cout d'installation</t>
  </si>
  <si>
    <t>Par contrat</t>
  </si>
  <si>
    <t xml:space="preserve">Commission Véritas </t>
  </si>
  <si>
    <t>Cout total de nouveau service par contrat</t>
  </si>
  <si>
    <t xml:space="preserve">Cout actuel pour le système d'alarme </t>
  </si>
  <si>
    <t>Cout système d'alarme</t>
  </si>
  <si>
    <t>Insallation</t>
  </si>
  <si>
    <t>Commission véritas</t>
  </si>
  <si>
    <t xml:space="preserve">Prix de vente actuel </t>
  </si>
  <si>
    <t>Prix de vente actuel par contrat</t>
  </si>
  <si>
    <t>Cout total</t>
  </si>
  <si>
    <t xml:space="preserve">Marge % brute </t>
  </si>
  <si>
    <t xml:space="preserve">% marge 57% </t>
  </si>
  <si>
    <t xml:space="preserve">Prix de vente </t>
  </si>
  <si>
    <t xml:space="preserve">Rendement des capitaux propres </t>
  </si>
  <si>
    <t xml:space="preserve">Rendement des actifs </t>
  </si>
  <si>
    <t xml:space="preserve">Ratio de bénéfice net </t>
  </si>
  <si>
    <t xml:space="preserve">Liquidité immédiate </t>
  </si>
  <si>
    <t xml:space="preserve">Fond de roulement </t>
  </si>
  <si>
    <t xml:space="preserve">Variation </t>
  </si>
  <si>
    <t>Liquidité realtive</t>
  </si>
  <si>
    <t>Délais de paiement compte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</si>
</sst>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_ * #,##0.00_)\ _$_ ;_ * \(#,##0.00\)\ _$_ ;_ * &quot;-&quot;??_)\ _$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0" fontId="0" fillId="0" borderId="0" xfId="3" applyNumberFormat="1" applyFont="1"/>
    <xf numFmtId="0" fontId="0" fillId="2" borderId="0" xfId="0" applyFill="1"/>
    <xf numFmtId="44" fontId="0" fillId="0" borderId="0" xfId="2" applyFont="1"/>
    <xf numFmtId="9" fontId="0" fillId="0" borderId="0" xfId="2" applyNumberFormat="1" applyFont="1"/>
    <xf numFmtId="10" fontId="0" fillId="0" borderId="0" xfId="0" applyNumberFormat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26.77734375" bestFit="1" customWidth="1"/>
    <col min="2" max="2" width="14.109375" bestFit="1" customWidth="1"/>
    <col min="4" max="4" width="10.109375" bestFit="1" customWidth="1"/>
    <col min="7" max="8" width="11.33203125" style="1" bestFit="1" customWidth="1"/>
  </cols>
  <sheetData>
    <row r="2" spans="1:3" x14ac:dyDescent="0.3">
      <c r="B2" t="s">
        <v>2</v>
      </c>
    </row>
    <row r="3" spans="1:3" x14ac:dyDescent="0.3">
      <c r="A3" t="s">
        <v>0</v>
      </c>
      <c r="B3" s="1">
        <v>495</v>
      </c>
      <c r="C3" s="4">
        <f>+B3/B5</f>
        <v>0.29411764705882354</v>
      </c>
    </row>
    <row r="4" spans="1:3" x14ac:dyDescent="0.3">
      <c r="A4" t="s">
        <v>1</v>
      </c>
      <c r="B4" s="1">
        <f>33*36</f>
        <v>1188</v>
      </c>
      <c r="C4" s="4">
        <f>+B4/B5</f>
        <v>0.70588235294117652</v>
      </c>
    </row>
    <row r="5" spans="1:3" x14ac:dyDescent="0.3">
      <c r="B5" s="2">
        <f>+SUM(B3:B4)</f>
        <v>1683</v>
      </c>
    </row>
    <row r="7" spans="1:3" x14ac:dyDescent="0.3">
      <c r="A7" t="s">
        <v>3</v>
      </c>
      <c r="B7" s="1">
        <f>33*36</f>
        <v>1188</v>
      </c>
    </row>
    <row r="8" spans="1:3" x14ac:dyDescent="0.3">
      <c r="A8" t="s">
        <v>4</v>
      </c>
    </row>
    <row r="9" spans="1:3" x14ac:dyDescent="0.3">
      <c r="A9" t="s">
        <v>0</v>
      </c>
      <c r="B9" s="5">
        <f>+B7*C3</f>
        <v>349.41176470588238</v>
      </c>
    </row>
    <row r="10" spans="1:3" x14ac:dyDescent="0.3">
      <c r="A10" t="s">
        <v>1</v>
      </c>
      <c r="B10">
        <f>+B7*C4</f>
        <v>838.58823529411768</v>
      </c>
    </row>
    <row r="11" spans="1:3" x14ac:dyDescent="0.3">
      <c r="A11" t="s">
        <v>5</v>
      </c>
      <c r="B11" s="5">
        <f>+B10/33</f>
        <v>25.411764705882355</v>
      </c>
    </row>
    <row r="13" spans="1:3" x14ac:dyDescent="0.3">
      <c r="A13" t="s">
        <v>17</v>
      </c>
      <c r="B13" s="1">
        <f>+B11*36+B9</f>
        <v>1264.2352941176471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8E50-25A7-48C8-B778-A0BC8680F2B8}">
  <dimension ref="A1:G13"/>
  <sheetViews>
    <sheetView workbookViewId="0">
      <selection activeCell="C21" sqref="C21"/>
    </sheetView>
  </sheetViews>
  <sheetFormatPr baseColWidth="10" defaultRowHeight="14.4" x14ac:dyDescent="0.3"/>
  <cols>
    <col min="1" max="1" width="35.21875" bestFit="1" customWidth="1"/>
    <col min="2" max="2" width="11.5546875" style="6"/>
    <col min="4" max="4" width="32" bestFit="1" customWidth="1"/>
  </cols>
  <sheetData>
    <row r="1" spans="1:7" x14ac:dyDescent="0.3">
      <c r="A1" t="s">
        <v>9</v>
      </c>
      <c r="D1" t="s">
        <v>12</v>
      </c>
    </row>
    <row r="2" spans="1:7" x14ac:dyDescent="0.3">
      <c r="A2" t="s">
        <v>6</v>
      </c>
      <c r="B2" s="6">
        <f>12*36</f>
        <v>432</v>
      </c>
      <c r="D2" t="s">
        <v>13</v>
      </c>
      <c r="E2" s="1">
        <v>230</v>
      </c>
    </row>
    <row r="3" spans="1:7" x14ac:dyDescent="0.3">
      <c r="A3" t="s">
        <v>7</v>
      </c>
      <c r="B3" s="6">
        <v>30</v>
      </c>
      <c r="D3" t="s">
        <v>14</v>
      </c>
      <c r="E3" s="1">
        <v>100</v>
      </c>
    </row>
    <row r="4" spans="1:7" x14ac:dyDescent="0.3">
      <c r="A4" t="s">
        <v>8</v>
      </c>
      <c r="B4" s="6">
        <v>12.5</v>
      </c>
      <c r="D4" t="s">
        <v>15</v>
      </c>
      <c r="E4" s="1">
        <f>17%*E6</f>
        <v>214.92000000000053</v>
      </c>
    </row>
    <row r="5" spans="1:7" x14ac:dyDescent="0.3">
      <c r="A5" t="s">
        <v>10</v>
      </c>
      <c r="B5" s="6">
        <v>50</v>
      </c>
      <c r="D5" t="s">
        <v>18</v>
      </c>
      <c r="E5" s="2">
        <f>+SUM(E2:E4)</f>
        <v>544.92000000000053</v>
      </c>
    </row>
    <row r="6" spans="1:7" x14ac:dyDescent="0.3">
      <c r="A6" t="s">
        <v>11</v>
      </c>
      <c r="B6" s="6">
        <f>SUM(B2:B5)</f>
        <v>524.5</v>
      </c>
      <c r="D6" t="s">
        <v>16</v>
      </c>
      <c r="E6" s="1">
        <v>1264.23529411765</v>
      </c>
      <c r="G6" s="3"/>
    </row>
    <row r="7" spans="1:7" x14ac:dyDescent="0.3">
      <c r="A7" t="s">
        <v>20</v>
      </c>
      <c r="B7" s="6">
        <f>+B8-B6</f>
        <v>695.26744186046494</v>
      </c>
      <c r="D7" t="s">
        <v>19</v>
      </c>
      <c r="E7" s="4">
        <f>+(E6-E5)/E6</f>
        <v>0.56897264098269185</v>
      </c>
    </row>
    <row r="8" spans="1:7" x14ac:dyDescent="0.3">
      <c r="A8" t="s">
        <v>21</v>
      </c>
      <c r="B8" s="1">
        <f>+B6/(100%-57%)</f>
        <v>1219.7674418604649</v>
      </c>
    </row>
    <row r="12" spans="1:7" x14ac:dyDescent="0.3">
      <c r="B12" s="7"/>
    </row>
    <row r="13" spans="1:7" x14ac:dyDescent="0.3">
      <c r="B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5859-A5F7-41EA-AB9B-355E390DBF9D}">
  <dimension ref="A1:D6"/>
  <sheetViews>
    <sheetView workbookViewId="0">
      <selection activeCell="J1" sqref="J1"/>
    </sheetView>
  </sheetViews>
  <sheetFormatPr baseColWidth="10" defaultRowHeight="14.4" x14ac:dyDescent="0.3"/>
  <cols>
    <col min="1" max="1" width="28.33203125" bestFit="1" customWidth="1"/>
  </cols>
  <sheetData>
    <row r="1" spans="1:4" x14ac:dyDescent="0.3">
      <c r="B1">
        <v>2024</v>
      </c>
      <c r="C1">
        <v>2025</v>
      </c>
    </row>
    <row r="2" spans="1:4" x14ac:dyDescent="0.3">
      <c r="A2" t="s">
        <v>22</v>
      </c>
      <c r="B2" s="4">
        <f>-78553/70000</f>
        <v>-1.1221857142857143</v>
      </c>
      <c r="C2" s="4">
        <f>-58797/70000</f>
        <v>-0.83995714285714285</v>
      </c>
      <c r="D2" s="4">
        <f>+C2-B2</f>
        <v>0.2822285714285715</v>
      </c>
    </row>
    <row r="3" spans="1:4" x14ac:dyDescent="0.3">
      <c r="B3" s="4"/>
      <c r="C3" s="4"/>
      <c r="D3" s="4"/>
    </row>
    <row r="4" spans="1:4" x14ac:dyDescent="0.3">
      <c r="A4" t="s">
        <v>23</v>
      </c>
      <c r="B4" s="4">
        <f>-78553/26012</f>
        <v>-3.0198754421036447</v>
      </c>
      <c r="C4" s="4">
        <f>-58797/33011</f>
        <v>-1.7811335615400927</v>
      </c>
      <c r="D4" s="4">
        <f>+C4-B4</f>
        <v>1.2387418805635519</v>
      </c>
    </row>
    <row r="5" spans="1:4" x14ac:dyDescent="0.3">
      <c r="B5" s="4"/>
      <c r="C5" s="4"/>
      <c r="D5" s="4"/>
    </row>
    <row r="6" spans="1:4" x14ac:dyDescent="0.3">
      <c r="A6" t="s">
        <v>24</v>
      </c>
      <c r="B6" s="4">
        <f>32125/-78553</f>
        <v>-0.40895955596858174</v>
      </c>
      <c r="C6" s="4">
        <f>-58797/139450</f>
        <v>-0.42163499462172821</v>
      </c>
      <c r="D6" s="4">
        <f>+C6-B6</f>
        <v>-1.2675438653146465E-2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7C09E-3C55-4BF6-AC28-1E4FAB6831A2}">
  <dimension ref="A1:D10"/>
  <sheetViews>
    <sheetView tabSelected="1" workbookViewId="0">
      <selection activeCell="K20" sqref="K20"/>
    </sheetView>
  </sheetViews>
  <sheetFormatPr baseColWidth="10" defaultRowHeight="14.4" x14ac:dyDescent="0.3"/>
  <cols>
    <col min="1" max="1" width="28.33203125" bestFit="1" customWidth="1"/>
    <col min="4" max="4" width="12.5546875" bestFit="1" customWidth="1"/>
  </cols>
  <sheetData>
    <row r="1" spans="1:4" x14ac:dyDescent="0.3">
      <c r="B1">
        <v>2024</v>
      </c>
      <c r="C1">
        <v>2025</v>
      </c>
      <c r="D1" t="s">
        <v>27</v>
      </c>
    </row>
    <row r="2" spans="1:4" x14ac:dyDescent="0.3">
      <c r="A2" t="s">
        <v>28</v>
      </c>
      <c r="B2" s="4">
        <f>+(21063-2300)/34565</f>
        <v>0.54283234485751486</v>
      </c>
      <c r="C2" s="4">
        <f>27883/110361</f>
        <v>0.25265265809479798</v>
      </c>
      <c r="D2" s="8">
        <f>+C2-B2</f>
        <v>-0.29017968676271688</v>
      </c>
    </row>
    <row r="3" spans="1:4" x14ac:dyDescent="0.3">
      <c r="D3" s="8"/>
    </row>
    <row r="4" spans="1:4" x14ac:dyDescent="0.3">
      <c r="D4" s="8"/>
    </row>
    <row r="5" spans="1:4" x14ac:dyDescent="0.3">
      <c r="A5" t="s">
        <v>25</v>
      </c>
      <c r="B5" s="4">
        <f>2552/34565</f>
        <v>7.3831910892521335E-2</v>
      </c>
      <c r="C5">
        <v>0</v>
      </c>
      <c r="D5" s="8">
        <f t="shared" ref="D3:D9" si="0">+C5-B5</f>
        <v>-7.3831910892521335E-2</v>
      </c>
    </row>
    <row r="6" spans="1:4" x14ac:dyDescent="0.3">
      <c r="D6" s="8"/>
    </row>
    <row r="7" spans="1:4" x14ac:dyDescent="0.3">
      <c r="D7" s="8"/>
    </row>
    <row r="8" spans="1:4" x14ac:dyDescent="0.3">
      <c r="A8" t="s">
        <v>26</v>
      </c>
      <c r="B8" s="1">
        <f>21063-34565</f>
        <v>-13502</v>
      </c>
      <c r="C8" s="1">
        <f>30183-110361</f>
        <v>-80178</v>
      </c>
      <c r="D8" s="6">
        <f t="shared" si="0"/>
        <v>-66676</v>
      </c>
    </row>
    <row r="9" spans="1:4" x14ac:dyDescent="0.3">
      <c r="D9" s="8"/>
    </row>
    <row r="10" spans="1:4" x14ac:dyDescent="0.3">
      <c r="A10" t="s">
        <v>29</v>
      </c>
      <c r="B10">
        <f>(6211/32125)*365</f>
        <v>70.568560311284045</v>
      </c>
      <c r="C10">
        <f>(27883/139450)*365</f>
        <v>72.981678020795982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Répartition de prix </vt:lpstr>
      <vt:lpstr>Projet Citadel</vt:lpstr>
      <vt:lpstr>Analyse de rentabilité </vt:lpstr>
      <vt:lpstr>Analyse de liquidité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2025-02-28T15:52:03Z</dcterms:modified>
</cp:coreProperties>
</file>