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bca8937e5be247ac/Bureau/"/>
    </mc:Choice>
  </mc:AlternateContent>
  <xr:revisionPtr revIDLastSave="22" documentId="8_{6EC35D4E-F079-44C6-A263-FA1D57089BEF}" xr6:coauthVersionLast="47" xr6:coauthVersionMax="47" xr10:uidLastSave="{C9939659-5073-468A-9C9E-9C9BB44DC97B}"/>
  <bookViews>
    <workbookView xWindow="-108" yWindow="-108" windowWidth="23256" windowHeight="13896" xr2:uid="{C05F89A9-3525-419C-81E2-C8C0828C97CF}"/>
  </bookViews>
  <sheets>
    <sheet name="Établissement de prix de l'Exma" sheetId="1" r:id="rId1"/>
    <sheet name="Décision sur le matériel spec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 l="1"/>
  <c r="D6" i="1"/>
  <c r="D20" i="1" s="1"/>
  <c r="D21" i="1" s="1"/>
  <c r="J7" i="2"/>
  <c r="K7" i="2"/>
  <c r="L7" i="2"/>
  <c r="M7" i="2"/>
  <c r="I7" i="2"/>
  <c r="M5" i="2"/>
  <c r="K5" i="2"/>
  <c r="L5" i="2"/>
  <c r="J5" i="2"/>
  <c r="D8" i="2"/>
  <c r="E8" i="2"/>
  <c r="F8" i="2"/>
  <c r="C8" i="2"/>
  <c r="B9" i="2" s="1"/>
  <c r="H9" i="1"/>
  <c r="F9" i="1"/>
  <c r="D9" i="1"/>
  <c r="F18" i="1"/>
  <c r="H19" i="1"/>
  <c r="F19" i="1"/>
  <c r="D19" i="1"/>
  <c r="H15" i="1"/>
  <c r="H14" i="1"/>
  <c r="D18" i="1"/>
  <c r="H13" i="1"/>
  <c r="H10" i="1"/>
  <c r="H12" i="1" s="1"/>
  <c r="H18" i="1" s="1"/>
  <c r="F10" i="1"/>
  <c r="F12" i="1" s="1"/>
  <c r="F13" i="1" s="1"/>
  <c r="D10" i="1"/>
  <c r="D12" i="1" s="1"/>
  <c r="D13" i="1" s="1"/>
  <c r="C17" i="1"/>
  <c r="D17" i="1" s="1"/>
  <c r="F17" i="1" s="1"/>
  <c r="H17" i="1" s="1"/>
  <c r="C16" i="1"/>
  <c r="D16" i="1" s="1"/>
  <c r="F16" i="1" s="1"/>
  <c r="H16" i="1" s="1"/>
  <c r="C12" i="1"/>
  <c r="D5" i="1"/>
  <c r="F5" i="1" s="1"/>
  <c r="H5" i="1" s="1"/>
  <c r="C8" i="1"/>
  <c r="D8" i="1" s="1"/>
  <c r="F8" i="1" s="1"/>
  <c r="H8" i="1" s="1"/>
  <c r="C7" i="1"/>
  <c r="D7" i="1" s="1"/>
  <c r="F7" i="1" s="1"/>
  <c r="H7" i="1" s="1"/>
  <c r="C6" i="1"/>
  <c r="F6" i="1" l="1"/>
  <c r="F14" i="1"/>
  <c r="D14" i="1"/>
  <c r="F15" i="1"/>
  <c r="D15" i="1"/>
  <c r="H6" i="1" l="1"/>
  <c r="H20" i="1" s="1"/>
  <c r="H21" i="1" s="1"/>
  <c r="F20" i="1"/>
  <c r="F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tc={356CDAAE-2CB5-4EC3-8F13-CF5582D8D0A4}</author>
    <author>tc={3793E0DB-9EA5-42C5-9921-0011D6F32C1D}</author>
  </authors>
  <commentList>
    <comment ref="C4" authorId="0" shapeId="0" xr:uid="{356CDAAE-2CB5-4EC3-8F13-CF5582D8D0A4}">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est du d’utiliser la formule mathématique afin que je puisse trouver le nombre de candidat avec ceux qui refait l’examen pour l’année prochaine de cette manière je peut trouver le nombre pour l’année 1 </t>
      </text>
    </comment>
    <comment ref="H4" authorId="1" shapeId="0" xr:uid="{3793E0DB-9EA5-42C5-9921-0011D6F32C1D}">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Mauvaise démarche meme si avec hypothese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tc={0DD73051-54B6-49DC-A0EF-F8A4A3FDE5CC}</author>
  </authors>
  <commentList>
    <comment ref="H9" authorId="0" shapeId="0" xr:uid="{0DD73051-54B6-49DC-A0EF-F8A4A3FDE5CC}">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Mauvaise utilisation de taux d’actualisation il est du que je dévise sur le mombre de mois </t>
      </text>
    </comment>
  </commentList>
</comments>
</file>

<file path=xl/sharedStrings.xml><?xml version="1.0" encoding="utf-8"?>
<sst xmlns="http://schemas.openxmlformats.org/spreadsheetml/2006/main" count="57" uniqueCount="48">
  <si>
    <t>Avantages sociaux</t>
  </si>
  <si>
    <t>Question a choix multiples</t>
  </si>
  <si>
    <t>Candidat</t>
  </si>
  <si>
    <t xml:space="preserve">Hypothese la base de donnée des questions change chaque 2 ans </t>
  </si>
  <si>
    <t>Salaire annuel combiné</t>
  </si>
  <si>
    <t>Question a developpement</t>
  </si>
  <si>
    <t>Cout moyen des installation et de personnel</t>
  </si>
  <si>
    <t>Si 2000 candidat</t>
  </si>
  <si>
    <t>Si 1000 candidat</t>
  </si>
  <si>
    <t>Si 3000 candidat</t>
  </si>
  <si>
    <t>Centre de correction</t>
  </si>
  <si>
    <t>nombre ce correcteur</t>
  </si>
  <si>
    <t>nombre de copie pour 2ans</t>
  </si>
  <si>
    <t xml:space="preserve">Année 1 </t>
  </si>
  <si>
    <t>2 année</t>
  </si>
  <si>
    <t>Hotel</t>
  </si>
  <si>
    <t xml:space="preserve">Repas </t>
  </si>
  <si>
    <t>Déplacment</t>
  </si>
  <si>
    <t>Location d'une salle de conférence</t>
  </si>
  <si>
    <t>Jour de  correction</t>
  </si>
  <si>
    <t>plus une journée de formation</t>
  </si>
  <si>
    <t xml:space="preserve">Les correcteurs restent a l'hotel </t>
  </si>
  <si>
    <t xml:space="preserve">5 jours </t>
  </si>
  <si>
    <t>Location de matériel de fourniture de bureau</t>
  </si>
  <si>
    <t>Cout total</t>
  </si>
  <si>
    <t>Cout par candidat</t>
  </si>
  <si>
    <t>Copie par correcteur</t>
  </si>
  <si>
    <t>Honoraire par correcteur</t>
  </si>
  <si>
    <t>Frais généraux de l'oragnisme</t>
  </si>
  <si>
    <t>I</t>
  </si>
  <si>
    <t>Option 1</t>
  </si>
  <si>
    <t>Année 0</t>
  </si>
  <si>
    <t>Nouveau matériel</t>
  </si>
  <si>
    <t>Année 1</t>
  </si>
  <si>
    <t>Année 2</t>
  </si>
  <si>
    <t>Année 3</t>
  </si>
  <si>
    <t>Année 4</t>
  </si>
  <si>
    <t>Frais entretien</t>
  </si>
  <si>
    <t>Valeur de récupération</t>
  </si>
  <si>
    <t>VAN</t>
  </si>
  <si>
    <t xml:space="preserve">FM </t>
  </si>
  <si>
    <t>Option 2</t>
  </si>
  <si>
    <t>Loyer annuel</t>
  </si>
  <si>
    <t>Anné 0</t>
  </si>
  <si>
    <t>Rapport de solvabilité</t>
  </si>
  <si>
    <t xml:space="preserve">Pas de l'impot sur les OSBL </t>
  </si>
  <si>
    <t xml:space="preserve">tu a fais une erreur ici car tu n'a pas deviser le </t>
  </si>
  <si>
    <t xml:space="preserve">le taux d'interet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</si>
</sst>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0.00\ &quot;$&quot;_);[Red]\(#,##0.00\ &quot;$&quot;\)"/>
    <numFmt numFmtId="43" formatCode="_ * #,##0.00_)_ ;_ * \(#,##0.00\)_ ;_ * &quot;-&quot;??_)_ ;_ @_ "/>
    <numFmt numFmtId="164" formatCode="_ * #,##0.00_)\ _$_ ;_ * \(#,##0.00\)\ _$_ ;_ * &quot;-&quot;??_)\ _$_ ;_ @_ "/>
  </numFmts>
  <fonts count="4" x14ac:knownFonts="1">
    <font>
      <sz val="11"/>
      <color theme="1"/>
      <name val="Aptos Narrow"/>
      <family val="2"/>
      <scheme val="minor"/>
    </font>
    <font>
      <sz val="11"/>
      <color theme="1"/>
      <name val="Aptos Narrow"/>
      <family val="2"/>
      <scheme val="minor"/>
    </font>
    <font>
      <sz val="8"/>
      <name val="Aptos Narrow"/>
      <family val="2"/>
      <scheme val="minor"/>
    </font>
    <font>
      <sz val="9"/>
      <color indexed="81"/>
      <name val="Tahoma"/>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43" fontId="0" fillId="0" borderId="0" xfId="1" applyFont="1"/>
    <xf numFmtId="164" fontId="0" fillId="0" borderId="0" xfId="0" applyNumberFormat="1"/>
    <xf numFmtId="43" fontId="0" fillId="0" borderId="0" xfId="0" applyNumberFormat="1"/>
    <xf numFmtId="43" fontId="0" fillId="0" borderId="0" xfId="1" applyFont="1" applyAlignment="1">
      <alignment horizontal="center"/>
    </xf>
    <xf numFmtId="164" fontId="0" fillId="2" borderId="0" xfId="0" applyNumberFormat="1" applyFill="1"/>
    <xf numFmtId="43" fontId="0" fillId="2" borderId="0" xfId="1" applyFont="1" applyFill="1"/>
    <xf numFmtId="9" fontId="0" fillId="0" borderId="0" xfId="0" applyNumberFormat="1"/>
    <xf numFmtId="8" fontId="0" fillId="0" borderId="0" xfId="0" applyNumberFormat="1"/>
    <xf numFmtId="10" fontId="0" fillId="0" borderId="0" xfId="2" applyNumberFormat="1" applyFont="1"/>
    <xf numFmtId="43" fontId="0" fillId="0" borderId="0" xfId="1" applyFont="1" applyAlignment="1">
      <alignment horizontal="center"/>
    </xf>
  </cellXfs>
  <cellStyles count="3">
    <cellStyle name="Milliers" xfId="1" builtinId="3"/>
    <cellStyle name="Normal" xfId="0" builtinId="0"/>
    <cellStyle name="Pourcenta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SOKRI Marzouk" id="{160EAC99-8DCF-4091-A524-A860DFE91AD3}" userId="bca8937e5be247ac" providerId="Windows Live"/>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5-06-27T23:48:16.85" personId="{160EAC99-8DCF-4091-A524-A860DFE91AD3}" id="{356CDAAE-2CB5-4EC3-8F13-CF5582D8D0A4}">
    <text xml:space="preserve">Il est du d’utiliser la formule mathématique afin que je puisse trouver le nombre de candidat avec ceux qui refait l’examen pour l’année prochaine de cette manière je peut trouver le nombre pour l’année 1 </text>
  </threadedComment>
  <threadedComment ref="H4" dT="2025-06-27T23:45:11.38" personId="{160EAC99-8DCF-4091-A524-A860DFE91AD3}" id="{3793E0DB-9EA5-42C5-9921-0011D6F32C1D}">
    <text xml:space="preserve">Mauvaise démarche meme si avec hypothese </text>
  </threadedComment>
</ThreadedComments>
</file>

<file path=xl/threadedComments/threadedComment2.xml><?xml version="1.0" encoding="utf-8"?>
<ThreadedComments xmlns="http://schemas.microsoft.com/office/spreadsheetml/2018/threadedcomments" xmlns:x="http://schemas.openxmlformats.org/spreadsheetml/2006/main">
  <threadedComment ref="H9" dT="2025-06-27T23:44:40.30" personId="{160EAC99-8DCF-4091-A524-A860DFE91AD3}" id="{0DD73051-54B6-49DC-A0EF-F8A4A3FDE5CC}">
    <text xml:space="preserve">Mauvaise utilisation de taux d’actualisation il est du que je dévise sur le mombre de mois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ADE4F-92A3-4BFA-9C10-574C9665DBE7}">
  <dimension ref="A2:L54"/>
  <sheetViews>
    <sheetView tabSelected="1" workbookViewId="0">
      <selection activeCell="L14" sqref="L14"/>
    </sheetView>
  </sheetViews>
  <sheetFormatPr baseColWidth="10" defaultRowHeight="14.4" x14ac:dyDescent="0.3"/>
  <cols>
    <col min="2" max="2" width="42.33203125" customWidth="1"/>
    <col min="3" max="3" width="17.21875" bestFit="1" customWidth="1"/>
    <col min="4" max="4" width="12.44140625" bestFit="1" customWidth="1"/>
    <col min="6" max="6" width="13.109375" customWidth="1"/>
    <col min="8" max="8" width="12.44140625" bestFit="1" customWidth="1"/>
    <col min="12" max="12" width="11.5546875" style="1"/>
  </cols>
  <sheetData>
    <row r="2" spans="1:10" x14ac:dyDescent="0.3">
      <c r="A2" t="s">
        <v>3</v>
      </c>
    </row>
    <row r="3" spans="1:10" x14ac:dyDescent="0.3">
      <c r="A3" t="s">
        <v>2</v>
      </c>
      <c r="B3" s="1"/>
      <c r="C3" s="10" t="s">
        <v>7</v>
      </c>
      <c r="D3" s="10"/>
      <c r="E3" s="10" t="s">
        <v>8</v>
      </c>
      <c r="F3" s="10"/>
      <c r="G3" s="10" t="s">
        <v>9</v>
      </c>
      <c r="H3" s="10"/>
    </row>
    <row r="4" spans="1:10" x14ac:dyDescent="0.3">
      <c r="B4" s="1"/>
      <c r="C4" s="4" t="s">
        <v>13</v>
      </c>
      <c r="D4" s="4" t="s">
        <v>14</v>
      </c>
      <c r="E4" s="4" t="s">
        <v>13</v>
      </c>
      <c r="F4" s="4" t="s">
        <v>14</v>
      </c>
      <c r="G4" s="4" t="s">
        <v>13</v>
      </c>
      <c r="H4" s="4" t="s">
        <v>14</v>
      </c>
    </row>
    <row r="5" spans="1:10" x14ac:dyDescent="0.3">
      <c r="A5" t="s">
        <v>4</v>
      </c>
      <c r="B5" s="1"/>
      <c r="C5" s="1">
        <v>160000</v>
      </c>
      <c r="D5" s="1">
        <f>+C5*2</f>
        <v>320000</v>
      </c>
      <c r="F5" s="3">
        <f>+D5</f>
        <v>320000</v>
      </c>
      <c r="H5" s="1">
        <f>+F5</f>
        <v>320000</v>
      </c>
    </row>
    <row r="6" spans="1:10" x14ac:dyDescent="0.3">
      <c r="A6" t="s">
        <v>0</v>
      </c>
      <c r="B6" s="1"/>
      <c r="C6" s="1">
        <f>+C5*0.15</f>
        <v>24000</v>
      </c>
      <c r="D6" s="1">
        <f>+D5*0.15</f>
        <v>48000</v>
      </c>
      <c r="F6" s="3">
        <f t="shared" ref="F6:F8" si="0">+D6</f>
        <v>48000</v>
      </c>
      <c r="H6" s="1">
        <f>+F6</f>
        <v>48000</v>
      </c>
    </row>
    <row r="7" spans="1:10" x14ac:dyDescent="0.3">
      <c r="A7" t="s">
        <v>1</v>
      </c>
      <c r="B7" s="1"/>
      <c r="C7" s="1">
        <f>250*50</f>
        <v>12500</v>
      </c>
      <c r="D7" s="1">
        <f>+C7</f>
        <v>12500</v>
      </c>
      <c r="F7" s="3">
        <f t="shared" si="0"/>
        <v>12500</v>
      </c>
      <c r="H7" s="1">
        <f>+F7</f>
        <v>12500</v>
      </c>
    </row>
    <row r="8" spans="1:10" x14ac:dyDescent="0.3">
      <c r="A8" t="s">
        <v>5</v>
      </c>
      <c r="B8" s="1"/>
      <c r="C8" s="1">
        <f>5*1000</f>
        <v>5000</v>
      </c>
      <c r="D8" s="1">
        <f>+C8*2</f>
        <v>10000</v>
      </c>
      <c r="F8" s="3">
        <f t="shared" si="0"/>
        <v>10000</v>
      </c>
      <c r="H8" s="1">
        <f>+F8</f>
        <v>10000</v>
      </c>
    </row>
    <row r="9" spans="1:10" x14ac:dyDescent="0.3">
      <c r="A9" t="s">
        <v>6</v>
      </c>
      <c r="B9" s="1"/>
      <c r="C9" s="1"/>
      <c r="D9" s="1">
        <f>15*6000</f>
        <v>90000</v>
      </c>
      <c r="F9" s="3">
        <f>6000*10</f>
        <v>60000</v>
      </c>
      <c r="H9" s="1">
        <f>15*10000</f>
        <v>150000</v>
      </c>
    </row>
    <row r="10" spans="1:10" x14ac:dyDescent="0.3">
      <c r="A10" t="s">
        <v>12</v>
      </c>
      <c r="B10" s="1"/>
      <c r="C10" s="1">
        <v>2000</v>
      </c>
      <c r="D10" s="1">
        <f>+C10*1.25</f>
        <v>2500</v>
      </c>
      <c r="F10" s="3">
        <f>1000*1.25</f>
        <v>1250</v>
      </c>
      <c r="H10" s="1">
        <f>3000*1.25</f>
        <v>3750</v>
      </c>
    </row>
    <row r="11" spans="1:10" x14ac:dyDescent="0.3">
      <c r="A11" t="s">
        <v>10</v>
      </c>
      <c r="B11" s="1"/>
      <c r="C11" s="1"/>
      <c r="D11" s="1"/>
      <c r="H11" s="1"/>
    </row>
    <row r="12" spans="1:10" x14ac:dyDescent="0.3">
      <c r="A12" t="s">
        <v>11</v>
      </c>
      <c r="B12" s="1"/>
      <c r="C12" s="1">
        <f>+C10/40</f>
        <v>50</v>
      </c>
      <c r="D12" s="1">
        <f>+D10/C25</f>
        <v>62.5</v>
      </c>
      <c r="F12">
        <f>+F10/C25</f>
        <v>31.25</v>
      </c>
      <c r="H12" s="1">
        <f>+H10/40</f>
        <v>93.75</v>
      </c>
      <c r="J12" s="1"/>
    </row>
    <row r="13" spans="1:10" x14ac:dyDescent="0.3">
      <c r="A13" t="s">
        <v>15</v>
      </c>
      <c r="B13" s="1"/>
      <c r="C13" s="1"/>
      <c r="D13" s="1">
        <f>+D12*1000</f>
        <v>62500</v>
      </c>
      <c r="F13" s="3">
        <f>+F12*1000</f>
        <v>31250</v>
      </c>
      <c r="H13" s="1">
        <f>1000*H12</f>
        <v>93750</v>
      </c>
    </row>
    <row r="14" spans="1:10" x14ac:dyDescent="0.3">
      <c r="A14" t="s">
        <v>16</v>
      </c>
      <c r="B14" s="1"/>
      <c r="C14" s="1"/>
      <c r="D14" s="1">
        <f>+D12*300</f>
        <v>18750</v>
      </c>
      <c r="F14" s="1">
        <f>+F12*300</f>
        <v>9375</v>
      </c>
      <c r="H14" s="1">
        <f>+H12*300</f>
        <v>28125</v>
      </c>
    </row>
    <row r="15" spans="1:10" x14ac:dyDescent="0.3">
      <c r="A15" t="s">
        <v>17</v>
      </c>
      <c r="C15" s="1"/>
      <c r="D15" s="1">
        <f>800*D12*5</f>
        <v>250000</v>
      </c>
      <c r="F15" s="3">
        <f>+F12*800*5</f>
        <v>125000</v>
      </c>
      <c r="H15" s="1">
        <f>800*H12</f>
        <v>75000</v>
      </c>
    </row>
    <row r="16" spans="1:10" x14ac:dyDescent="0.3">
      <c r="A16" t="s">
        <v>18</v>
      </c>
      <c r="C16" s="1">
        <f>30000*4</f>
        <v>120000</v>
      </c>
      <c r="D16" s="1">
        <f>+C16*2</f>
        <v>240000</v>
      </c>
      <c r="F16" s="3">
        <f>+D16</f>
        <v>240000</v>
      </c>
      <c r="H16" s="1">
        <f>+F16*2</f>
        <v>480000</v>
      </c>
    </row>
    <row r="17" spans="1:8" x14ac:dyDescent="0.3">
      <c r="A17" t="s">
        <v>23</v>
      </c>
      <c r="C17" s="1">
        <f>5000*C22</f>
        <v>20000</v>
      </c>
      <c r="D17" s="1">
        <f>+C17*2</f>
        <v>40000</v>
      </c>
      <c r="F17" s="3">
        <f>+D17</f>
        <v>40000</v>
      </c>
      <c r="H17" s="1">
        <f>+F17</f>
        <v>40000</v>
      </c>
    </row>
    <row r="18" spans="1:8" x14ac:dyDescent="0.3">
      <c r="A18" t="s">
        <v>27</v>
      </c>
      <c r="C18" s="1"/>
      <c r="D18" s="1">
        <f>2500*D12</f>
        <v>156250</v>
      </c>
      <c r="F18" s="3">
        <f>2500*F12</f>
        <v>78125</v>
      </c>
      <c r="H18" s="1">
        <f>+H12*2500</f>
        <v>234375</v>
      </c>
    </row>
    <row r="19" spans="1:8" x14ac:dyDescent="0.3">
      <c r="A19" t="s">
        <v>28</v>
      </c>
      <c r="C19" s="1"/>
      <c r="D19" s="1">
        <f>150000*2</f>
        <v>300000</v>
      </c>
      <c r="F19" s="3">
        <f>+D19</f>
        <v>300000</v>
      </c>
      <c r="H19" s="1">
        <f>+F19</f>
        <v>300000</v>
      </c>
    </row>
    <row r="20" spans="1:8" x14ac:dyDescent="0.3">
      <c r="A20" t="s">
        <v>24</v>
      </c>
      <c r="D20" s="3">
        <f>+SUM(D5:D8)+D13+D14+D15+D16+D17+D18+D9</f>
        <v>1248000</v>
      </c>
      <c r="E20" s="3"/>
      <c r="F20" s="3">
        <f>+SUM(F5:F8)+F13+F14+F15+F16+F17+F18+F19+F9</f>
        <v>1274250</v>
      </c>
      <c r="H20" s="1">
        <f>+H5+H6+H7+H8+H13+H14+H15+H16+H17+H18+H19+H9</f>
        <v>1791750</v>
      </c>
    </row>
    <row r="21" spans="1:8" x14ac:dyDescent="0.3">
      <c r="A21" t="s">
        <v>25</v>
      </c>
      <c r="D21" s="5">
        <f>+D20/D10</f>
        <v>499.2</v>
      </c>
      <c r="F21" s="5">
        <f>+F20/F10</f>
        <v>1019.4</v>
      </c>
      <c r="H21" s="6">
        <f>+H20/H10</f>
        <v>477.8</v>
      </c>
    </row>
    <row r="22" spans="1:8" x14ac:dyDescent="0.3">
      <c r="A22" t="s">
        <v>19</v>
      </c>
      <c r="C22">
        <v>4</v>
      </c>
    </row>
    <row r="23" spans="1:8" x14ac:dyDescent="0.3">
      <c r="A23" t="s">
        <v>20</v>
      </c>
    </row>
    <row r="24" spans="1:8" x14ac:dyDescent="0.3">
      <c r="A24" t="s">
        <v>21</v>
      </c>
      <c r="C24" t="s">
        <v>22</v>
      </c>
    </row>
    <row r="25" spans="1:8" x14ac:dyDescent="0.3">
      <c r="A25" t="s">
        <v>26</v>
      </c>
      <c r="C25">
        <v>40</v>
      </c>
    </row>
    <row r="26" spans="1:8" x14ac:dyDescent="0.3">
      <c r="C26" s="1"/>
    </row>
    <row r="28" spans="1:8" x14ac:dyDescent="0.3">
      <c r="C28" s="2"/>
      <c r="D28" s="1"/>
    </row>
    <row r="29" spans="1:8" x14ac:dyDescent="0.3">
      <c r="C29" s="1"/>
    </row>
    <row r="30" spans="1:8" x14ac:dyDescent="0.3">
      <c r="C30" s="1"/>
    </row>
    <row r="32" spans="1:8" x14ac:dyDescent="0.3">
      <c r="C32" s="1"/>
      <c r="D32" s="3"/>
    </row>
    <row r="33" spans="3:4" x14ac:dyDescent="0.3">
      <c r="C33" s="1"/>
      <c r="D33" s="3"/>
    </row>
    <row r="35" spans="3:4" x14ac:dyDescent="0.3">
      <c r="C35" s="1"/>
    </row>
    <row r="36" spans="3:4" x14ac:dyDescent="0.3">
      <c r="C36" s="1"/>
    </row>
    <row r="37" spans="3:4" x14ac:dyDescent="0.3">
      <c r="C37" s="2"/>
      <c r="D37" s="3"/>
    </row>
    <row r="38" spans="3:4" x14ac:dyDescent="0.3">
      <c r="C38" s="1"/>
    </row>
    <row r="39" spans="3:4" x14ac:dyDescent="0.3">
      <c r="C39" s="2"/>
    </row>
    <row r="41" spans="3:4" x14ac:dyDescent="0.3">
      <c r="C41" s="1"/>
    </row>
    <row r="43" spans="3:4" x14ac:dyDescent="0.3">
      <c r="C43" s="2"/>
      <c r="D43" s="1"/>
    </row>
    <row r="44" spans="3:4" x14ac:dyDescent="0.3">
      <c r="C44" s="1"/>
    </row>
    <row r="45" spans="3:4" x14ac:dyDescent="0.3">
      <c r="C45" s="1"/>
    </row>
    <row r="47" spans="3:4" x14ac:dyDescent="0.3">
      <c r="C47" s="1"/>
      <c r="D47" s="3"/>
    </row>
    <row r="48" spans="3:4" x14ac:dyDescent="0.3">
      <c r="C48" s="1"/>
      <c r="D48" s="3"/>
    </row>
    <row r="50" spans="3:4" x14ac:dyDescent="0.3">
      <c r="C50" s="1"/>
    </row>
    <row r="51" spans="3:4" x14ac:dyDescent="0.3">
      <c r="C51" s="1"/>
    </row>
    <row r="52" spans="3:4" x14ac:dyDescent="0.3">
      <c r="C52" s="2"/>
      <c r="D52" s="3"/>
    </row>
    <row r="53" spans="3:4" x14ac:dyDescent="0.3">
      <c r="C53" s="1"/>
    </row>
    <row r="54" spans="3:4" x14ac:dyDescent="0.3">
      <c r="C54" s="2"/>
    </row>
  </sheetData>
  <mergeCells count="3">
    <mergeCell ref="C3:D3"/>
    <mergeCell ref="E3:F3"/>
    <mergeCell ref="G3:H3"/>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F51DB-1D73-419F-B3A8-EBA1E13C7448}">
  <dimension ref="A2:M17"/>
  <sheetViews>
    <sheetView workbookViewId="0">
      <selection activeCell="K21" sqref="K21"/>
    </sheetView>
  </sheetViews>
  <sheetFormatPr baseColWidth="10" defaultRowHeight="14.4" x14ac:dyDescent="0.3"/>
  <cols>
    <col min="1" max="1" width="26.21875" customWidth="1"/>
    <col min="8" max="8" width="20.44140625" customWidth="1"/>
    <col min="9" max="9" width="15.88671875" customWidth="1"/>
  </cols>
  <sheetData>
    <row r="2" spans="1:13" x14ac:dyDescent="0.3">
      <c r="A2" t="s">
        <v>30</v>
      </c>
      <c r="H2" t="s">
        <v>41</v>
      </c>
    </row>
    <row r="4" spans="1:13" x14ac:dyDescent="0.3">
      <c r="B4" t="s">
        <v>31</v>
      </c>
      <c r="C4" t="s">
        <v>33</v>
      </c>
      <c r="D4" t="s">
        <v>34</v>
      </c>
      <c r="E4" t="s">
        <v>35</v>
      </c>
      <c r="F4" t="s">
        <v>36</v>
      </c>
      <c r="I4" t="s">
        <v>43</v>
      </c>
      <c r="J4" t="s">
        <v>33</v>
      </c>
      <c r="K4" t="s">
        <v>34</v>
      </c>
      <c r="L4" t="s">
        <v>35</v>
      </c>
      <c r="M4" t="s">
        <v>36</v>
      </c>
    </row>
    <row r="5" spans="1:13" x14ac:dyDescent="0.3">
      <c r="A5" t="s">
        <v>32</v>
      </c>
      <c r="B5" s="1">
        <v>-55000</v>
      </c>
      <c r="H5" t="s">
        <v>42</v>
      </c>
      <c r="J5" s="1">
        <f>-1500*12</f>
        <v>-18000</v>
      </c>
      <c r="K5" s="1">
        <f t="shared" ref="K5:L5" si="0">-1500*12</f>
        <v>-18000</v>
      </c>
      <c r="L5" s="1">
        <f t="shared" si="0"/>
        <v>-18000</v>
      </c>
      <c r="M5" s="1">
        <f>-1500*12</f>
        <v>-18000</v>
      </c>
    </row>
    <row r="6" spans="1:13" x14ac:dyDescent="0.3">
      <c r="A6" t="s">
        <v>37</v>
      </c>
      <c r="C6" s="1">
        <v>-1800</v>
      </c>
      <c r="D6" s="1">
        <v>-1800</v>
      </c>
      <c r="E6" s="1">
        <v>-1800</v>
      </c>
      <c r="F6" s="1">
        <v>-1800</v>
      </c>
      <c r="H6" t="s">
        <v>44</v>
      </c>
      <c r="I6" s="1">
        <v>-800</v>
      </c>
    </row>
    <row r="7" spans="1:13" x14ac:dyDescent="0.3">
      <c r="A7" t="s">
        <v>38</v>
      </c>
      <c r="F7" s="1">
        <v>5000</v>
      </c>
      <c r="H7" t="s">
        <v>40</v>
      </c>
      <c r="I7" s="3">
        <f>SUM(I5:I6)</f>
        <v>-800</v>
      </c>
      <c r="J7" s="3">
        <f>SUM(J5:J6)</f>
        <v>-18000</v>
      </c>
      <c r="K7" s="3">
        <f t="shared" ref="K7:M7" si="1">SUM(K5:K6)</f>
        <v>-18000</v>
      </c>
      <c r="L7" s="3">
        <f t="shared" si="1"/>
        <v>-18000</v>
      </c>
      <c r="M7" s="3">
        <f t="shared" si="1"/>
        <v>-18000</v>
      </c>
    </row>
    <row r="8" spans="1:13" x14ac:dyDescent="0.3">
      <c r="A8" t="s">
        <v>40</v>
      </c>
      <c r="C8" s="3">
        <f>+SUM(C6:C7)</f>
        <v>-1800</v>
      </c>
      <c r="D8" s="3">
        <f t="shared" ref="D8:F8" si="2">+SUM(D6:D7)</f>
        <v>-1800</v>
      </c>
      <c r="E8" s="3">
        <f t="shared" si="2"/>
        <v>-1800</v>
      </c>
      <c r="F8" s="3">
        <f t="shared" si="2"/>
        <v>3200</v>
      </c>
    </row>
    <row r="9" spans="1:13" x14ac:dyDescent="0.3">
      <c r="A9" t="s">
        <v>39</v>
      </c>
      <c r="B9" s="8">
        <f>+NPV(B15,C8:F9)+B5</f>
        <v>-57289.369723370088</v>
      </c>
      <c r="H9" s="8">
        <f>PV(B16,48,1500,0,1)+I6</f>
        <v>-72800</v>
      </c>
    </row>
    <row r="10" spans="1:13" x14ac:dyDescent="0.3">
      <c r="H10" s="8"/>
    </row>
    <row r="11" spans="1:13" x14ac:dyDescent="0.3">
      <c r="H11" t="s">
        <v>46</v>
      </c>
    </row>
    <row r="12" spans="1:13" x14ac:dyDescent="0.3">
      <c r="H12" t="s">
        <v>47</v>
      </c>
    </row>
    <row r="15" spans="1:13" x14ac:dyDescent="0.3">
      <c r="A15" t="s">
        <v>29</v>
      </c>
      <c r="B15" s="7">
        <v>0.09</v>
      </c>
    </row>
    <row r="16" spans="1:13" x14ac:dyDescent="0.3">
      <c r="B16" s="9"/>
    </row>
    <row r="17" spans="1:1" x14ac:dyDescent="0.3">
      <c r="A17" t="s">
        <v>45</v>
      </c>
    </row>
  </sheetData>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Établissement de prix de l'Exma</vt:lpstr>
      <vt:lpstr>Décision sur le matériel speco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SOKRI Marzouk</dc:creator>
  <cp:lastModifiedBy>SOKRI Marzouk</cp:lastModifiedBy>
  <dcterms:created xsi:type="dcterms:W3CDTF">2025-06-27T01:09:49Z</dcterms:created>
  <dcterms:modified xsi:type="dcterms:W3CDTF">2025-06-27T23:48:38Z</dcterms:modified>
</cp:coreProperties>
</file>