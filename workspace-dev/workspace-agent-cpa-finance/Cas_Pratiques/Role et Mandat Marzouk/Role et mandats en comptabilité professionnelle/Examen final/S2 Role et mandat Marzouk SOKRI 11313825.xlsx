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ca8937e5be247ac/Bureau/"/>
    </mc:Choice>
  </mc:AlternateContent>
  <xr:revisionPtr revIDLastSave="177" documentId="11_AD4D9D64A577C15A4A541854901A68085BDEDD8D" xr6:coauthVersionLast="47" xr6:coauthVersionMax="47" xr10:uidLastSave="{11888073-8EED-4A39-BA0D-F396F131453A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3" i="1"/>
  <c r="C42" i="1"/>
  <c r="B36" i="1"/>
  <c r="B23" i="1"/>
  <c r="B37" i="1" s="1"/>
  <c r="B39" i="1" s="1"/>
  <c r="F52" i="1"/>
  <c r="F50" i="1"/>
  <c r="B28" i="1"/>
  <c r="G35" i="1"/>
  <c r="G32" i="1"/>
  <c r="G20" i="1"/>
  <c r="G16" i="1"/>
  <c r="F16" i="1"/>
  <c r="G13" i="1"/>
  <c r="G11" i="1"/>
  <c r="F11" i="1"/>
  <c r="G6" i="1"/>
  <c r="F6" i="1"/>
  <c r="G10" i="1"/>
  <c r="F10" i="1"/>
  <c r="G9" i="1"/>
  <c r="F9" i="1"/>
  <c r="G5" i="1"/>
  <c r="G4" i="1"/>
  <c r="F4" i="1"/>
  <c r="C11" i="1"/>
  <c r="C16" i="1" s="1"/>
  <c r="C3" i="1"/>
  <c r="C10" i="1"/>
  <c r="C9" i="1"/>
  <c r="C8" i="1"/>
</calcChain>
</file>

<file path=xl/sharedStrings.xml><?xml version="1.0" encoding="utf-8"?>
<sst xmlns="http://schemas.openxmlformats.org/spreadsheetml/2006/main" count="68" uniqueCount="60">
  <si>
    <t>Livre imprimé</t>
  </si>
  <si>
    <t xml:space="preserve">Prix de vente </t>
  </si>
  <si>
    <t>Volume ventes</t>
  </si>
  <si>
    <t>Déataillant</t>
  </si>
  <si>
    <t>Éditeur</t>
  </si>
  <si>
    <t>Cout fixes</t>
  </si>
  <si>
    <t>Couts varaibels</t>
  </si>
  <si>
    <t>somme distribiteur</t>
  </si>
  <si>
    <t>Somme l'imprimeur</t>
  </si>
  <si>
    <t>imprimeur</t>
  </si>
  <si>
    <t>Revenu</t>
  </si>
  <si>
    <t>MCV</t>
  </si>
  <si>
    <t>Livre numérique</t>
  </si>
  <si>
    <t>Prix de vente</t>
  </si>
  <si>
    <t>avec 40%</t>
  </si>
  <si>
    <t>Avec 30%</t>
  </si>
  <si>
    <t>Bénéfice globale</t>
  </si>
  <si>
    <t>Cout varaible</t>
  </si>
  <si>
    <t>Commission média élec</t>
  </si>
  <si>
    <t xml:space="preserve">Couts fixes </t>
  </si>
  <si>
    <t>honoraires fixe</t>
  </si>
  <si>
    <t xml:space="preserve">surplus </t>
  </si>
  <si>
    <t>Produit 2024</t>
  </si>
  <si>
    <t xml:space="preserve">Charges </t>
  </si>
  <si>
    <t xml:space="preserve">Frais au salon de bébé a New york </t>
  </si>
  <si>
    <t xml:space="preserve">car les déepense personnelles sont pas déductible de RN </t>
  </si>
  <si>
    <t xml:space="preserve">Achat de nouveau matériel </t>
  </si>
  <si>
    <t xml:space="preserve">non déductible car une dépense en capital </t>
  </si>
  <si>
    <t xml:space="preserve">Amoritssement matériel </t>
  </si>
  <si>
    <t>note 1</t>
  </si>
  <si>
    <t>Achat 2024</t>
  </si>
  <si>
    <t>DPA</t>
  </si>
  <si>
    <t xml:space="preserve">en prend pas en considéraion la régle de demi taux </t>
  </si>
  <si>
    <t>Achat 2023</t>
  </si>
  <si>
    <t>Monteur vidéo</t>
  </si>
  <si>
    <t xml:space="preserve">Salaire assisats </t>
  </si>
  <si>
    <t xml:space="preserve">Frais de bureau a domicile </t>
  </si>
  <si>
    <t xml:space="preserve">Frasi automobile personnelle </t>
  </si>
  <si>
    <t xml:space="preserve">Il faut avoir les km parcouru a titre </t>
  </si>
  <si>
    <t xml:space="preserve">personnelle dans cas j'ai fais </t>
  </si>
  <si>
    <t xml:space="preserve">hypothese que tous les KM sont a des fin </t>
  </si>
  <si>
    <t>d'emploi</t>
  </si>
  <si>
    <t>Frais publicité</t>
  </si>
  <si>
    <t xml:space="preserve">salaire de FAIza </t>
  </si>
  <si>
    <t xml:space="preserve">lesalire de FAIza a ne pas inclure dans le calucl car n'est </t>
  </si>
  <si>
    <t xml:space="preserve">déductible car est une entreprise indivudeulle </t>
  </si>
  <si>
    <t xml:space="preserve">BIIA </t>
  </si>
  <si>
    <t xml:space="preserve">non déductible pour les interet et les service publiques </t>
  </si>
  <si>
    <t xml:space="preserve">40% de bénéfice </t>
  </si>
  <si>
    <t xml:space="preserve">Mutiple de BIIA </t>
  </si>
  <si>
    <t xml:space="preserve">Valeur40% de l'Entreprise </t>
  </si>
  <si>
    <t xml:space="preserve">Valeur de la chaine avec la valeur de l'Abonée </t>
  </si>
  <si>
    <t xml:space="preserve">Valuer de 40% </t>
  </si>
  <si>
    <t>Note 2</t>
  </si>
  <si>
    <t xml:space="preserve">Vue de la vidéo de la fille </t>
  </si>
  <si>
    <t xml:space="preserve">Nombre abonée </t>
  </si>
  <si>
    <t xml:space="preserve">Revenu de la vidéo de la fille </t>
  </si>
  <si>
    <t xml:space="preserve">car est un revenu non recurrent c'est exceptionnel </t>
  </si>
  <si>
    <t xml:space="preserve">Revenu redresser </t>
  </si>
  <si>
    <t xml:space="preserve">la valeur moyenne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</si>
</sst>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_)\ _$_ ;_ * \(#,##0.00\)\ _$_ ;_ * &quot;-&quot;??_)\ _$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43" fontId="0" fillId="2" borderId="0" xfId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2"/>
  <sheetViews>
    <sheetView tabSelected="1" topLeftCell="A22" workbookViewId="0">
      <selection activeCell="C47" sqref="C47"/>
    </sheetView>
  </sheetViews>
  <sheetFormatPr baseColWidth="10" defaultColWidth="8.88671875" defaultRowHeight="14.4" x14ac:dyDescent="0.3"/>
  <cols>
    <col min="1" max="1" width="30.109375" customWidth="1"/>
    <col min="2" max="2" width="20.88671875" customWidth="1"/>
    <col min="3" max="3" width="12.77734375" style="1" bestFit="1" customWidth="1"/>
    <col min="5" max="5" width="36.88671875" customWidth="1"/>
    <col min="6" max="6" width="14" bestFit="1" customWidth="1"/>
    <col min="7" max="7" width="12.77734375" bestFit="1" customWidth="1"/>
  </cols>
  <sheetData>
    <row r="2" spans="1:7" x14ac:dyDescent="0.3">
      <c r="A2" t="s">
        <v>0</v>
      </c>
      <c r="F2" t="s">
        <v>12</v>
      </c>
    </row>
    <row r="3" spans="1:7" x14ac:dyDescent="0.3">
      <c r="B3" t="s">
        <v>10</v>
      </c>
      <c r="C3" s="1">
        <f>+C4*C5</f>
        <v>1000000</v>
      </c>
      <c r="F3" t="s">
        <v>14</v>
      </c>
      <c r="G3" t="s">
        <v>15</v>
      </c>
    </row>
    <row r="4" spans="1:7" x14ac:dyDescent="0.3">
      <c r="B4" t="s">
        <v>1</v>
      </c>
      <c r="C4" s="1">
        <v>25</v>
      </c>
      <c r="E4" t="s">
        <v>13</v>
      </c>
      <c r="F4" s="1">
        <f>+C4*0.4</f>
        <v>10</v>
      </c>
      <c r="G4" s="1">
        <f>+C4*0.3</f>
        <v>7.5</v>
      </c>
    </row>
    <row r="5" spans="1:7" x14ac:dyDescent="0.3">
      <c r="B5" t="s">
        <v>2</v>
      </c>
      <c r="C5" s="1">
        <v>40000</v>
      </c>
      <c r="E5" t="s">
        <v>2</v>
      </c>
      <c r="F5" s="1">
        <v>40000</v>
      </c>
      <c r="G5" s="2">
        <f>+F5+20000</f>
        <v>60000</v>
      </c>
    </row>
    <row r="6" spans="1:7" x14ac:dyDescent="0.3">
      <c r="E6" t="s">
        <v>10</v>
      </c>
      <c r="F6" s="3">
        <f>+F5*F4</f>
        <v>400000</v>
      </c>
      <c r="G6" s="3">
        <f>+G5*G4</f>
        <v>450000</v>
      </c>
    </row>
    <row r="7" spans="1:7" x14ac:dyDescent="0.3">
      <c r="A7" t="s">
        <v>6</v>
      </c>
      <c r="E7" t="s">
        <v>17</v>
      </c>
    </row>
    <row r="8" spans="1:7" x14ac:dyDescent="0.3">
      <c r="B8" t="s">
        <v>3</v>
      </c>
      <c r="C8" s="1">
        <f>0.5*C4*C5</f>
        <v>500000</v>
      </c>
    </row>
    <row r="9" spans="1:7" x14ac:dyDescent="0.3">
      <c r="B9" t="s">
        <v>4</v>
      </c>
      <c r="C9" s="1">
        <f>7*C5</f>
        <v>280000</v>
      </c>
      <c r="E9" t="s">
        <v>4</v>
      </c>
      <c r="F9" s="1">
        <f>0.55*F4*F5</f>
        <v>220000</v>
      </c>
      <c r="G9" s="1">
        <f>0.55*G4*G5</f>
        <v>247500</v>
      </c>
    </row>
    <row r="10" spans="1:7" x14ac:dyDescent="0.3">
      <c r="B10" t="s">
        <v>9</v>
      </c>
      <c r="C10" s="1">
        <f>2*C5</f>
        <v>80000</v>
      </c>
      <c r="E10" t="s">
        <v>18</v>
      </c>
      <c r="F10" s="3">
        <f>1*F5</f>
        <v>40000</v>
      </c>
      <c r="G10" s="3">
        <f>1*G5</f>
        <v>60000</v>
      </c>
    </row>
    <row r="11" spans="1:7" x14ac:dyDescent="0.3">
      <c r="B11" t="s">
        <v>11</v>
      </c>
      <c r="C11" s="1">
        <f>+C3-C8-C9-C10</f>
        <v>140000</v>
      </c>
      <c r="E11" t="s">
        <v>11</v>
      </c>
      <c r="F11" s="3">
        <f>+F6-F9-F10</f>
        <v>140000</v>
      </c>
      <c r="G11" s="3">
        <f>+G6-G9-G10</f>
        <v>142500</v>
      </c>
    </row>
    <row r="12" spans="1:7" x14ac:dyDescent="0.3">
      <c r="A12" t="s">
        <v>5</v>
      </c>
      <c r="E12" t="s">
        <v>19</v>
      </c>
    </row>
    <row r="13" spans="1:7" x14ac:dyDescent="0.3">
      <c r="B13" t="s">
        <v>7</v>
      </c>
      <c r="C13" s="1">
        <v>12000</v>
      </c>
      <c r="E13" t="s">
        <v>20</v>
      </c>
      <c r="F13" s="1">
        <v>20000</v>
      </c>
      <c r="G13" s="2">
        <f>+F13</f>
        <v>20000</v>
      </c>
    </row>
    <row r="14" spans="1:7" x14ac:dyDescent="0.3">
      <c r="B14" t="s">
        <v>8</v>
      </c>
      <c r="C14" s="1">
        <v>3000</v>
      </c>
    </row>
    <row r="16" spans="1:7" x14ac:dyDescent="0.3">
      <c r="A16" t="s">
        <v>16</v>
      </c>
      <c r="C16" s="1">
        <f>+C11-C13-C14</f>
        <v>125000</v>
      </c>
      <c r="E16" t="s">
        <v>16</v>
      </c>
      <c r="F16" s="3">
        <f>+F11-F13</f>
        <v>120000</v>
      </c>
      <c r="G16" s="3">
        <f>+G11-G13</f>
        <v>122500</v>
      </c>
    </row>
    <row r="20" spans="1:8" x14ac:dyDescent="0.3">
      <c r="F20" t="s">
        <v>21</v>
      </c>
      <c r="G20" s="3">
        <f>+C16-G16</f>
        <v>2500</v>
      </c>
    </row>
    <row r="23" spans="1:8" x14ac:dyDescent="0.3">
      <c r="A23" t="s">
        <v>22</v>
      </c>
      <c r="B23" s="1">
        <f>+F52</f>
        <v>200000</v>
      </c>
      <c r="C23" s="1" t="s">
        <v>53</v>
      </c>
    </row>
    <row r="24" spans="1:8" x14ac:dyDescent="0.3">
      <c r="B24" s="1"/>
    </row>
    <row r="25" spans="1:8" x14ac:dyDescent="0.3">
      <c r="A25" t="s">
        <v>23</v>
      </c>
      <c r="B25" s="1"/>
    </row>
    <row r="26" spans="1:8" x14ac:dyDescent="0.3">
      <c r="A26" t="s">
        <v>24</v>
      </c>
      <c r="B26" s="1">
        <v>3000</v>
      </c>
      <c r="C26" s="1" t="s">
        <v>25</v>
      </c>
    </row>
    <row r="27" spans="1:8" x14ac:dyDescent="0.3">
      <c r="A27" t="s">
        <v>26</v>
      </c>
      <c r="B27" s="1"/>
      <c r="C27" s="1" t="s">
        <v>27</v>
      </c>
    </row>
    <row r="28" spans="1:8" x14ac:dyDescent="0.3">
      <c r="A28" t="s">
        <v>28</v>
      </c>
      <c r="B28" s="1">
        <f>+G32+G35</f>
        <v>1280</v>
      </c>
      <c r="C28" s="1" t="s">
        <v>29</v>
      </c>
    </row>
    <row r="29" spans="1:8" x14ac:dyDescent="0.3">
      <c r="A29" t="s">
        <v>34</v>
      </c>
      <c r="B29" s="1">
        <v>28500</v>
      </c>
    </row>
    <row r="30" spans="1:8" x14ac:dyDescent="0.3">
      <c r="A30" t="s">
        <v>35</v>
      </c>
      <c r="B30" s="1">
        <v>10000</v>
      </c>
      <c r="F30" t="s">
        <v>29</v>
      </c>
    </row>
    <row r="31" spans="1:8" x14ac:dyDescent="0.3">
      <c r="A31" t="s">
        <v>36</v>
      </c>
      <c r="B31" s="1"/>
      <c r="C31" s="1" t="s">
        <v>47</v>
      </c>
      <c r="F31" t="s">
        <v>30</v>
      </c>
      <c r="G31" s="1">
        <v>12500</v>
      </c>
    </row>
    <row r="32" spans="1:8" x14ac:dyDescent="0.3">
      <c r="A32" t="s">
        <v>37</v>
      </c>
      <c r="B32" s="1">
        <v>7000</v>
      </c>
      <c r="C32" s="1" t="s">
        <v>38</v>
      </c>
      <c r="F32" t="s">
        <v>31</v>
      </c>
      <c r="G32" s="1">
        <f>+G31*0.08</f>
        <v>1000</v>
      </c>
      <c r="H32" t="s">
        <v>32</v>
      </c>
    </row>
    <row r="33" spans="1:8" x14ac:dyDescent="0.3">
      <c r="A33" t="s">
        <v>42</v>
      </c>
      <c r="B33" s="1">
        <v>1000</v>
      </c>
      <c r="C33" s="1" t="s">
        <v>39</v>
      </c>
    </row>
    <row r="34" spans="1:8" x14ac:dyDescent="0.3">
      <c r="A34" t="s">
        <v>43</v>
      </c>
      <c r="C34" s="1" t="s">
        <v>40</v>
      </c>
      <c r="F34" t="s">
        <v>33</v>
      </c>
      <c r="G34" s="1">
        <v>3500</v>
      </c>
    </row>
    <row r="35" spans="1:8" x14ac:dyDescent="0.3">
      <c r="C35" s="1" t="s">
        <v>41</v>
      </c>
      <c r="F35" t="s">
        <v>31</v>
      </c>
      <c r="G35" s="1">
        <f>+G34*0.08</f>
        <v>280</v>
      </c>
    </row>
    <row r="36" spans="1:8" x14ac:dyDescent="0.3">
      <c r="A36" t="s">
        <v>46</v>
      </c>
      <c r="B36" s="1">
        <f>+B23-B26-B29-B30-B32-B33</f>
        <v>150500</v>
      </c>
    </row>
    <row r="37" spans="1:8" x14ac:dyDescent="0.3">
      <c r="A37" t="s">
        <v>48</v>
      </c>
      <c r="B37" s="1">
        <f>+B36*0.4</f>
        <v>60200</v>
      </c>
      <c r="H37" t="s">
        <v>44</v>
      </c>
    </row>
    <row r="38" spans="1:8" x14ac:dyDescent="0.3">
      <c r="A38" t="s">
        <v>49</v>
      </c>
      <c r="B38" s="1">
        <v>5</v>
      </c>
      <c r="H38" t="s">
        <v>45</v>
      </c>
    </row>
    <row r="39" spans="1:8" x14ac:dyDescent="0.3">
      <c r="A39" t="s">
        <v>50</v>
      </c>
      <c r="B39" s="4">
        <f>+B37*B38</f>
        <v>301000</v>
      </c>
    </row>
    <row r="42" spans="1:8" x14ac:dyDescent="0.3">
      <c r="A42" t="s">
        <v>51</v>
      </c>
      <c r="C42" s="1">
        <f>4*90000</f>
        <v>360000</v>
      </c>
    </row>
    <row r="43" spans="1:8" x14ac:dyDescent="0.3">
      <c r="A43" t="s">
        <v>52</v>
      </c>
      <c r="C43" s="5">
        <f>+C42*0.4</f>
        <v>144000</v>
      </c>
    </row>
    <row r="46" spans="1:8" x14ac:dyDescent="0.3">
      <c r="A46" t="s">
        <v>59</v>
      </c>
      <c r="C46" s="1">
        <f>+(B39+C43)/2</f>
        <v>222500</v>
      </c>
    </row>
    <row r="47" spans="1:8" x14ac:dyDescent="0.3">
      <c r="E47" t="s">
        <v>53</v>
      </c>
    </row>
    <row r="48" spans="1:8" x14ac:dyDescent="0.3">
      <c r="E48" t="s">
        <v>54</v>
      </c>
      <c r="F48" s="1">
        <v>10000000</v>
      </c>
    </row>
    <row r="49" spans="5:7" x14ac:dyDescent="0.3">
      <c r="E49" t="s">
        <v>55</v>
      </c>
      <c r="F49" s="1">
        <v>90000</v>
      </c>
    </row>
    <row r="50" spans="5:7" x14ac:dyDescent="0.3">
      <c r="E50" t="s">
        <v>56</v>
      </c>
      <c r="F50" s="1">
        <f>+F48*0.007</f>
        <v>70000</v>
      </c>
      <c r="G50" t="s">
        <v>57</v>
      </c>
    </row>
    <row r="52" spans="5:7" x14ac:dyDescent="0.3">
      <c r="E52" t="s">
        <v>58</v>
      </c>
      <c r="F52" s="3">
        <f>270000-F50</f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2025-07-02T15:38:03Z</dcterms:modified>
</cp:coreProperties>
</file>