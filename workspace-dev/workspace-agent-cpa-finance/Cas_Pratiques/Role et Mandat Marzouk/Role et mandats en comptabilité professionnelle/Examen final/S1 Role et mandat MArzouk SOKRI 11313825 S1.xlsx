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bca8937e5be247ac/Bureau/"/>
    </mc:Choice>
  </mc:AlternateContent>
  <xr:revisionPtr revIDLastSave="204" documentId="11_AD4D9D64A577C15A4A541854901A68085BDEDD8D" xr6:coauthVersionLast="47" xr6:coauthVersionMax="47" xr10:uidLastSave="{DC7D448B-0716-48AB-8386-8B368C086D54}"/>
  <bookViews>
    <workbookView xWindow="-108" yWindow="-108" windowWidth="23256" windowHeight="13896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7" i="1" l="1"/>
  <c r="D32" i="1"/>
  <c r="E32" i="1"/>
  <c r="F32" i="1"/>
  <c r="G32" i="1"/>
  <c r="H32" i="1"/>
  <c r="I32" i="1"/>
  <c r="J32" i="1"/>
  <c r="J35" i="1" s="1"/>
  <c r="C32" i="1"/>
  <c r="C35" i="1" s="1"/>
  <c r="D35" i="1"/>
  <c r="E35" i="1"/>
  <c r="F35" i="1"/>
  <c r="G35" i="1"/>
  <c r="H35" i="1"/>
  <c r="I35" i="1"/>
  <c r="B35" i="1"/>
  <c r="D33" i="1"/>
  <c r="E33" i="1"/>
  <c r="F33" i="1"/>
  <c r="G33" i="1"/>
  <c r="H33" i="1"/>
  <c r="I33" i="1"/>
  <c r="J33" i="1"/>
  <c r="C33" i="1"/>
  <c r="C27" i="1"/>
  <c r="D27" i="1" s="1"/>
  <c r="E27" i="1" s="1"/>
  <c r="F27" i="1" s="1"/>
  <c r="G27" i="1" s="1"/>
  <c r="H27" i="1" s="1"/>
  <c r="I27" i="1" s="1"/>
  <c r="J27" i="1" s="1"/>
  <c r="G20" i="1"/>
  <c r="G18" i="1"/>
  <c r="D13" i="1" s="1"/>
  <c r="M7" i="1"/>
  <c r="D10" i="1" s="1"/>
  <c r="D9" i="1" s="1"/>
  <c r="D8" i="1"/>
  <c r="D7" i="1"/>
  <c r="D6" i="1"/>
  <c r="C8" i="1"/>
  <c r="C7" i="1"/>
  <c r="C6" i="1"/>
  <c r="B8" i="1"/>
  <c r="B7" i="1"/>
  <c r="B6" i="1"/>
  <c r="B13" i="1" l="1"/>
  <c r="C13" i="1"/>
  <c r="B10" i="1"/>
  <c r="C10" i="1"/>
  <c r="C9" i="1" l="1"/>
  <c r="E10" i="1"/>
  <c r="B9" i="1"/>
  <c r="F14" i="1" l="1"/>
  <c r="F17" i="1"/>
  <c r="G19" i="1"/>
  <c r="D11" i="1"/>
  <c r="C11" i="1"/>
  <c r="B11" i="1"/>
  <c r="D14" i="1" l="1"/>
  <c r="B14" i="1"/>
  <c r="C14" i="1"/>
  <c r="B12" i="1"/>
  <c r="B15" i="1" s="1"/>
  <c r="B17" i="1" s="1"/>
  <c r="D12" i="1"/>
  <c r="D15" i="1" s="1"/>
  <c r="D17" i="1" s="1"/>
  <c r="C12" i="1"/>
  <c r="C15" i="1" s="1"/>
  <c r="C17" i="1" s="1"/>
</calcChain>
</file>

<file path=xl/sharedStrings.xml><?xml version="1.0" encoding="utf-8"?>
<sst xmlns="http://schemas.openxmlformats.org/spreadsheetml/2006/main" count="54" uniqueCount="54">
  <si>
    <t xml:space="preserve">Calcul le cout des projets </t>
  </si>
  <si>
    <t>MP</t>
  </si>
  <si>
    <t>Projet 1236</t>
  </si>
  <si>
    <t>Projet 1245</t>
  </si>
  <si>
    <t>Projet 1246</t>
  </si>
  <si>
    <t>MOD</t>
  </si>
  <si>
    <t>A 3</t>
  </si>
  <si>
    <t>A2</t>
  </si>
  <si>
    <t>A1</t>
  </si>
  <si>
    <t>Taux horaire</t>
  </si>
  <si>
    <t xml:space="preserve">Ratio heure macahine </t>
  </si>
  <si>
    <t>HM</t>
  </si>
  <si>
    <t>HMDO</t>
  </si>
  <si>
    <t>Salaires superviseur</t>
  </si>
  <si>
    <t xml:space="preserve">3 superviseurs </t>
  </si>
  <si>
    <t>pour les superviseurs comme sont résponable de régalge des machine donc</t>
  </si>
  <si>
    <t xml:space="preserve">on répartit leurs salaire selon les HM </t>
  </si>
  <si>
    <t xml:space="preserve">on a les heures machine annuelle est de </t>
  </si>
  <si>
    <t>Le taux pour les suprviseurs:</t>
  </si>
  <si>
    <t>Cout maintenance et service publique</t>
  </si>
  <si>
    <t>le taux Maintenane et service publique:</t>
  </si>
  <si>
    <t>Taxe fonciere</t>
  </si>
  <si>
    <t xml:space="preserve">Taxe fonciere </t>
  </si>
  <si>
    <t xml:space="preserve">Taux Amortissement </t>
  </si>
  <si>
    <t>Amortissment</t>
  </si>
  <si>
    <t>Taux interet crédieur</t>
  </si>
  <si>
    <t xml:space="preserve">Cout complet </t>
  </si>
  <si>
    <t>Prix proposé</t>
  </si>
  <si>
    <t xml:space="preserve">Marge </t>
  </si>
  <si>
    <t xml:space="preserve">Achat de la machine </t>
  </si>
  <si>
    <t>Année 0</t>
  </si>
  <si>
    <t>Année 1</t>
  </si>
  <si>
    <t>Année 2</t>
  </si>
  <si>
    <t>Année 3</t>
  </si>
  <si>
    <t>Année 4</t>
  </si>
  <si>
    <t>Année 5</t>
  </si>
  <si>
    <t>Année 6</t>
  </si>
  <si>
    <t>Année 7</t>
  </si>
  <si>
    <t>Année 8</t>
  </si>
  <si>
    <t xml:space="preserve">Cout de la machine </t>
  </si>
  <si>
    <t xml:space="preserve">Frais installation </t>
  </si>
  <si>
    <t>hyôthese on garde le meme nombre de projet pour les année a venir</t>
  </si>
  <si>
    <t xml:space="preserve">CE que économiser de FRS </t>
  </si>
  <si>
    <t>Les débourser</t>
  </si>
  <si>
    <t xml:space="preserve">Opérateur a temps plein </t>
  </si>
  <si>
    <t>Cout entretien annuel</t>
  </si>
  <si>
    <t>Électricié</t>
  </si>
  <si>
    <t>Transport a l'usine</t>
  </si>
  <si>
    <t xml:space="preserve">Salaire deux mantentionnaires </t>
  </si>
  <si>
    <t>Camion</t>
  </si>
  <si>
    <t>FDT</t>
  </si>
  <si>
    <t>VAN</t>
  </si>
  <si>
    <t>I</t>
  </si>
  <si>
    <t xml:space="preserve">le bailleur de fond principle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</si>
</sst>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)_ ;_ * \(#,##0.00\)_ ;_ * &quot;-&quot;??_)_ ;_ @_ "/>
    <numFmt numFmtId="164" formatCode="_ * #,##0.00_)\ _$_ ;_ * \(#,##0.00\)\ _$_ ;_ * &quot;-&quot;??_)\ _$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43" fontId="0" fillId="0" borderId="0" xfId="1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/>
    <xf numFmtId="12" fontId="0" fillId="0" borderId="0" xfId="1" applyNumberFormat="1" applyFont="1"/>
    <xf numFmtId="43" fontId="0" fillId="0" borderId="0" xfId="0" applyNumberFormat="1"/>
    <xf numFmtId="9" fontId="0" fillId="0" borderId="0" xfId="1" applyNumberFormat="1" applyFont="1"/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38"/>
  <sheetViews>
    <sheetView tabSelected="1" topLeftCell="A16" workbookViewId="0">
      <selection activeCell="B37" sqref="B37"/>
    </sheetView>
  </sheetViews>
  <sheetFormatPr baseColWidth="10" defaultColWidth="8.88671875" defaultRowHeight="14.4" x14ac:dyDescent="0.3"/>
  <cols>
    <col min="1" max="1" width="31.88671875" bestFit="1" customWidth="1"/>
    <col min="2" max="2" width="12.44140625" style="1" customWidth="1"/>
    <col min="3" max="3" width="11.77734375" bestFit="1" customWidth="1"/>
    <col min="4" max="4" width="18.5546875" customWidth="1"/>
    <col min="5" max="5" width="11.88671875" bestFit="1" customWidth="1"/>
    <col min="6" max="6" width="19.109375" customWidth="1"/>
    <col min="7" max="9" width="11.33203125" bestFit="1" customWidth="1"/>
    <col min="10" max="10" width="11.88671875" bestFit="1" customWidth="1"/>
    <col min="11" max="11" width="9.33203125" customWidth="1"/>
    <col min="16" max="16" width="11.33203125" bestFit="1" customWidth="1"/>
  </cols>
  <sheetData>
    <row r="2" spans="1:16" x14ac:dyDescent="0.3">
      <c r="A2" t="s">
        <v>0</v>
      </c>
    </row>
    <row r="3" spans="1:16" x14ac:dyDescent="0.3">
      <c r="H3" s="2" t="s">
        <v>9</v>
      </c>
      <c r="I3" s="2"/>
      <c r="J3" s="2"/>
    </row>
    <row r="4" spans="1:16" x14ac:dyDescent="0.3">
      <c r="B4" s="1" t="s">
        <v>2</v>
      </c>
      <c r="C4" s="1" t="s">
        <v>3</v>
      </c>
      <c r="D4" s="1" t="s">
        <v>4</v>
      </c>
      <c r="H4" t="s">
        <v>6</v>
      </c>
      <c r="I4" t="s">
        <v>7</v>
      </c>
      <c r="J4" t="s">
        <v>8</v>
      </c>
    </row>
    <row r="5" spans="1:16" x14ac:dyDescent="0.3">
      <c r="A5" t="s">
        <v>1</v>
      </c>
      <c r="B5" s="1">
        <v>16799</v>
      </c>
      <c r="C5" s="1">
        <v>16010</v>
      </c>
      <c r="D5" s="1">
        <v>15566</v>
      </c>
      <c r="H5" s="1">
        <v>15</v>
      </c>
      <c r="I5" s="1">
        <v>30</v>
      </c>
      <c r="J5" s="1">
        <v>45</v>
      </c>
    </row>
    <row r="6" spans="1:16" x14ac:dyDescent="0.3">
      <c r="A6" s="3" t="s">
        <v>5</v>
      </c>
      <c r="B6" s="1">
        <f>301*H5</f>
        <v>4515</v>
      </c>
      <c r="C6" s="1">
        <f>56*H5</f>
        <v>840</v>
      </c>
      <c r="D6" s="1">
        <f>21*H5</f>
        <v>315</v>
      </c>
    </row>
    <row r="7" spans="1:16" x14ac:dyDescent="0.3">
      <c r="A7" s="3"/>
      <c r="B7" s="1">
        <f>100*I5</f>
        <v>3000</v>
      </c>
      <c r="C7" s="1">
        <f>35*I5</f>
        <v>1050</v>
      </c>
      <c r="D7" s="1">
        <f>96*I5</f>
        <v>2880</v>
      </c>
      <c r="K7" t="s">
        <v>10</v>
      </c>
      <c r="M7" s="1">
        <f>2/1</f>
        <v>2</v>
      </c>
    </row>
    <row r="8" spans="1:16" x14ac:dyDescent="0.3">
      <c r="A8" s="3"/>
      <c r="B8" s="1">
        <f>23*J5</f>
        <v>1035</v>
      </c>
      <c r="C8" s="1">
        <f>22*J5</f>
        <v>990</v>
      </c>
      <c r="D8" s="1">
        <f>291*J5</f>
        <v>13095</v>
      </c>
    </row>
    <row r="9" spans="1:16" x14ac:dyDescent="0.3">
      <c r="A9" s="4" t="s">
        <v>12</v>
      </c>
      <c r="B9" s="1">
        <f>+B10/2</f>
        <v>424</v>
      </c>
      <c r="C9" s="1">
        <f t="shared" ref="C9:D9" si="0">+C10/2</f>
        <v>113</v>
      </c>
      <c r="D9" s="1">
        <f t="shared" si="0"/>
        <v>408</v>
      </c>
    </row>
    <row r="10" spans="1:16" x14ac:dyDescent="0.3">
      <c r="A10" t="s">
        <v>11</v>
      </c>
      <c r="B10" s="1">
        <f>+M7*(301+100+23)</f>
        <v>848</v>
      </c>
      <c r="C10" s="1">
        <f>+(56+35+22)*M7</f>
        <v>226</v>
      </c>
      <c r="D10" s="1">
        <f>+(21+96+291)*M7</f>
        <v>816</v>
      </c>
      <c r="E10" s="5">
        <f>+B10+C10+D10</f>
        <v>1890</v>
      </c>
    </row>
    <row r="11" spans="1:16" x14ac:dyDescent="0.3">
      <c r="A11" t="s">
        <v>13</v>
      </c>
      <c r="B11" s="1">
        <f>+F14*B10</f>
        <v>53841.269841269845</v>
      </c>
      <c r="C11" s="1">
        <f>+F14*C10</f>
        <v>14349.20634920635</v>
      </c>
      <c r="D11" s="1">
        <f>+D10*F14</f>
        <v>51809.523809523809</v>
      </c>
      <c r="L11" t="s">
        <v>14</v>
      </c>
    </row>
    <row r="12" spans="1:16" x14ac:dyDescent="0.3">
      <c r="A12" t="s">
        <v>19</v>
      </c>
      <c r="B12" s="1">
        <f>+F17*B10</f>
        <v>165113.22751322752</v>
      </c>
      <c r="C12" s="5">
        <f>+C10*F17</f>
        <v>44004.232804232801</v>
      </c>
      <c r="D12" s="5">
        <f>+D10*F17</f>
        <v>158882.53968253967</v>
      </c>
      <c r="L12" t="s">
        <v>15</v>
      </c>
    </row>
    <row r="13" spans="1:16" x14ac:dyDescent="0.3">
      <c r="A13" t="s">
        <v>21</v>
      </c>
      <c r="B13" s="6">
        <f>+G18</f>
        <v>6333.333333333333</v>
      </c>
      <c r="C13">
        <f>+G18</f>
        <v>6333.333333333333</v>
      </c>
      <c r="D13">
        <f>+G18</f>
        <v>6333.333333333333</v>
      </c>
      <c r="F13" t="s">
        <v>18</v>
      </c>
      <c r="L13" t="s">
        <v>16</v>
      </c>
    </row>
    <row r="14" spans="1:16" x14ac:dyDescent="0.3">
      <c r="A14" t="s">
        <v>24</v>
      </c>
      <c r="B14" s="1">
        <f>+G19*B10</f>
        <v>65058.201058201063</v>
      </c>
      <c r="C14" s="5">
        <f>+C10*G19</f>
        <v>17338.62433862434</v>
      </c>
      <c r="D14" s="5">
        <f>+D10*G19</f>
        <v>62603.174603174608</v>
      </c>
      <c r="F14" s="1">
        <f>120000/E10</f>
        <v>63.492063492063494</v>
      </c>
    </row>
    <row r="15" spans="1:16" x14ac:dyDescent="0.3">
      <c r="A15" t="s">
        <v>26</v>
      </c>
      <c r="B15" s="1">
        <f>+B5+B6+B7+B8+B11+B12+B13+B14</f>
        <v>315695.03174603177</v>
      </c>
      <c r="C15" s="1">
        <f t="shared" ref="C15:D15" si="1">+C5+C6+C7+C8+C11+C12+C13+C14</f>
        <v>100915.39682539682</v>
      </c>
      <c r="D15" s="1">
        <f t="shared" si="1"/>
        <v>311484.57142857142</v>
      </c>
      <c r="L15" t="s">
        <v>17</v>
      </c>
      <c r="P15" s="1">
        <v>75000</v>
      </c>
    </row>
    <row r="16" spans="1:16" x14ac:dyDescent="0.3">
      <c r="A16" t="s">
        <v>27</v>
      </c>
      <c r="B16" s="1">
        <v>41998</v>
      </c>
      <c r="C16" s="1">
        <v>40025</v>
      </c>
      <c r="D16" s="1">
        <v>38915</v>
      </c>
      <c r="F16" t="s">
        <v>20</v>
      </c>
    </row>
    <row r="17" spans="1:14" x14ac:dyDescent="0.3">
      <c r="A17" t="s">
        <v>28</v>
      </c>
      <c r="B17" s="1">
        <f>+B16-B15</f>
        <v>-273697.03174603177</v>
      </c>
      <c r="C17" s="1">
        <f t="shared" ref="C17:D17" si="2">+C16-C15</f>
        <v>-60890.39682539682</v>
      </c>
      <c r="D17" s="1">
        <f t="shared" si="2"/>
        <v>-272569.57142857142</v>
      </c>
      <c r="F17" s="1">
        <f>(131000+237000)/E10</f>
        <v>194.70899470899471</v>
      </c>
    </row>
    <row r="18" spans="1:14" x14ac:dyDescent="0.3">
      <c r="F18" t="s">
        <v>22</v>
      </c>
      <c r="G18">
        <f>19000/3</f>
        <v>6333.333333333333</v>
      </c>
    </row>
    <row r="19" spans="1:14" x14ac:dyDescent="0.3">
      <c r="F19" t="s">
        <v>23</v>
      </c>
      <c r="G19" s="5">
        <f>145000/E10</f>
        <v>76.719576719576722</v>
      </c>
    </row>
    <row r="20" spans="1:14" x14ac:dyDescent="0.3">
      <c r="F20" t="s">
        <v>25</v>
      </c>
      <c r="G20">
        <f>47000/3</f>
        <v>15666.666666666666</v>
      </c>
    </row>
    <row r="23" spans="1:14" x14ac:dyDescent="0.3">
      <c r="A23" t="s">
        <v>29</v>
      </c>
    </row>
    <row r="24" spans="1:14" x14ac:dyDescent="0.3">
      <c r="B24" s="1" t="s">
        <v>30</v>
      </c>
      <c r="C24" s="1" t="s">
        <v>31</v>
      </c>
      <c r="D24" s="1" t="s">
        <v>32</v>
      </c>
      <c r="E24" s="1" t="s">
        <v>33</v>
      </c>
      <c r="F24" s="1" t="s">
        <v>34</v>
      </c>
      <c r="G24" s="1" t="s">
        <v>35</v>
      </c>
      <c r="H24" s="1" t="s">
        <v>36</v>
      </c>
      <c r="I24" s="1" t="s">
        <v>37</v>
      </c>
      <c r="J24" s="1" t="s">
        <v>38</v>
      </c>
    </row>
    <row r="25" spans="1:14" x14ac:dyDescent="0.3">
      <c r="A25" t="s">
        <v>39</v>
      </c>
      <c r="B25" s="1">
        <v>-350000</v>
      </c>
    </row>
    <row r="26" spans="1:14" x14ac:dyDescent="0.3">
      <c r="A26" t="s">
        <v>40</v>
      </c>
      <c r="B26" s="1">
        <v>-51000</v>
      </c>
      <c r="M26">
        <v>197</v>
      </c>
      <c r="N26" t="s">
        <v>41</v>
      </c>
    </row>
    <row r="27" spans="1:14" x14ac:dyDescent="0.3">
      <c r="A27" t="s">
        <v>42</v>
      </c>
      <c r="C27" s="1">
        <f>+(75*60+26*15)*M26</f>
        <v>963330</v>
      </c>
      <c r="D27" s="7">
        <f>+C27</f>
        <v>963330</v>
      </c>
      <c r="E27" s="7">
        <f>+D27</f>
        <v>963330</v>
      </c>
      <c r="F27" s="7">
        <f>+E27</f>
        <v>963330</v>
      </c>
      <c r="G27" s="7">
        <f>+F27</f>
        <v>963330</v>
      </c>
      <c r="H27" s="7">
        <f>+G27</f>
        <v>963330</v>
      </c>
      <c r="I27" s="7">
        <f>+H27</f>
        <v>963330</v>
      </c>
      <c r="J27" s="7">
        <f>+I27</f>
        <v>963330</v>
      </c>
    </row>
    <row r="28" spans="1:14" x14ac:dyDescent="0.3">
      <c r="A28" t="s">
        <v>43</v>
      </c>
    </row>
    <row r="29" spans="1:14" x14ac:dyDescent="0.3">
      <c r="A29" t="s">
        <v>44</v>
      </c>
      <c r="C29" s="1">
        <v>-48000</v>
      </c>
      <c r="D29" s="1">
        <v>-48000</v>
      </c>
      <c r="E29" s="1">
        <v>-48000</v>
      </c>
      <c r="F29" s="1">
        <v>-48000</v>
      </c>
      <c r="G29" s="1">
        <v>-48000</v>
      </c>
      <c r="H29" s="1">
        <v>-48000</v>
      </c>
      <c r="I29" s="1">
        <v>-48000</v>
      </c>
      <c r="J29" s="1">
        <v>-48000</v>
      </c>
    </row>
    <row r="30" spans="1:14" x14ac:dyDescent="0.3">
      <c r="A30" t="s">
        <v>45</v>
      </c>
      <c r="C30" s="1">
        <v>-16000</v>
      </c>
      <c r="D30" s="1">
        <v>-16000</v>
      </c>
      <c r="E30" s="1">
        <v>-16000</v>
      </c>
      <c r="F30" s="1">
        <v>-16000</v>
      </c>
      <c r="G30" s="1">
        <v>-16000</v>
      </c>
      <c r="H30" s="1">
        <v>-16000</v>
      </c>
      <c r="I30" s="1">
        <v>-16000</v>
      </c>
      <c r="J30" s="1">
        <v>-16000</v>
      </c>
    </row>
    <row r="31" spans="1:14" x14ac:dyDescent="0.3">
      <c r="A31" t="s">
        <v>46</v>
      </c>
      <c r="C31" s="1">
        <v>-21000</v>
      </c>
      <c r="D31" s="1">
        <v>-21000</v>
      </c>
      <c r="E31" s="1">
        <v>-21000</v>
      </c>
      <c r="F31" s="1">
        <v>-21000</v>
      </c>
      <c r="G31" s="1">
        <v>-21000</v>
      </c>
      <c r="H31" s="1">
        <v>-21000</v>
      </c>
      <c r="I31" s="1">
        <v>-21000</v>
      </c>
      <c r="J31" s="1">
        <v>-21000</v>
      </c>
    </row>
    <row r="32" spans="1:14" x14ac:dyDescent="0.3">
      <c r="A32" t="s">
        <v>47</v>
      </c>
      <c r="C32" s="1">
        <f>(-50*60*$M26)*1.25</f>
        <v>-738750</v>
      </c>
      <c r="D32" s="1">
        <f t="shared" ref="D32:J32" si="3">(-50*60*$M26)*1.25</f>
        <v>-738750</v>
      </c>
      <c r="E32" s="1">
        <f t="shared" si="3"/>
        <v>-738750</v>
      </c>
      <c r="F32" s="1">
        <f t="shared" si="3"/>
        <v>-738750</v>
      </c>
      <c r="G32" s="1">
        <f t="shared" si="3"/>
        <v>-738750</v>
      </c>
      <c r="H32" s="1">
        <f t="shared" si="3"/>
        <v>-738750</v>
      </c>
      <c r="I32" s="1">
        <f t="shared" si="3"/>
        <v>-738750</v>
      </c>
      <c r="J32" s="1">
        <f t="shared" si="3"/>
        <v>-738750</v>
      </c>
    </row>
    <row r="33" spans="1:10" x14ac:dyDescent="0.3">
      <c r="A33" t="s">
        <v>48</v>
      </c>
      <c r="C33" s="1">
        <f>-39000*2</f>
        <v>-78000</v>
      </c>
      <c r="D33" s="1">
        <f t="shared" ref="D33:J33" si="4">-39000*2</f>
        <v>-78000</v>
      </c>
      <c r="E33" s="1">
        <f t="shared" si="4"/>
        <v>-78000</v>
      </c>
      <c r="F33" s="1">
        <f t="shared" si="4"/>
        <v>-78000</v>
      </c>
      <c r="G33" s="1">
        <f t="shared" si="4"/>
        <v>-78000</v>
      </c>
      <c r="H33" s="1">
        <f t="shared" si="4"/>
        <v>-78000</v>
      </c>
      <c r="I33" s="1">
        <f t="shared" si="4"/>
        <v>-78000</v>
      </c>
      <c r="J33" s="1">
        <f t="shared" si="4"/>
        <v>-78000</v>
      </c>
    </row>
    <row r="34" spans="1:10" x14ac:dyDescent="0.3">
      <c r="A34" t="s">
        <v>49</v>
      </c>
      <c r="B34" s="1">
        <v>-22000</v>
      </c>
    </row>
    <row r="35" spans="1:10" x14ac:dyDescent="0.3">
      <c r="A35" t="s">
        <v>50</v>
      </c>
      <c r="B35" s="1">
        <f>SUM(B25:B34)</f>
        <v>-423000</v>
      </c>
      <c r="C35" s="1">
        <f t="shared" ref="C35:J35" si="5">SUM(C25:C34)</f>
        <v>61580</v>
      </c>
      <c r="D35" s="1">
        <f t="shared" si="5"/>
        <v>61580</v>
      </c>
      <c r="E35" s="1">
        <f t="shared" si="5"/>
        <v>61580</v>
      </c>
      <c r="F35" s="1">
        <f t="shared" si="5"/>
        <v>61580</v>
      </c>
      <c r="G35" s="1">
        <f t="shared" si="5"/>
        <v>61580</v>
      </c>
      <c r="H35" s="1">
        <f t="shared" si="5"/>
        <v>61580</v>
      </c>
      <c r="I35" s="1">
        <f t="shared" si="5"/>
        <v>61580</v>
      </c>
      <c r="J35" s="1">
        <f t="shared" si="5"/>
        <v>61580</v>
      </c>
    </row>
    <row r="37" spans="1:10" x14ac:dyDescent="0.3">
      <c r="A37" t="s">
        <v>51</v>
      </c>
      <c r="B37" s="1">
        <f>+NPV(B38,C35:J35)+B35</f>
        <v>-55287.437987358251</v>
      </c>
    </row>
    <row r="38" spans="1:10" x14ac:dyDescent="0.3">
      <c r="A38" t="s">
        <v>52</v>
      </c>
      <c r="B38" s="8">
        <v>7.0000000000000007E-2</v>
      </c>
      <c r="C38" t="s">
        <v>53</v>
      </c>
    </row>
  </sheetData>
  <mergeCells count="2">
    <mergeCell ref="H3:J3"/>
    <mergeCell ref="A6:A8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SOKRI Marzouk</dc:creator>
  <cp:lastModifiedBy>SOKRI Marzouk</cp:lastModifiedBy>
  <dcterms:created xsi:type="dcterms:W3CDTF">2015-06-05T18:19:34Z</dcterms:created>
  <dcterms:modified xsi:type="dcterms:W3CDTF">2025-07-02T14:28:50Z</dcterms:modified>
</cp:coreProperties>
</file>