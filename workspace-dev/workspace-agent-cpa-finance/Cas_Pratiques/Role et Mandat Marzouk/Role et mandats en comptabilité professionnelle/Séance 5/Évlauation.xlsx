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S\Role et mandats en comptabilité professionnelle\Séance 5\"/>
    </mc:Choice>
  </mc:AlternateContent>
  <xr:revisionPtr revIDLastSave="0" documentId="13_ncr:1_{A3404ADF-A88B-446F-867D-33292F57EBE7}" xr6:coauthVersionLast="47" xr6:coauthVersionMax="47" xr10:uidLastSave="{00000000-0000-0000-0000-000000000000}"/>
  <bookViews>
    <workbookView xWindow="-108" yWindow="-108" windowWidth="23256" windowHeight="13896" xr2:uid="{3A950E62-01A2-42C7-9683-E71C6E1E6E06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B16" i="1"/>
  <c r="B7" i="1"/>
  <c r="B5" i="1"/>
  <c r="B17" i="1" l="1"/>
  <c r="B18" i="1" s="1"/>
  <c r="B22" i="1" s="1"/>
</calcChain>
</file>

<file path=xl/sharedStrings.xml><?xml version="1.0" encoding="utf-8"?>
<sst xmlns="http://schemas.openxmlformats.org/spreadsheetml/2006/main" count="22" uniqueCount="22">
  <si>
    <t xml:space="preserve">Donnée en milliers de dollars </t>
  </si>
  <si>
    <t>Bénéfice avant impot 2013</t>
  </si>
  <si>
    <t>Produits supplementaires inhabituls</t>
  </si>
  <si>
    <t>Produit inahabituel de terrain de golf</t>
  </si>
  <si>
    <t>Montant additionnel de Muscle</t>
  </si>
  <si>
    <t>Produit inahabituel des chambre de l'hotel</t>
  </si>
  <si>
    <t xml:space="preserve">Produit pour le tournoi de golf </t>
  </si>
  <si>
    <t>Perte des produits uite au tournoi de golf</t>
  </si>
  <si>
    <t xml:space="preserve">Dépenese personnelle </t>
  </si>
  <si>
    <t>Montant additionnel de déoenses personnelle</t>
  </si>
  <si>
    <t xml:space="preserve">Frais d'héberement </t>
  </si>
  <si>
    <t>sont des frais professionnel sont pour connaitre l'industrie</t>
  </si>
  <si>
    <t>Achat de vvoiture de sport</t>
  </si>
  <si>
    <t>Dépense en capital</t>
  </si>
  <si>
    <t xml:space="preserve">Produit d'interet </t>
  </si>
  <si>
    <t xml:space="preserve">sont pas des produits des activité courantes </t>
  </si>
  <si>
    <t>Bénéfice net ajusté</t>
  </si>
  <si>
    <t>Impot</t>
  </si>
  <si>
    <t xml:space="preserve">D'apres le cas </t>
  </si>
  <si>
    <t>Bénéfice net apres impot</t>
  </si>
  <si>
    <t>Taux de capitalisation</t>
  </si>
  <si>
    <t xml:space="preserve">Valeur des actions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</si>
</sst>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)_ ;_ * \(#,##0.00\)_ ;_ * &quot;-&quot;??_)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10" fontId="0" fillId="0" borderId="0" xfId="2" applyNumberFormat="1" applyFont="1"/>
    <xf numFmtId="9" fontId="0" fillId="0" borderId="0" xfId="1" applyNumberFormat="1" applyFont="1"/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E16D6-E72E-4245-B542-CC65D937D440}">
  <dimension ref="A1:E22"/>
  <sheetViews>
    <sheetView tabSelected="1" workbookViewId="0">
      <selection activeCell="N7" sqref="N7"/>
    </sheetView>
  </sheetViews>
  <sheetFormatPr baseColWidth="10" defaultRowHeight="14.4" x14ac:dyDescent="0.3"/>
  <cols>
    <col min="1" max="1" width="37.5546875" bestFit="1" customWidth="1"/>
    <col min="2" max="2" width="11.5546875" style="1"/>
  </cols>
  <sheetData>
    <row r="1" spans="1:3" x14ac:dyDescent="0.3">
      <c r="A1" t="s">
        <v>0</v>
      </c>
    </row>
    <row r="3" spans="1:3" x14ac:dyDescent="0.3">
      <c r="A3" t="s">
        <v>1</v>
      </c>
      <c r="B3" s="1">
        <v>3930</v>
      </c>
    </row>
    <row r="4" spans="1:3" x14ac:dyDescent="0.3">
      <c r="A4" t="s">
        <v>2</v>
      </c>
      <c r="B4" s="1">
        <v>-50</v>
      </c>
    </row>
    <row r="5" spans="1:3" x14ac:dyDescent="0.3">
      <c r="A5" t="s">
        <v>3</v>
      </c>
      <c r="B5" s="1">
        <f>-200+90</f>
        <v>-110</v>
      </c>
    </row>
    <row r="6" spans="1:3" x14ac:dyDescent="0.3">
      <c r="A6" t="s">
        <v>4</v>
      </c>
      <c r="B6" s="1">
        <v>-500</v>
      </c>
    </row>
    <row r="7" spans="1:3" x14ac:dyDescent="0.3">
      <c r="A7" t="s">
        <v>5</v>
      </c>
      <c r="B7" s="1">
        <f>210000/175/3</f>
        <v>400</v>
      </c>
    </row>
    <row r="8" spans="1:3" x14ac:dyDescent="0.3">
      <c r="A8" t="s">
        <v>6</v>
      </c>
      <c r="B8" s="1">
        <v>-750</v>
      </c>
    </row>
    <row r="9" spans="1:3" x14ac:dyDescent="0.3">
      <c r="A9" t="s">
        <v>7</v>
      </c>
      <c r="B9" s="1">
        <v>170</v>
      </c>
    </row>
    <row r="10" spans="1:3" x14ac:dyDescent="0.3">
      <c r="A10" t="s">
        <v>8</v>
      </c>
      <c r="B10" s="1">
        <v>225</v>
      </c>
    </row>
    <row r="11" spans="1:3" x14ac:dyDescent="0.3">
      <c r="A11" t="s">
        <v>9</v>
      </c>
      <c r="B11" s="1">
        <v>420</v>
      </c>
    </row>
    <row r="12" spans="1:3" x14ac:dyDescent="0.3">
      <c r="A12" t="s">
        <v>10</v>
      </c>
      <c r="C12" t="s">
        <v>11</v>
      </c>
    </row>
    <row r="13" spans="1:3" x14ac:dyDescent="0.3">
      <c r="A13" t="s">
        <v>12</v>
      </c>
      <c r="B13" s="1">
        <v>100</v>
      </c>
      <c r="C13" t="s">
        <v>13</v>
      </c>
    </row>
    <row r="14" spans="1:3" x14ac:dyDescent="0.3">
      <c r="A14" t="s">
        <v>14</v>
      </c>
      <c r="B14" s="1">
        <v>-25</v>
      </c>
      <c r="C14" t="s">
        <v>15</v>
      </c>
    </row>
    <row r="16" spans="1:3" x14ac:dyDescent="0.3">
      <c r="A16" t="s">
        <v>16</v>
      </c>
      <c r="B16" s="1">
        <f>+SUM(B3:B14)</f>
        <v>3810</v>
      </c>
    </row>
    <row r="17" spans="1:5" x14ac:dyDescent="0.3">
      <c r="A17" t="s">
        <v>17</v>
      </c>
      <c r="B17" s="1">
        <f>-B16*E19</f>
        <v>-1265.1526717557251</v>
      </c>
    </row>
    <row r="18" spans="1:5" x14ac:dyDescent="0.3">
      <c r="A18" t="s">
        <v>19</v>
      </c>
      <c r="B18" s="1">
        <f>+B16+B17</f>
        <v>2544.8473282442746</v>
      </c>
      <c r="E18" t="s">
        <v>18</v>
      </c>
    </row>
    <row r="19" spans="1:5" x14ac:dyDescent="0.3">
      <c r="E19" s="2">
        <f>1305/3930</f>
        <v>0.33206106870229007</v>
      </c>
    </row>
    <row r="20" spans="1:5" x14ac:dyDescent="0.3">
      <c r="A20" t="s">
        <v>20</v>
      </c>
      <c r="B20" s="3">
        <v>0.2</v>
      </c>
    </row>
    <row r="22" spans="1:5" x14ac:dyDescent="0.3">
      <c r="A22" t="s">
        <v>21</v>
      </c>
      <c r="B22" s="1">
        <f>+B18/B20</f>
        <v>12724.236641221372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3A87-6BEC-45FE-997F-569702E0EEF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SOKRI Marzouk</dc:creator>
  <cp:lastModifiedBy>SOKRI Marzouk</cp:lastModifiedBy>
  <dcterms:created xsi:type="dcterms:W3CDTF">2025-02-03T13:34:22Z</dcterms:created>
  <dcterms:modified xsi:type="dcterms:W3CDTF">2025-02-03T21:13:48Z</dcterms:modified>
</cp:coreProperties>
</file>