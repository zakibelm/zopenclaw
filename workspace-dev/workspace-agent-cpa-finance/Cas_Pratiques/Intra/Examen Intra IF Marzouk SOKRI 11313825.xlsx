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bca8937e5be247ac/Bureau/"/>
    </mc:Choice>
  </mc:AlternateContent>
  <xr:revisionPtr revIDLastSave="213" documentId="11_AD4D9D64A577C15A4A541854901A68085BDEDD8D" xr6:coauthVersionLast="47" xr6:coauthVersionMax="47" xr10:uidLastSave="{5B4D0EAC-B8B0-4DE4-B890-99384434DB01}"/>
  <bookViews>
    <workbookView xWindow="-108" yWindow="-108" windowWidth="23256" windowHeight="13896" activeTab="3" xr2:uid="{00000000-000D-0000-FFFF-FFFF00000000}"/>
  </bookViews>
  <sheets>
    <sheet name="Provision et immeuble de pl et " sheetId="1" r:id="rId1"/>
    <sheet name="Céréale " sheetId="2" r:id="rId2"/>
    <sheet name="VEoux" sheetId="3" r:id="rId3"/>
    <sheet name="Actions priviligé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4" l="1"/>
  <c r="B19" i="2"/>
  <c r="B13" i="2"/>
  <c r="B14" i="2"/>
  <c r="B12" i="2"/>
  <c r="E14" i="1"/>
  <c r="C21" i="2"/>
  <c r="B20" i="2"/>
  <c r="C23" i="2"/>
  <c r="D9" i="4"/>
  <c r="C8" i="4"/>
  <c r="B6" i="4"/>
  <c r="B3" i="4"/>
  <c r="B4" i="4"/>
  <c r="B16" i="3"/>
  <c r="B14" i="3"/>
  <c r="B11" i="3"/>
  <c r="B10" i="3"/>
  <c r="B9" i="3"/>
  <c r="B4" i="3"/>
  <c r="D23" i="1"/>
  <c r="D21" i="1"/>
  <c r="D18" i="1"/>
  <c r="C10" i="1"/>
  <c r="C8" i="1"/>
  <c r="C2" i="1"/>
</calcChain>
</file>

<file path=xl/sharedStrings.xml><?xml version="1.0" encoding="utf-8"?>
<sst xmlns="http://schemas.openxmlformats.org/spreadsheetml/2006/main" count="51" uniqueCount="49">
  <si>
    <t xml:space="preserve">Montant de la provision </t>
  </si>
  <si>
    <t xml:space="preserve">Marge </t>
  </si>
  <si>
    <t>Vente</t>
  </si>
  <si>
    <t>CMV</t>
  </si>
  <si>
    <t xml:space="preserve">Monatn </t>
  </si>
  <si>
    <t>Provison</t>
  </si>
  <si>
    <t>Probabilité</t>
  </si>
  <si>
    <t>Baisse de résulat</t>
  </si>
  <si>
    <t>honoraire courtier</t>
  </si>
  <si>
    <t xml:space="preserve">Cout immeuble de placement </t>
  </si>
  <si>
    <t>JV au 31/12/2024</t>
  </si>
  <si>
    <t xml:space="preserve">Gain sur JV </t>
  </si>
  <si>
    <t>JV des terres agrricloe au 31/12/2024</t>
  </si>
  <si>
    <t>Cout terres agricole</t>
  </si>
  <si>
    <t>Ecart de JV AERG</t>
  </si>
  <si>
    <t>Stocks au 31/12/2024</t>
  </si>
  <si>
    <t>Produit récoltés mois aout</t>
  </si>
  <si>
    <t>Actif agricole</t>
  </si>
  <si>
    <t>Prix moment de récolte</t>
  </si>
  <si>
    <t>cout de vente</t>
  </si>
  <si>
    <t>JV</t>
  </si>
  <si>
    <t xml:space="preserve">Cout de vente </t>
  </si>
  <si>
    <t xml:space="preserve">JV a la récolte </t>
  </si>
  <si>
    <t>Au 31/12/2024 stocks</t>
  </si>
  <si>
    <t>VNR</t>
  </si>
  <si>
    <t xml:space="preserve">VNR stocks </t>
  </si>
  <si>
    <t xml:space="preserve">Perte de valeur </t>
  </si>
  <si>
    <t xml:space="preserve">Gain </t>
  </si>
  <si>
    <t>impact sur Rn</t>
  </si>
  <si>
    <t xml:space="preserve">Poids veoux moyenne </t>
  </si>
  <si>
    <t>Prix sur le marché accecible</t>
  </si>
  <si>
    <t>Inscriptioin</t>
  </si>
  <si>
    <t>Commission</t>
  </si>
  <si>
    <t>Frais de pesés</t>
  </si>
  <si>
    <t xml:space="preserve">Frais de transport au marché </t>
  </si>
  <si>
    <t>Prix d'une veux sur marché accessible</t>
  </si>
  <si>
    <t>Cout de vente</t>
  </si>
  <si>
    <t>JV de tous les veou</t>
  </si>
  <si>
    <t>Inventaire voue</t>
  </si>
  <si>
    <t xml:space="preserve">dasn les EF </t>
  </si>
  <si>
    <t>Gain Au RN</t>
  </si>
  <si>
    <t>FV</t>
  </si>
  <si>
    <t>I</t>
  </si>
  <si>
    <t>PMT</t>
  </si>
  <si>
    <t>N</t>
  </si>
  <si>
    <t>PV</t>
  </si>
  <si>
    <t>Charge intrert</t>
  </si>
  <si>
    <t xml:space="preserve">dividende a payer </t>
  </si>
  <si>
    <t>Dette obligatirw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</si>
</sst>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$&quot;_);[Red]\(#,##0.00\ &quot;$&quot;\)"/>
    <numFmt numFmtId="44" formatCode="_ * #,##0.00_)\ &quot;$&quot;_ ;_ * \(#,##0.00\)\ &quot;$&quot;_ ;_ * &quot;-&quot;??_)\ &quot;$&quot;_ ;_ @_ "/>
    <numFmt numFmtId="43" formatCode="_ * #,##0.00_)_ ;_ * \(#,##0.00\)_ ;_ * &quot;-&quot;??_)_ ;_ @_ "/>
    <numFmt numFmtId="164" formatCode="_ * #,##0.00_)\ _$_ ;_ * \(#,##0.00\)\ _$_ ;_ * &quot;-&quot;??_)\ _$_ ;_ @_ "/>
    <numFmt numFmtId="165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0" applyNumberFormat="1"/>
    <xf numFmtId="43" fontId="0" fillId="0" borderId="0" xfId="1" applyFont="1"/>
    <xf numFmtId="10" fontId="0" fillId="0" borderId="0" xfId="3" applyNumberFormat="1" applyFont="1"/>
    <xf numFmtId="165" fontId="0" fillId="0" borderId="0" xfId="3" applyNumberFormat="1" applyFont="1"/>
    <xf numFmtId="44" fontId="0" fillId="0" borderId="0" xfId="2" applyFont="1"/>
    <xf numFmtId="9" fontId="0" fillId="0" borderId="0" xfId="1" applyNumberFormat="1" applyFont="1"/>
    <xf numFmtId="164" fontId="0" fillId="0" borderId="0" xfId="0" applyNumberFormat="1"/>
    <xf numFmtId="43" fontId="0" fillId="0" borderId="0" xfId="0" applyNumberFormat="1"/>
    <xf numFmtId="8" fontId="0" fillId="0" borderId="0" xfId="1" applyNumberFormat="1" applyFont="1"/>
    <xf numFmtId="0" fontId="0" fillId="0" borderId="0" xfId="0" applyAlignment="1">
      <alignment horizontal="center"/>
    </xf>
  </cellXfs>
  <cellStyles count="4">
    <cellStyle name="Milliers" xfId="1" builtinId="3"/>
    <cellStyle name="Monétaire" xfId="2" builtinId="4"/>
    <cellStyle name="Normal" xfId="0" builtinId="0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D23" sqref="D23"/>
    </sheetView>
  </sheetViews>
  <sheetFormatPr baseColWidth="10" defaultColWidth="8.88671875" defaultRowHeight="14.4" x14ac:dyDescent="0.3"/>
  <cols>
    <col min="1" max="1" width="12.77734375" bestFit="1" customWidth="1"/>
    <col min="2" max="2" width="9.77734375" bestFit="1" customWidth="1"/>
    <col min="3" max="3" width="9.33203125" style="2" bestFit="1" customWidth="1"/>
    <col min="4" max="4" width="20.88671875" bestFit="1" customWidth="1"/>
    <col min="5" max="5" width="11.77734375" bestFit="1" customWidth="1"/>
  </cols>
  <sheetData>
    <row r="1" spans="1:6" x14ac:dyDescent="0.3">
      <c r="A1" t="s">
        <v>4</v>
      </c>
      <c r="B1" t="s">
        <v>6</v>
      </c>
      <c r="C1" s="2" t="s">
        <v>5</v>
      </c>
    </row>
    <row r="2" spans="1:6" x14ac:dyDescent="0.3">
      <c r="A2">
        <v>4000</v>
      </c>
      <c r="B2" s="1">
        <v>0.95</v>
      </c>
      <c r="C2" s="2">
        <f>+A2*B2</f>
        <v>3800</v>
      </c>
      <c r="D2" t="s">
        <v>0</v>
      </c>
    </row>
    <row r="3" spans="1:6" x14ac:dyDescent="0.3">
      <c r="B3" s="1"/>
    </row>
    <row r="4" spans="1:6" x14ac:dyDescent="0.3">
      <c r="B4" s="1"/>
    </row>
    <row r="5" spans="1:6" x14ac:dyDescent="0.3">
      <c r="B5" s="1"/>
    </row>
    <row r="6" spans="1:6" x14ac:dyDescent="0.3">
      <c r="B6" s="1"/>
    </row>
    <row r="7" spans="1:6" x14ac:dyDescent="0.3">
      <c r="A7" t="s">
        <v>2</v>
      </c>
      <c r="B7" s="1" t="s">
        <v>1</v>
      </c>
      <c r="C7" s="2" t="s">
        <v>3</v>
      </c>
    </row>
    <row r="8" spans="1:6" x14ac:dyDescent="0.3">
      <c r="A8">
        <v>8520</v>
      </c>
      <c r="B8" s="1">
        <v>0.9</v>
      </c>
      <c r="C8" s="2">
        <f>+A8*B8</f>
        <v>7668</v>
      </c>
    </row>
    <row r="10" spans="1:6" x14ac:dyDescent="0.3">
      <c r="A10" t="s">
        <v>7</v>
      </c>
      <c r="C10" s="2">
        <f>+A8-C8</f>
        <v>852</v>
      </c>
    </row>
    <row r="12" spans="1:6" x14ac:dyDescent="0.3">
      <c r="A12" s="4">
        <v>4.0000000000000002E-4</v>
      </c>
    </row>
    <row r="13" spans="1:6" x14ac:dyDescent="0.3">
      <c r="A13" s="5"/>
    </row>
    <row r="14" spans="1:6" x14ac:dyDescent="0.3">
      <c r="C14" s="6">
        <v>0.02</v>
      </c>
      <c r="D14" s="2">
        <v>4000000</v>
      </c>
      <c r="E14" s="7">
        <f>+C14*D14</f>
        <v>80000</v>
      </c>
      <c r="F14" t="s">
        <v>8</v>
      </c>
    </row>
    <row r="16" spans="1:6" x14ac:dyDescent="0.3">
      <c r="A16" t="s">
        <v>9</v>
      </c>
      <c r="D16" s="2">
        <v>4083000</v>
      </c>
    </row>
    <row r="17" spans="1:4" x14ac:dyDescent="0.3">
      <c r="A17" t="s">
        <v>10</v>
      </c>
      <c r="D17" s="2">
        <v>4450000</v>
      </c>
    </row>
    <row r="18" spans="1:4" x14ac:dyDescent="0.3">
      <c r="A18" t="s">
        <v>11</v>
      </c>
      <c r="D18" s="7">
        <f>+D17-D16</f>
        <v>367000</v>
      </c>
    </row>
    <row r="21" spans="1:4" x14ac:dyDescent="0.3">
      <c r="A21" t="s">
        <v>12</v>
      </c>
      <c r="D21" s="2">
        <f>16000*200</f>
        <v>3200000</v>
      </c>
    </row>
    <row r="22" spans="1:4" x14ac:dyDescent="0.3">
      <c r="A22" s="2" t="s">
        <v>13</v>
      </c>
      <c r="D22" s="2">
        <v>3000000</v>
      </c>
    </row>
    <row r="23" spans="1:4" x14ac:dyDescent="0.3">
      <c r="A23" t="s">
        <v>14</v>
      </c>
      <c r="D23" s="7">
        <f>+D21-D22</f>
        <v>200000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C1A1-BF31-4051-8761-0479C9AEAA17}">
  <dimension ref="A2:C23"/>
  <sheetViews>
    <sheetView workbookViewId="0">
      <selection activeCell="B20" sqref="B20"/>
    </sheetView>
  </sheetViews>
  <sheetFormatPr baseColWidth="10" defaultRowHeight="14.4" x14ac:dyDescent="0.3"/>
  <cols>
    <col min="1" max="1" width="22.6640625" bestFit="1" customWidth="1"/>
    <col min="2" max="2" width="11.5546875" style="2"/>
    <col min="3" max="3" width="11.77734375" bestFit="1" customWidth="1"/>
  </cols>
  <sheetData>
    <row r="2" spans="1:2" x14ac:dyDescent="0.3">
      <c r="A2" t="s">
        <v>15</v>
      </c>
      <c r="B2" s="2">
        <v>18750</v>
      </c>
    </row>
    <row r="4" spans="1:2" x14ac:dyDescent="0.3">
      <c r="A4" t="s">
        <v>16</v>
      </c>
      <c r="B4" s="2">
        <v>18750</v>
      </c>
    </row>
    <row r="8" spans="1:2" x14ac:dyDescent="0.3">
      <c r="A8" t="s">
        <v>17</v>
      </c>
    </row>
    <row r="9" spans="1:2" x14ac:dyDescent="0.3">
      <c r="A9" t="s">
        <v>18</v>
      </c>
      <c r="B9" s="2">
        <v>3.5</v>
      </c>
    </row>
    <row r="10" spans="1:2" x14ac:dyDescent="0.3">
      <c r="A10" t="s">
        <v>19</v>
      </c>
      <c r="B10" s="2">
        <v>0.1</v>
      </c>
    </row>
    <row r="12" spans="1:2" x14ac:dyDescent="0.3">
      <c r="A12" t="s">
        <v>20</v>
      </c>
      <c r="B12" s="2">
        <f>+B9*B2</f>
        <v>65625</v>
      </c>
    </row>
    <row r="13" spans="1:2" x14ac:dyDescent="0.3">
      <c r="A13" t="s">
        <v>21</v>
      </c>
      <c r="B13" s="2">
        <f>-B10*B2</f>
        <v>-1875</v>
      </c>
    </row>
    <row r="14" spans="1:2" x14ac:dyDescent="0.3">
      <c r="A14" t="s">
        <v>22</v>
      </c>
      <c r="B14" s="2">
        <f>+B12-B13</f>
        <v>67500</v>
      </c>
    </row>
    <row r="16" spans="1:2" x14ac:dyDescent="0.3">
      <c r="A16" t="s">
        <v>23</v>
      </c>
    </row>
    <row r="17" spans="1:3" x14ac:dyDescent="0.3">
      <c r="B17" s="2">
        <v>3.6</v>
      </c>
    </row>
    <row r="18" spans="1:3" x14ac:dyDescent="0.3">
      <c r="A18" t="s">
        <v>21</v>
      </c>
      <c r="B18" s="2">
        <v>0.1</v>
      </c>
    </row>
    <row r="19" spans="1:3" x14ac:dyDescent="0.3">
      <c r="A19" t="s">
        <v>24</v>
      </c>
      <c r="B19" s="2">
        <f>+B17-B18</f>
        <v>3.5</v>
      </c>
    </row>
    <row r="20" spans="1:3" x14ac:dyDescent="0.3">
      <c r="A20" t="s">
        <v>25</v>
      </c>
      <c r="B20" s="2">
        <f>+B19*B4</f>
        <v>65625</v>
      </c>
    </row>
    <row r="21" spans="1:3" x14ac:dyDescent="0.3">
      <c r="A21" t="s">
        <v>26</v>
      </c>
      <c r="C21" s="7">
        <f>+B20-B14</f>
        <v>-1875</v>
      </c>
    </row>
    <row r="22" spans="1:3" x14ac:dyDescent="0.3">
      <c r="A22" t="s">
        <v>27</v>
      </c>
      <c r="C22" s="8">
        <v>25625</v>
      </c>
    </row>
    <row r="23" spans="1:3" x14ac:dyDescent="0.3">
      <c r="A23" t="s">
        <v>28</v>
      </c>
      <c r="C23" s="7">
        <f>+C22+C21</f>
        <v>23750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228C-F937-4487-BEE4-E950011B12C5}">
  <dimension ref="A1:C16"/>
  <sheetViews>
    <sheetView workbookViewId="0">
      <selection activeCell="F29" sqref="F29"/>
    </sheetView>
  </sheetViews>
  <sheetFormatPr baseColWidth="10" defaultRowHeight="14.4" x14ac:dyDescent="0.3"/>
  <cols>
    <col min="1" max="1" width="31.6640625" bestFit="1" customWidth="1"/>
    <col min="2" max="2" width="11.5546875" style="2"/>
    <col min="3" max="3" width="12.33203125" bestFit="1" customWidth="1"/>
  </cols>
  <sheetData>
    <row r="1" spans="1:3" x14ac:dyDescent="0.3">
      <c r="A1" t="s">
        <v>38</v>
      </c>
      <c r="B1" s="2">
        <v>100</v>
      </c>
    </row>
    <row r="2" spans="1:3" x14ac:dyDescent="0.3">
      <c r="A2" t="s">
        <v>29</v>
      </c>
      <c r="B2" s="2">
        <v>400</v>
      </c>
    </row>
    <row r="3" spans="1:3" x14ac:dyDescent="0.3">
      <c r="A3" t="s">
        <v>30</v>
      </c>
      <c r="B3" s="5">
        <v>2.5</v>
      </c>
    </row>
    <row r="4" spans="1:3" x14ac:dyDescent="0.3">
      <c r="A4" t="s">
        <v>35</v>
      </c>
      <c r="B4" s="5">
        <f>+B3*B2</f>
        <v>1000</v>
      </c>
    </row>
    <row r="5" spans="1:3" x14ac:dyDescent="0.3">
      <c r="A5" t="s">
        <v>31</v>
      </c>
      <c r="B5" s="2">
        <v>-8.75</v>
      </c>
      <c r="C5" s="10" t="s">
        <v>36</v>
      </c>
    </row>
    <row r="6" spans="1:3" x14ac:dyDescent="0.3">
      <c r="A6" t="s">
        <v>32</v>
      </c>
      <c r="B6" s="2">
        <v>-9</v>
      </c>
      <c r="C6" s="10"/>
    </row>
    <row r="7" spans="1:3" x14ac:dyDescent="0.3">
      <c r="A7" t="s">
        <v>33</v>
      </c>
      <c r="B7" s="2">
        <v>-10</v>
      </c>
      <c r="C7" s="10"/>
    </row>
    <row r="8" spans="1:3" x14ac:dyDescent="0.3">
      <c r="A8" t="s">
        <v>34</v>
      </c>
      <c r="B8" s="2">
        <v>-75</v>
      </c>
      <c r="C8" s="10"/>
    </row>
    <row r="9" spans="1:3" x14ac:dyDescent="0.3">
      <c r="B9" s="2">
        <f>+SUM(B5:B8)</f>
        <v>-102.75</v>
      </c>
    </row>
    <row r="10" spans="1:3" x14ac:dyDescent="0.3">
      <c r="A10" t="s">
        <v>10</v>
      </c>
      <c r="B10" s="2">
        <f>+B4+B9</f>
        <v>897.25</v>
      </c>
    </row>
    <row r="11" spans="1:3" x14ac:dyDescent="0.3">
      <c r="A11" t="s">
        <v>37</v>
      </c>
      <c r="B11" s="2">
        <f>+B10*B1</f>
        <v>89725</v>
      </c>
    </row>
    <row r="14" spans="1:3" x14ac:dyDescent="0.3">
      <c r="A14" t="s">
        <v>39</v>
      </c>
      <c r="B14" s="2">
        <f>550*100</f>
        <v>55000</v>
      </c>
    </row>
    <row r="16" spans="1:3" x14ac:dyDescent="0.3">
      <c r="A16" t="s">
        <v>40</v>
      </c>
      <c r="B16" s="2">
        <f>+B11-B14</f>
        <v>34725</v>
      </c>
    </row>
  </sheetData>
  <mergeCells count="1">
    <mergeCell ref="C5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7DE2-3A48-46A4-8523-5C86C6C5ED93}">
  <dimension ref="A2:E10"/>
  <sheetViews>
    <sheetView tabSelected="1" workbookViewId="0">
      <selection activeCell="G15" sqref="G15"/>
    </sheetView>
  </sheetViews>
  <sheetFormatPr baseColWidth="10" defaultRowHeight="14.4" x14ac:dyDescent="0.3"/>
  <cols>
    <col min="2" max="2" width="16.6640625" style="2" bestFit="1" customWidth="1"/>
    <col min="3" max="3" width="11.5546875" style="2"/>
  </cols>
  <sheetData>
    <row r="2" spans="1:5" x14ac:dyDescent="0.3">
      <c r="A2" t="s">
        <v>41</v>
      </c>
      <c r="B2" s="2">
        <v>-8000000</v>
      </c>
    </row>
    <row r="3" spans="1:5" x14ac:dyDescent="0.3">
      <c r="A3" t="s">
        <v>42</v>
      </c>
      <c r="B3" s="3">
        <f>RATE(B5,B4,B6,B2,0)</f>
        <v>6.1276116941565019E-2</v>
      </c>
    </row>
    <row r="4" spans="1:5" x14ac:dyDescent="0.3">
      <c r="A4" t="s">
        <v>43</v>
      </c>
      <c r="B4" s="2">
        <f>+B2*0.06</f>
        <v>-480000</v>
      </c>
    </row>
    <row r="5" spans="1:5" x14ac:dyDescent="0.3">
      <c r="A5" t="s">
        <v>44</v>
      </c>
      <c r="B5" s="2">
        <v>6</v>
      </c>
    </row>
    <row r="6" spans="1:5" x14ac:dyDescent="0.3">
      <c r="A6" t="s">
        <v>45</v>
      </c>
      <c r="B6" s="9">
        <f>8000000-50000</f>
        <v>7950000</v>
      </c>
    </row>
    <row r="8" spans="1:5" x14ac:dyDescent="0.3">
      <c r="B8" s="2" t="s">
        <v>46</v>
      </c>
      <c r="C8" s="2">
        <f>+B6*B3</f>
        <v>487145.12968544191</v>
      </c>
    </row>
    <row r="9" spans="1:5" x14ac:dyDescent="0.3">
      <c r="B9" s="2" t="s">
        <v>47</v>
      </c>
      <c r="D9" s="8">
        <f>-B4</f>
        <v>480000</v>
      </c>
    </row>
    <row r="10" spans="1:5" x14ac:dyDescent="0.3">
      <c r="B10" s="2" t="s">
        <v>48</v>
      </c>
      <c r="D10" s="7">
        <f>+C8-D9</f>
        <v>7145.1296854419052</v>
      </c>
      <c r="E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Provision et immeuble de pl et </vt:lpstr>
      <vt:lpstr>Céréale </vt:lpstr>
      <vt:lpstr>VEoux</vt:lpstr>
      <vt:lpstr>Actions priviligés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2015-06-05T18:19:34Z</dcterms:created>
  <dcterms:modified xsi:type="dcterms:W3CDTF">2025-02-25T02:01:46Z</dcterms:modified>
</cp:coreProperties>
</file>